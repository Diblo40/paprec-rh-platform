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Z:\Commun\DIREX Midi-Pyrénées\_09ARIEGE_DECHETS\01-Ressources Humaines\"/>
    </mc:Choice>
  </mc:AlternateContent>
  <bookViews>
    <workbookView xWindow="0" yWindow="0" windowWidth="28800" windowHeight="11400" tabRatio="723" activeTab="4"/>
  </bookViews>
  <sheets>
    <sheet name="rému" sheetId="85" r:id="rId1"/>
    <sheet name="Niveau 1 Janv" sheetId="47" r:id="rId2"/>
    <sheet name="Niveau 2 Janv" sheetId="48" r:id="rId3"/>
    <sheet name="Mixte Janv" sheetId="49" r:id="rId4"/>
    <sheet name="Niveau 1 Fév" sheetId="50" r:id="rId5"/>
    <sheet name="Niveau 2 Fév" sheetId="51" r:id="rId6"/>
    <sheet name="Mixte Fév" sheetId="52" r:id="rId7"/>
    <sheet name="Niveau 1 Mars" sheetId="53" r:id="rId8"/>
    <sheet name="Niveau 2 Mars" sheetId="54" r:id="rId9"/>
    <sheet name="Mixte Mars" sheetId="55" r:id="rId10"/>
    <sheet name="Niveau 1 Avril" sheetId="56" r:id="rId11"/>
    <sheet name="Niveau 2 Avril" sheetId="57" r:id="rId12"/>
    <sheet name="Mixte Avril" sheetId="58" r:id="rId13"/>
    <sheet name="Niveau 1 Mai" sheetId="59" r:id="rId14"/>
    <sheet name="Niveau 2 Mai" sheetId="60" r:id="rId15"/>
    <sheet name="Mixte Mai" sheetId="61" r:id="rId16"/>
    <sheet name="Niveau 1 Juin" sheetId="62" r:id="rId17"/>
    <sheet name="Niveau 2 Juin" sheetId="63" r:id="rId18"/>
    <sheet name="Mixte Juin" sheetId="64" r:id="rId19"/>
    <sheet name="Niveau 1 Juillet" sheetId="65" r:id="rId20"/>
    <sheet name="Niveau 2 Juillet" sheetId="66" r:id="rId21"/>
    <sheet name="Mixte Juillet" sheetId="67" r:id="rId22"/>
    <sheet name="Niveau 1 Août" sheetId="69" r:id="rId23"/>
    <sheet name="Niveau 2 Août" sheetId="70" r:id="rId24"/>
    <sheet name="Mixte Août" sheetId="71" r:id="rId25"/>
    <sheet name="Niveau 1 Sept" sheetId="72" r:id="rId26"/>
    <sheet name="Niveau 2 Sept" sheetId="73" r:id="rId27"/>
    <sheet name="Mixte Sept" sheetId="74" r:id="rId28"/>
    <sheet name="Niveau 1 Oct" sheetId="75" r:id="rId29"/>
    <sheet name="Niveau 2 Oct" sheetId="76" r:id="rId30"/>
    <sheet name="Mixte Oct" sheetId="77" r:id="rId31"/>
    <sheet name="Niveau 1 Nov" sheetId="78" r:id="rId32"/>
    <sheet name="Niveau 2 Nov" sheetId="79" r:id="rId33"/>
    <sheet name="Mixte Nov" sheetId="80" r:id="rId34"/>
    <sheet name="Niveau 1 Déc" sheetId="81" r:id="rId35"/>
    <sheet name="Niveau 2 Déc" sheetId="82" r:id="rId36"/>
    <sheet name="Mixte Déc" sheetId="83" r:id="rId37"/>
    <sheet name="Table" sheetId="4" state="hidden" r:id="rId38"/>
  </sheets>
  <definedNames>
    <definedName name="ABSENCE" localSheetId="24">#REF!</definedName>
    <definedName name="ABSENCE" localSheetId="12">#REF!</definedName>
    <definedName name="ABSENCE" localSheetId="36">#REF!</definedName>
    <definedName name="ABSENCE" localSheetId="6">#REF!</definedName>
    <definedName name="ABSENCE" localSheetId="21">#REF!</definedName>
    <definedName name="ABSENCE" localSheetId="18">#REF!</definedName>
    <definedName name="ABSENCE" localSheetId="15">#REF!</definedName>
    <definedName name="ABSENCE" localSheetId="9">#REF!</definedName>
    <definedName name="ABSENCE" localSheetId="33">#REF!</definedName>
    <definedName name="ABSENCE" localSheetId="30">#REF!</definedName>
    <definedName name="ABSENCE" localSheetId="27">#REF!</definedName>
    <definedName name="ABSENCE" localSheetId="22">#REF!</definedName>
    <definedName name="ABSENCE" localSheetId="10">#REF!</definedName>
    <definedName name="ABSENCE" localSheetId="34">#REF!</definedName>
    <definedName name="ABSENCE" localSheetId="4">#REF!</definedName>
    <definedName name="ABSENCE" localSheetId="19">#REF!</definedName>
    <definedName name="ABSENCE" localSheetId="16">#REF!</definedName>
    <definedName name="ABSENCE" localSheetId="13">#REF!</definedName>
    <definedName name="ABSENCE" localSheetId="7">#REF!</definedName>
    <definedName name="ABSENCE" localSheetId="31">#REF!</definedName>
    <definedName name="ABSENCE" localSheetId="28">#REF!</definedName>
    <definedName name="ABSENCE" localSheetId="25">#REF!</definedName>
    <definedName name="ABSENCE" localSheetId="23">#REF!</definedName>
    <definedName name="ABSENCE" localSheetId="11">#REF!</definedName>
    <definedName name="ABSENCE" localSheetId="35">#REF!</definedName>
    <definedName name="ABSENCE" localSheetId="5">#REF!</definedName>
    <definedName name="ABSENCE" localSheetId="20">#REF!</definedName>
    <definedName name="ABSENCE" localSheetId="17">#REF!</definedName>
    <definedName name="ABSENCE" localSheetId="14">#REF!</definedName>
    <definedName name="ABSENCE" localSheetId="8">#REF!</definedName>
    <definedName name="ABSENCE" localSheetId="32">#REF!</definedName>
    <definedName name="ABSENCE" localSheetId="29">#REF!</definedName>
    <definedName name="ABSENCE" localSheetId="26">#REF!</definedName>
    <definedName name="ABSENCE">#REF!</definedName>
    <definedName name="ABSENCES" localSheetId="24">#REF!</definedName>
    <definedName name="ABSENCES" localSheetId="12">#REF!</definedName>
    <definedName name="ABSENCES" localSheetId="36">#REF!</definedName>
    <definedName name="ABSENCES" localSheetId="6">#REF!</definedName>
    <definedName name="ABSENCES" localSheetId="21">#REF!</definedName>
    <definedName name="ABSENCES" localSheetId="18">#REF!</definedName>
    <definedName name="ABSENCES" localSheetId="15">#REF!</definedName>
    <definedName name="ABSENCES" localSheetId="9">#REF!</definedName>
    <definedName name="ABSENCES" localSheetId="33">#REF!</definedName>
    <definedName name="ABSENCES" localSheetId="30">#REF!</definedName>
    <definedName name="ABSENCES" localSheetId="27">#REF!</definedName>
    <definedName name="ABSENCES" localSheetId="22">#REF!</definedName>
    <definedName name="ABSENCES" localSheetId="10">#REF!</definedName>
    <definedName name="ABSENCES" localSheetId="34">#REF!</definedName>
    <definedName name="ABSENCES" localSheetId="4">#REF!</definedName>
    <definedName name="ABSENCES" localSheetId="19">#REF!</definedName>
    <definedName name="ABSENCES" localSheetId="16">#REF!</definedName>
    <definedName name="ABSENCES" localSheetId="13">#REF!</definedName>
    <definedName name="ABSENCES" localSheetId="7">#REF!</definedName>
    <definedName name="ABSENCES" localSheetId="31">#REF!</definedName>
    <definedName name="ABSENCES" localSheetId="28">#REF!</definedName>
    <definedName name="ABSENCES" localSheetId="25">#REF!</definedName>
    <definedName name="ABSENCES" localSheetId="23">#REF!</definedName>
    <definedName name="ABSENCES" localSheetId="11">#REF!</definedName>
    <definedName name="ABSENCES" localSheetId="35">#REF!</definedName>
    <definedName name="ABSENCES" localSheetId="5">#REF!</definedName>
    <definedName name="ABSENCES" localSheetId="20">#REF!</definedName>
    <definedName name="ABSENCES" localSheetId="17">#REF!</definedName>
    <definedName name="ABSENCES" localSheetId="14">#REF!</definedName>
    <definedName name="ABSENCES" localSheetId="8">#REF!</definedName>
    <definedName name="ABSENCES" localSheetId="32">#REF!</definedName>
    <definedName name="ABSENCES" localSheetId="29">#REF!</definedName>
    <definedName name="ABSENCES" localSheetId="26">#REF!</definedName>
    <definedName name="ABSENCES">#REF!</definedName>
    <definedName name="e" localSheetId="24">#REF!</definedName>
    <definedName name="e" localSheetId="12">#REF!</definedName>
    <definedName name="e" localSheetId="36">#REF!</definedName>
    <definedName name="e" localSheetId="6">#REF!</definedName>
    <definedName name="e" localSheetId="21">#REF!</definedName>
    <definedName name="e" localSheetId="18">#REF!</definedName>
    <definedName name="e" localSheetId="15">#REF!</definedName>
    <definedName name="e" localSheetId="9">#REF!</definedName>
    <definedName name="e" localSheetId="33">#REF!</definedName>
    <definedName name="e" localSheetId="30">#REF!</definedName>
    <definedName name="e" localSheetId="27">#REF!</definedName>
    <definedName name="e" localSheetId="22">#REF!</definedName>
    <definedName name="e" localSheetId="10">#REF!</definedName>
    <definedName name="e" localSheetId="34">#REF!</definedName>
    <definedName name="e" localSheetId="4">#REF!</definedName>
    <definedName name="e" localSheetId="19">#REF!</definedName>
    <definedName name="e" localSheetId="16">#REF!</definedName>
    <definedName name="e" localSheetId="13">#REF!</definedName>
    <definedName name="e" localSheetId="7">#REF!</definedName>
    <definedName name="e" localSheetId="31">#REF!</definedName>
    <definedName name="e" localSheetId="28">#REF!</definedName>
    <definedName name="e" localSheetId="25">#REF!</definedName>
    <definedName name="e" localSheetId="23">#REF!</definedName>
    <definedName name="e" localSheetId="11">#REF!</definedName>
    <definedName name="e" localSheetId="35">#REF!</definedName>
    <definedName name="e" localSheetId="5">#REF!</definedName>
    <definedName name="e" localSheetId="20">#REF!</definedName>
    <definedName name="e" localSheetId="17">#REF!</definedName>
    <definedName name="e" localSheetId="14">#REF!</definedName>
    <definedName name="e" localSheetId="8">#REF!</definedName>
    <definedName name="e" localSheetId="32">#REF!</definedName>
    <definedName name="e" localSheetId="29">#REF!</definedName>
    <definedName name="e" localSheetId="26">#REF!</definedName>
    <definedName name="e">#REF!</definedName>
    <definedName name="ee" localSheetId="24">#REF!</definedName>
    <definedName name="ee" localSheetId="12">#REF!</definedName>
    <definedName name="ee" localSheetId="36">#REF!</definedName>
    <definedName name="ee" localSheetId="6">#REF!</definedName>
    <definedName name="ee" localSheetId="21">#REF!</definedName>
    <definedName name="ee" localSheetId="18">#REF!</definedName>
    <definedName name="ee" localSheetId="15">#REF!</definedName>
    <definedName name="ee" localSheetId="9">#REF!</definedName>
    <definedName name="ee" localSheetId="33">#REF!</definedName>
    <definedName name="ee" localSheetId="30">#REF!</definedName>
    <definedName name="ee" localSheetId="27">#REF!</definedName>
    <definedName name="ee" localSheetId="22">#REF!</definedName>
    <definedName name="ee" localSheetId="10">#REF!</definedName>
    <definedName name="ee" localSheetId="34">#REF!</definedName>
    <definedName name="ee" localSheetId="4">#REF!</definedName>
    <definedName name="ee" localSheetId="19">#REF!</definedName>
    <definedName name="ee" localSheetId="16">#REF!</definedName>
    <definedName name="ee" localSheetId="13">#REF!</definedName>
    <definedName name="ee" localSheetId="7">#REF!</definedName>
    <definedName name="ee" localSheetId="31">#REF!</definedName>
    <definedName name="ee" localSheetId="28">#REF!</definedName>
    <definedName name="ee" localSheetId="25">#REF!</definedName>
    <definedName name="ee" localSheetId="23">#REF!</definedName>
    <definedName name="ee" localSheetId="11">#REF!</definedName>
    <definedName name="ee" localSheetId="35">#REF!</definedName>
    <definedName name="ee" localSheetId="5">#REF!</definedName>
    <definedName name="ee" localSheetId="20">#REF!</definedName>
    <definedName name="ee" localSheetId="17">#REF!</definedName>
    <definedName name="ee" localSheetId="14">#REF!</definedName>
    <definedName name="ee" localSheetId="8">#REF!</definedName>
    <definedName name="ee" localSheetId="32">#REF!</definedName>
    <definedName name="ee" localSheetId="29">#REF!</definedName>
    <definedName name="ee" localSheetId="26">#REF!</definedName>
    <definedName name="ee">#REF!</definedName>
    <definedName name="EVENEMENT" localSheetId="24">#REF!</definedName>
    <definedName name="EVENEMENT" localSheetId="12">#REF!</definedName>
    <definedName name="EVENEMENT" localSheetId="36">#REF!</definedName>
    <definedName name="EVENEMENT" localSheetId="6">#REF!</definedName>
    <definedName name="EVENEMENT" localSheetId="21">#REF!</definedName>
    <definedName name="EVENEMENT" localSheetId="18">#REF!</definedName>
    <definedName name="EVENEMENT" localSheetId="15">#REF!</definedName>
    <definedName name="EVENEMENT" localSheetId="9">#REF!</definedName>
    <definedName name="EVENEMENT" localSheetId="33">#REF!</definedName>
    <definedName name="EVENEMENT" localSheetId="30">#REF!</definedName>
    <definedName name="EVENEMENT" localSheetId="27">#REF!</definedName>
    <definedName name="EVENEMENT" localSheetId="22">#REF!</definedName>
    <definedName name="EVENEMENT" localSheetId="10">#REF!</definedName>
    <definedName name="EVENEMENT" localSheetId="34">#REF!</definedName>
    <definedName name="EVENEMENT" localSheetId="4">#REF!</definedName>
    <definedName name="EVENEMENT" localSheetId="19">#REF!</definedName>
    <definedName name="EVENEMENT" localSheetId="16">#REF!</definedName>
    <definedName name="EVENEMENT" localSheetId="13">#REF!</definedName>
    <definedName name="EVENEMENT" localSheetId="7">#REF!</definedName>
    <definedName name="EVENEMENT" localSheetId="31">#REF!</definedName>
    <definedName name="EVENEMENT" localSheetId="28">#REF!</definedName>
    <definedName name="EVENEMENT" localSheetId="25">#REF!</definedName>
    <definedName name="EVENEMENT" localSheetId="23">#REF!</definedName>
    <definedName name="EVENEMENT" localSheetId="11">#REF!</definedName>
    <definedName name="EVENEMENT" localSheetId="35">#REF!</definedName>
    <definedName name="EVENEMENT" localSheetId="5">#REF!</definedName>
    <definedName name="EVENEMENT" localSheetId="20">#REF!</definedName>
    <definedName name="EVENEMENT" localSheetId="17">#REF!</definedName>
    <definedName name="EVENEMENT" localSheetId="14">#REF!</definedName>
    <definedName name="EVENEMENT" localSheetId="8">#REF!</definedName>
    <definedName name="EVENEMENT" localSheetId="32">#REF!</definedName>
    <definedName name="EVENEMENT" localSheetId="29">#REF!</definedName>
    <definedName name="EVENEMENT" localSheetId="26">#REF!</definedName>
    <definedName name="EVENEMENT">#REF!</definedName>
    <definedName name="iii" localSheetId="24">#REF!</definedName>
    <definedName name="iii" localSheetId="12">#REF!</definedName>
    <definedName name="iii" localSheetId="36">#REF!</definedName>
    <definedName name="iii" localSheetId="6">#REF!</definedName>
    <definedName name="iii" localSheetId="21">#REF!</definedName>
    <definedName name="iii" localSheetId="18">#REF!</definedName>
    <definedName name="iii" localSheetId="15">#REF!</definedName>
    <definedName name="iii" localSheetId="9">#REF!</definedName>
    <definedName name="iii" localSheetId="33">#REF!</definedName>
    <definedName name="iii" localSheetId="30">#REF!</definedName>
    <definedName name="iii" localSheetId="27">#REF!</definedName>
    <definedName name="iii" localSheetId="22">#REF!</definedName>
    <definedName name="iii" localSheetId="10">#REF!</definedName>
    <definedName name="iii" localSheetId="34">#REF!</definedName>
    <definedName name="iii" localSheetId="4">#REF!</definedName>
    <definedName name="iii" localSheetId="19">#REF!</definedName>
    <definedName name="iii" localSheetId="16">#REF!</definedName>
    <definedName name="iii" localSheetId="13">#REF!</definedName>
    <definedName name="iii" localSheetId="7">#REF!</definedName>
    <definedName name="iii" localSheetId="31">#REF!</definedName>
    <definedName name="iii" localSheetId="28">#REF!</definedName>
    <definedName name="iii" localSheetId="25">#REF!</definedName>
    <definedName name="iii" localSheetId="23">#REF!</definedName>
    <definedName name="iii" localSheetId="11">#REF!</definedName>
    <definedName name="iii" localSheetId="35">#REF!</definedName>
    <definedName name="iii" localSheetId="5">#REF!</definedName>
    <definedName name="iii" localSheetId="20">#REF!</definedName>
    <definedName name="iii" localSheetId="17">#REF!</definedName>
    <definedName name="iii" localSheetId="14">#REF!</definedName>
    <definedName name="iii" localSheetId="8">#REF!</definedName>
    <definedName name="iii" localSheetId="32">#REF!</definedName>
    <definedName name="iii" localSheetId="29">#REF!</definedName>
    <definedName name="iii" localSheetId="26">#REF!</definedName>
    <definedName name="iii">#REF!</definedName>
    <definedName name="LISTE_TR">Table!$D$2:$D$14</definedName>
    <definedName name="POINTAGES" localSheetId="24">#REF!</definedName>
    <definedName name="POINTAGES" localSheetId="12">#REF!</definedName>
    <definedName name="POINTAGES" localSheetId="36">#REF!</definedName>
    <definedName name="POINTAGES" localSheetId="6">#REF!</definedName>
    <definedName name="POINTAGES" localSheetId="21">#REF!</definedName>
    <definedName name="POINTAGES" localSheetId="18">#REF!</definedName>
    <definedName name="POINTAGES" localSheetId="15">#REF!</definedName>
    <definedName name="POINTAGES" localSheetId="9">#REF!</definedName>
    <definedName name="POINTAGES" localSheetId="33">#REF!</definedName>
    <definedName name="POINTAGES" localSheetId="30">#REF!</definedName>
    <definedName name="POINTAGES" localSheetId="27">#REF!</definedName>
    <definedName name="POINTAGES" localSheetId="22">#REF!</definedName>
    <definedName name="POINTAGES" localSheetId="10">#REF!</definedName>
    <definedName name="POINTAGES" localSheetId="34">#REF!</definedName>
    <definedName name="POINTAGES" localSheetId="4">#REF!</definedName>
    <definedName name="POINTAGES" localSheetId="19">#REF!</definedName>
    <definedName name="POINTAGES" localSheetId="16">#REF!</definedName>
    <definedName name="POINTAGES" localSheetId="13">#REF!</definedName>
    <definedName name="POINTAGES" localSheetId="7">#REF!</definedName>
    <definedName name="POINTAGES" localSheetId="31">#REF!</definedName>
    <definedName name="POINTAGES" localSheetId="28">#REF!</definedName>
    <definedName name="POINTAGES" localSheetId="25">#REF!</definedName>
    <definedName name="POINTAGES" localSheetId="23">#REF!</definedName>
    <definedName name="POINTAGES" localSheetId="11">#REF!</definedName>
    <definedName name="POINTAGES" localSheetId="35">#REF!</definedName>
    <definedName name="POINTAGES" localSheetId="5">#REF!</definedName>
    <definedName name="POINTAGES" localSheetId="20">#REF!</definedName>
    <definedName name="POINTAGES" localSheetId="17">#REF!</definedName>
    <definedName name="POINTAGES" localSheetId="14">#REF!</definedName>
    <definedName name="POINTAGES" localSheetId="8">#REF!</definedName>
    <definedName name="POINTAGES" localSheetId="32">#REF!</definedName>
    <definedName name="POINTAGES" localSheetId="29">#REF!</definedName>
    <definedName name="POINTAGES" localSheetId="26">#REF!</definedName>
    <definedName name="POINTAGES">#REF!</definedName>
    <definedName name="PRESENCE" localSheetId="24">#REF!</definedName>
    <definedName name="PRESENCE" localSheetId="12">#REF!</definedName>
    <definedName name="PRESENCE" localSheetId="36">#REF!</definedName>
    <definedName name="PRESENCE" localSheetId="6">#REF!</definedName>
    <definedName name="PRESENCE" localSheetId="21">#REF!</definedName>
    <definedName name="PRESENCE" localSheetId="18">#REF!</definedName>
    <definedName name="PRESENCE" localSheetId="15">#REF!</definedName>
    <definedName name="PRESENCE" localSheetId="9">#REF!</definedName>
    <definedName name="PRESENCE" localSheetId="33">#REF!</definedName>
    <definedName name="PRESENCE" localSheetId="30">#REF!</definedName>
    <definedName name="PRESENCE" localSheetId="27">#REF!</definedName>
    <definedName name="PRESENCE" localSheetId="22">#REF!</definedName>
    <definedName name="PRESENCE" localSheetId="10">#REF!</definedName>
    <definedName name="PRESENCE" localSheetId="34">#REF!</definedName>
    <definedName name="PRESENCE" localSheetId="4">#REF!</definedName>
    <definedName name="PRESENCE" localSheetId="19">#REF!</definedName>
    <definedName name="PRESENCE" localSheetId="16">#REF!</definedName>
    <definedName name="PRESENCE" localSheetId="13">#REF!</definedName>
    <definedName name="PRESENCE" localSheetId="7">#REF!</definedName>
    <definedName name="PRESENCE" localSheetId="31">#REF!</definedName>
    <definedName name="PRESENCE" localSheetId="28">#REF!</definedName>
    <definedName name="PRESENCE" localSheetId="25">#REF!</definedName>
    <definedName name="PRESENCE" localSheetId="23">#REF!</definedName>
    <definedName name="PRESENCE" localSheetId="11">#REF!</definedName>
    <definedName name="PRESENCE" localSheetId="35">#REF!</definedName>
    <definedName name="PRESENCE" localSheetId="5">#REF!</definedName>
    <definedName name="PRESENCE" localSheetId="20">#REF!</definedName>
    <definedName name="PRESENCE" localSheetId="17">#REF!</definedName>
    <definedName name="PRESENCE" localSheetId="14">#REF!</definedName>
    <definedName name="PRESENCE" localSheetId="8">#REF!</definedName>
    <definedName name="PRESENCE" localSheetId="32">#REF!</definedName>
    <definedName name="PRESENCE" localSheetId="29">#REF!</definedName>
    <definedName name="PRESENCE" localSheetId="26">#REF!</definedName>
    <definedName name="PRESENCE">#REF!</definedName>
    <definedName name="PRESENCE2" localSheetId="24">#REF!</definedName>
    <definedName name="PRESENCE2" localSheetId="12">#REF!</definedName>
    <definedName name="PRESENCE2" localSheetId="36">#REF!</definedName>
    <definedName name="PRESENCE2" localSheetId="6">#REF!</definedName>
    <definedName name="PRESENCE2" localSheetId="21">#REF!</definedName>
    <definedName name="PRESENCE2" localSheetId="18">#REF!</definedName>
    <definedName name="PRESENCE2" localSheetId="15">#REF!</definedName>
    <definedName name="PRESENCE2" localSheetId="9">#REF!</definedName>
    <definedName name="PRESENCE2" localSheetId="33">#REF!</definedName>
    <definedName name="PRESENCE2" localSheetId="30">#REF!</definedName>
    <definedName name="PRESENCE2" localSheetId="27">#REF!</definedName>
    <definedName name="PRESENCE2" localSheetId="22">#REF!</definedName>
    <definedName name="PRESENCE2" localSheetId="10">#REF!</definedName>
    <definedName name="PRESENCE2" localSheetId="34">#REF!</definedName>
    <definedName name="PRESENCE2" localSheetId="4">#REF!</definedName>
    <definedName name="PRESENCE2" localSheetId="19">#REF!</definedName>
    <definedName name="PRESENCE2" localSheetId="16">#REF!</definedName>
    <definedName name="PRESENCE2" localSheetId="13">#REF!</definedName>
    <definedName name="PRESENCE2" localSheetId="7">#REF!</definedName>
    <definedName name="PRESENCE2" localSheetId="31">#REF!</definedName>
    <definedName name="PRESENCE2" localSheetId="28">#REF!</definedName>
    <definedName name="PRESENCE2" localSheetId="25">#REF!</definedName>
    <definedName name="PRESENCE2" localSheetId="23">#REF!</definedName>
    <definedName name="PRESENCE2" localSheetId="11">#REF!</definedName>
    <definedName name="PRESENCE2" localSheetId="35">#REF!</definedName>
    <definedName name="PRESENCE2" localSheetId="5">#REF!</definedName>
    <definedName name="PRESENCE2" localSheetId="20">#REF!</definedName>
    <definedName name="PRESENCE2" localSheetId="17">#REF!</definedName>
    <definedName name="PRESENCE2" localSheetId="14">#REF!</definedName>
    <definedName name="PRESENCE2" localSheetId="8">#REF!</definedName>
    <definedName name="PRESENCE2" localSheetId="32">#REF!</definedName>
    <definedName name="PRESENCE2" localSheetId="29">#REF!</definedName>
    <definedName name="PRESENCE2" localSheetId="26">#REF!</definedName>
    <definedName name="PRESENCE2">#REF!</definedName>
    <definedName name="presence3" localSheetId="24">#REF!</definedName>
    <definedName name="presence3" localSheetId="12">#REF!</definedName>
    <definedName name="presence3" localSheetId="36">#REF!</definedName>
    <definedName name="presence3" localSheetId="6">#REF!</definedName>
    <definedName name="presence3" localSheetId="21">#REF!</definedName>
    <definedName name="presence3" localSheetId="18">#REF!</definedName>
    <definedName name="presence3" localSheetId="15">#REF!</definedName>
    <definedName name="presence3" localSheetId="9">#REF!</definedName>
    <definedName name="presence3" localSheetId="33">#REF!</definedName>
    <definedName name="presence3" localSheetId="30">#REF!</definedName>
    <definedName name="presence3" localSheetId="27">#REF!</definedName>
    <definedName name="presence3" localSheetId="22">#REF!</definedName>
    <definedName name="presence3" localSheetId="10">#REF!</definedName>
    <definedName name="presence3" localSheetId="34">#REF!</definedName>
    <definedName name="presence3" localSheetId="4">#REF!</definedName>
    <definedName name="presence3" localSheetId="19">#REF!</definedName>
    <definedName name="presence3" localSheetId="16">#REF!</definedName>
    <definedName name="presence3" localSheetId="13">#REF!</definedName>
    <definedName name="presence3" localSheetId="7">#REF!</definedName>
    <definedName name="presence3" localSheetId="31">#REF!</definedName>
    <definedName name="presence3" localSheetId="28">#REF!</definedName>
    <definedName name="presence3" localSheetId="25">#REF!</definedName>
    <definedName name="presence3" localSheetId="23">#REF!</definedName>
    <definedName name="presence3" localSheetId="11">#REF!</definedName>
    <definedName name="presence3" localSheetId="35">#REF!</definedName>
    <definedName name="presence3" localSheetId="5">#REF!</definedName>
    <definedName name="presence3" localSheetId="20">#REF!</definedName>
    <definedName name="presence3" localSheetId="17">#REF!</definedName>
    <definedName name="presence3" localSheetId="14">#REF!</definedName>
    <definedName name="presence3" localSheetId="8">#REF!</definedName>
    <definedName name="presence3" localSheetId="32">#REF!</definedName>
    <definedName name="presence3" localSheetId="29">#REF!</definedName>
    <definedName name="presence3" localSheetId="26">#REF!</definedName>
    <definedName name="presence3">#REF!</definedName>
    <definedName name="PRIMES" localSheetId="24">#REF!</definedName>
    <definedName name="PRIMES" localSheetId="12">#REF!</definedName>
    <definedName name="PRIMES" localSheetId="36">#REF!</definedName>
    <definedName name="PRIMES" localSheetId="6">#REF!</definedName>
    <definedName name="PRIMES" localSheetId="21">#REF!</definedName>
    <definedName name="PRIMES" localSheetId="18">#REF!</definedName>
    <definedName name="PRIMES" localSheetId="15">#REF!</definedName>
    <definedName name="PRIMES" localSheetId="9">#REF!</definedName>
    <definedName name="PRIMES" localSheetId="33">#REF!</definedName>
    <definedName name="PRIMES" localSheetId="30">#REF!</definedName>
    <definedName name="PRIMES" localSheetId="27">#REF!</definedName>
    <definedName name="PRIMES" localSheetId="22">#REF!</definedName>
    <definedName name="PRIMES" localSheetId="10">#REF!</definedName>
    <definedName name="PRIMES" localSheetId="34">#REF!</definedName>
    <definedName name="PRIMES" localSheetId="4">#REF!</definedName>
    <definedName name="PRIMES" localSheetId="19">#REF!</definedName>
    <definedName name="PRIMES" localSheetId="16">#REF!</definedName>
    <definedName name="PRIMES" localSheetId="13">#REF!</definedName>
    <definedName name="PRIMES" localSheetId="7">#REF!</definedName>
    <definedName name="PRIMES" localSheetId="31">#REF!</definedName>
    <definedName name="PRIMES" localSheetId="28">#REF!</definedName>
    <definedName name="PRIMES" localSheetId="25">#REF!</definedName>
    <definedName name="PRIMES" localSheetId="23">#REF!</definedName>
    <definedName name="PRIMES" localSheetId="11">#REF!</definedName>
    <definedName name="PRIMES" localSheetId="35">#REF!</definedName>
    <definedName name="PRIMES" localSheetId="5">#REF!</definedName>
    <definedName name="PRIMES" localSheetId="20">#REF!</definedName>
    <definedName name="PRIMES" localSheetId="17">#REF!</definedName>
    <definedName name="PRIMES" localSheetId="14">#REF!</definedName>
    <definedName name="PRIMES" localSheetId="8">#REF!</definedName>
    <definedName name="PRIMES" localSheetId="32">#REF!</definedName>
    <definedName name="PRIMES" localSheetId="29">#REF!</definedName>
    <definedName name="PRIMES" localSheetId="26">#REF!</definedName>
    <definedName name="PRIMES">#REF!</definedName>
    <definedName name="PRIMES2" localSheetId="24">#REF!</definedName>
    <definedName name="PRIMES2" localSheetId="12">#REF!</definedName>
    <definedName name="PRIMES2" localSheetId="36">#REF!</definedName>
    <definedName name="PRIMES2" localSheetId="6">#REF!</definedName>
    <definedName name="PRIMES2" localSheetId="21">#REF!</definedName>
    <definedName name="PRIMES2" localSheetId="18">#REF!</definedName>
    <definedName name="PRIMES2" localSheetId="15">#REF!</definedName>
    <definedName name="PRIMES2" localSheetId="9">#REF!</definedName>
    <definedName name="PRIMES2" localSheetId="33">#REF!</definedName>
    <definedName name="PRIMES2" localSheetId="30">#REF!</definedName>
    <definedName name="PRIMES2" localSheetId="27">#REF!</definedName>
    <definedName name="PRIMES2" localSheetId="22">#REF!</definedName>
    <definedName name="PRIMES2" localSheetId="10">#REF!</definedName>
    <definedName name="PRIMES2" localSheetId="34">#REF!</definedName>
    <definedName name="PRIMES2" localSheetId="4">#REF!</definedName>
    <definedName name="PRIMES2" localSheetId="19">#REF!</definedName>
    <definedName name="PRIMES2" localSheetId="16">#REF!</definedName>
    <definedName name="PRIMES2" localSheetId="13">#REF!</definedName>
    <definedName name="PRIMES2" localSheetId="7">#REF!</definedName>
    <definedName name="PRIMES2" localSheetId="31">#REF!</definedName>
    <definedName name="PRIMES2" localSheetId="28">#REF!</definedName>
    <definedName name="PRIMES2" localSheetId="25">#REF!</definedName>
    <definedName name="PRIMES2" localSheetId="23">#REF!</definedName>
    <definedName name="PRIMES2" localSheetId="11">#REF!</definedName>
    <definedName name="PRIMES2" localSheetId="35">#REF!</definedName>
    <definedName name="PRIMES2" localSheetId="5">#REF!</definedName>
    <definedName name="PRIMES2" localSheetId="20">#REF!</definedName>
    <definedName name="PRIMES2" localSheetId="17">#REF!</definedName>
    <definedName name="PRIMES2" localSheetId="14">#REF!</definedName>
    <definedName name="PRIMES2" localSheetId="8">#REF!</definedName>
    <definedName name="PRIMES2" localSheetId="32">#REF!</definedName>
    <definedName name="PRIMES2" localSheetId="29">#REF!</definedName>
    <definedName name="PRIMES2" localSheetId="26">#REF!</definedName>
    <definedName name="PRIMES2">#REF!</definedName>
    <definedName name="tt" localSheetId="24">#REF!</definedName>
    <definedName name="tt" localSheetId="12">#REF!</definedName>
    <definedName name="tt" localSheetId="36">#REF!</definedName>
    <definedName name="tt" localSheetId="6">#REF!</definedName>
    <definedName name="tt" localSheetId="21">#REF!</definedName>
    <definedName name="tt" localSheetId="18">#REF!</definedName>
    <definedName name="tt" localSheetId="15">#REF!</definedName>
    <definedName name="tt" localSheetId="9">#REF!</definedName>
    <definedName name="tt" localSheetId="33">#REF!</definedName>
    <definedName name="tt" localSheetId="30">#REF!</definedName>
    <definedName name="tt" localSheetId="27">#REF!</definedName>
    <definedName name="tt" localSheetId="22">#REF!</definedName>
    <definedName name="tt" localSheetId="10">#REF!</definedName>
    <definedName name="tt" localSheetId="34">#REF!</definedName>
    <definedName name="tt" localSheetId="4">#REF!</definedName>
    <definedName name="tt" localSheetId="19">#REF!</definedName>
    <definedName name="tt" localSheetId="16">#REF!</definedName>
    <definedName name="tt" localSheetId="13">#REF!</definedName>
    <definedName name="tt" localSheetId="7">#REF!</definedName>
    <definedName name="tt" localSheetId="31">#REF!</definedName>
    <definedName name="tt" localSheetId="28">#REF!</definedName>
    <definedName name="tt" localSheetId="25">#REF!</definedName>
    <definedName name="tt" localSheetId="23">#REF!</definedName>
    <definedName name="tt" localSheetId="11">#REF!</definedName>
    <definedName name="tt" localSheetId="35">#REF!</definedName>
    <definedName name="tt" localSheetId="5">#REF!</definedName>
    <definedName name="tt" localSheetId="20">#REF!</definedName>
    <definedName name="tt" localSheetId="17">#REF!</definedName>
    <definedName name="tt" localSheetId="14">#REF!</definedName>
    <definedName name="tt" localSheetId="8">#REF!</definedName>
    <definedName name="tt" localSheetId="32">#REF!</definedName>
    <definedName name="tt" localSheetId="29">#REF!</definedName>
    <definedName name="tt" localSheetId="26">#REF!</definedName>
    <definedName name="tt">#REF!</definedName>
    <definedName name="x" localSheetId="24">#REF!</definedName>
    <definedName name="x" localSheetId="12">#REF!</definedName>
    <definedName name="x" localSheetId="36">#REF!</definedName>
    <definedName name="x" localSheetId="6">#REF!</definedName>
    <definedName name="x" localSheetId="21">#REF!</definedName>
    <definedName name="x" localSheetId="18">#REF!</definedName>
    <definedName name="x" localSheetId="15">#REF!</definedName>
    <definedName name="x" localSheetId="9">#REF!</definedName>
    <definedName name="x" localSheetId="33">#REF!</definedName>
    <definedName name="x" localSheetId="30">#REF!</definedName>
    <definedName name="x" localSheetId="27">#REF!</definedName>
    <definedName name="x" localSheetId="22">#REF!</definedName>
    <definedName name="x" localSheetId="10">#REF!</definedName>
    <definedName name="x" localSheetId="34">#REF!</definedName>
    <definedName name="x" localSheetId="4">#REF!</definedName>
    <definedName name="x" localSheetId="19">#REF!</definedName>
    <definedName name="x" localSheetId="16">#REF!</definedName>
    <definedName name="x" localSheetId="13">#REF!</definedName>
    <definedName name="x" localSheetId="7">#REF!</definedName>
    <definedName name="x" localSheetId="31">#REF!</definedName>
    <definedName name="x" localSheetId="28">#REF!</definedName>
    <definedName name="x" localSheetId="25">#REF!</definedName>
    <definedName name="x" localSheetId="23">#REF!</definedName>
    <definedName name="x" localSheetId="11">#REF!</definedName>
    <definedName name="x" localSheetId="35">#REF!</definedName>
    <definedName name="x" localSheetId="5">#REF!</definedName>
    <definedName name="x" localSheetId="20">#REF!</definedName>
    <definedName name="x" localSheetId="17">#REF!</definedName>
    <definedName name="x" localSheetId="14">#REF!</definedName>
    <definedName name="x" localSheetId="8">#REF!</definedName>
    <definedName name="x" localSheetId="32">#REF!</definedName>
    <definedName name="x" localSheetId="29">#REF!</definedName>
    <definedName name="x" localSheetId="26">#REF!</definedName>
    <definedName name="x">#REF!</definedName>
    <definedName name="Y" localSheetId="24">#REF!</definedName>
    <definedName name="Y" localSheetId="12">#REF!</definedName>
    <definedName name="Y" localSheetId="36">#REF!</definedName>
    <definedName name="Y" localSheetId="6">#REF!</definedName>
    <definedName name="Y" localSheetId="21">#REF!</definedName>
    <definedName name="Y" localSheetId="18">#REF!</definedName>
    <definedName name="Y" localSheetId="15">#REF!</definedName>
    <definedName name="Y" localSheetId="9">#REF!</definedName>
    <definedName name="Y" localSheetId="33">#REF!</definedName>
    <definedName name="Y" localSheetId="30">#REF!</definedName>
    <definedName name="Y" localSheetId="27">#REF!</definedName>
    <definedName name="Y" localSheetId="22">#REF!</definedName>
    <definedName name="Y" localSheetId="10">#REF!</definedName>
    <definedName name="Y" localSheetId="34">#REF!</definedName>
    <definedName name="Y" localSheetId="4">#REF!</definedName>
    <definedName name="Y" localSheetId="19">#REF!</definedName>
    <definedName name="Y" localSheetId="16">#REF!</definedName>
    <definedName name="Y" localSheetId="13">#REF!</definedName>
    <definedName name="Y" localSheetId="7">#REF!</definedName>
    <definedName name="Y" localSheetId="31">#REF!</definedName>
    <definedName name="Y" localSheetId="28">#REF!</definedName>
    <definedName name="Y" localSheetId="25">#REF!</definedName>
    <definedName name="Y" localSheetId="23">#REF!</definedName>
    <definedName name="Y" localSheetId="11">#REF!</definedName>
    <definedName name="Y" localSheetId="35">#REF!</definedName>
    <definedName name="Y" localSheetId="5">#REF!</definedName>
    <definedName name="Y" localSheetId="20">#REF!</definedName>
    <definedName name="Y" localSheetId="17">#REF!</definedName>
    <definedName name="Y" localSheetId="14">#REF!</definedName>
    <definedName name="Y" localSheetId="8">#REF!</definedName>
    <definedName name="Y" localSheetId="32">#REF!</definedName>
    <definedName name="Y" localSheetId="29">#REF!</definedName>
    <definedName name="Y" localSheetId="26">#REF!</definedName>
    <definedName name="Y">#REF!</definedName>
    <definedName name="yy" localSheetId="24">#REF!</definedName>
    <definedName name="yy" localSheetId="12">#REF!</definedName>
    <definedName name="yy" localSheetId="36">#REF!</definedName>
    <definedName name="yy" localSheetId="6">#REF!</definedName>
    <definedName name="yy" localSheetId="21">#REF!</definedName>
    <definedName name="yy" localSheetId="18">#REF!</definedName>
    <definedName name="yy" localSheetId="15">#REF!</definedName>
    <definedName name="yy" localSheetId="9">#REF!</definedName>
    <definedName name="yy" localSheetId="33">#REF!</definedName>
    <definedName name="yy" localSheetId="30">#REF!</definedName>
    <definedName name="yy" localSheetId="27">#REF!</definedName>
    <definedName name="yy" localSheetId="22">#REF!</definedName>
    <definedName name="yy" localSheetId="10">#REF!</definedName>
    <definedName name="yy" localSheetId="34">#REF!</definedName>
    <definedName name="yy" localSheetId="4">#REF!</definedName>
    <definedName name="yy" localSheetId="19">#REF!</definedName>
    <definedName name="yy" localSheetId="16">#REF!</definedName>
    <definedName name="yy" localSheetId="13">#REF!</definedName>
    <definedName name="yy" localSheetId="7">#REF!</definedName>
    <definedName name="yy" localSheetId="31">#REF!</definedName>
    <definedName name="yy" localSheetId="28">#REF!</definedName>
    <definedName name="yy" localSheetId="25">#REF!</definedName>
    <definedName name="yy" localSheetId="23">#REF!</definedName>
    <definedName name="yy" localSheetId="11">#REF!</definedName>
    <definedName name="yy" localSheetId="35">#REF!</definedName>
    <definedName name="yy" localSheetId="5">#REF!</definedName>
    <definedName name="yy" localSheetId="20">#REF!</definedName>
    <definedName name="yy" localSheetId="17">#REF!</definedName>
    <definedName name="yy" localSheetId="14">#REF!</definedName>
    <definedName name="yy" localSheetId="8">#REF!</definedName>
    <definedName name="yy" localSheetId="32">#REF!</definedName>
    <definedName name="yy" localSheetId="29">#REF!</definedName>
    <definedName name="yy" localSheetId="26">#REF!</definedName>
    <definedName name="yy">#REF!</definedName>
    <definedName name="z" localSheetId="24">#REF!</definedName>
    <definedName name="z" localSheetId="12">#REF!</definedName>
    <definedName name="z" localSheetId="36">#REF!</definedName>
    <definedName name="z" localSheetId="6">#REF!</definedName>
    <definedName name="z" localSheetId="21">#REF!</definedName>
    <definedName name="z" localSheetId="18">#REF!</definedName>
    <definedName name="z" localSheetId="15">#REF!</definedName>
    <definedName name="z" localSheetId="9">#REF!</definedName>
    <definedName name="z" localSheetId="33">#REF!</definedName>
    <definedName name="z" localSheetId="30">#REF!</definedName>
    <definedName name="z" localSheetId="27">#REF!</definedName>
    <definedName name="z" localSheetId="22">#REF!</definedName>
    <definedName name="z" localSheetId="10">#REF!</definedName>
    <definedName name="z" localSheetId="34">#REF!</definedName>
    <definedName name="z" localSheetId="4">#REF!</definedName>
    <definedName name="z" localSheetId="19">#REF!</definedName>
    <definedName name="z" localSheetId="16">#REF!</definedName>
    <definedName name="z" localSheetId="13">#REF!</definedName>
    <definedName name="z" localSheetId="7">#REF!</definedName>
    <definedName name="z" localSheetId="31">#REF!</definedName>
    <definedName name="z" localSheetId="28">#REF!</definedName>
    <definedName name="z" localSheetId="25">#REF!</definedName>
    <definedName name="z" localSheetId="23">#REF!</definedName>
    <definedName name="z" localSheetId="11">#REF!</definedName>
    <definedName name="z" localSheetId="35">#REF!</definedName>
    <definedName name="z" localSheetId="5">#REF!</definedName>
    <definedName name="z" localSheetId="20">#REF!</definedName>
    <definedName name="z" localSheetId="17">#REF!</definedName>
    <definedName name="z" localSheetId="14">#REF!</definedName>
    <definedName name="z" localSheetId="8">#REF!</definedName>
    <definedName name="z" localSheetId="32">#REF!</definedName>
    <definedName name="z" localSheetId="29">#REF!</definedName>
    <definedName name="z" localSheetId="26">#REF!</definedName>
    <definedName name="z">#REF!</definedName>
    <definedName name="_xlnm.Print_Area" localSheetId="24">'Mixte Août'!$A$1:$N$58</definedName>
    <definedName name="_xlnm.Print_Area" localSheetId="12">'Mixte Avril'!$A$1:$N$58</definedName>
    <definedName name="_xlnm.Print_Area" localSheetId="36">'Mixte Déc'!$A$1:$N$58</definedName>
    <definedName name="_xlnm.Print_Area" localSheetId="6">'Mixte Fév'!$A$1:$N$58</definedName>
    <definedName name="_xlnm.Print_Area" localSheetId="3">'Mixte Janv'!$A$1:$N$65</definedName>
    <definedName name="_xlnm.Print_Area" localSheetId="21">'Mixte Juillet'!$A$1:$N$65</definedName>
    <definedName name="_xlnm.Print_Area" localSheetId="18">'Mixte Juin'!$A$1:$N$63</definedName>
    <definedName name="_xlnm.Print_Area" localSheetId="15">'Mixte Mai'!$A$1:$N$58</definedName>
    <definedName name="_xlnm.Print_Area" localSheetId="9">'Mixte Mars'!$A$1:$N$58</definedName>
    <definedName name="_xlnm.Print_Area" localSheetId="33">'Mixte Nov'!$A$1:$N$58</definedName>
    <definedName name="_xlnm.Print_Area" localSheetId="30">'Mixte Oct'!$A$1:$N$65</definedName>
    <definedName name="_xlnm.Print_Area" localSheetId="27">'Mixte Sept'!$A$1:$N$47</definedName>
    <definedName name="_xlnm.Print_Area" localSheetId="22">'Niveau 1 Août'!$A$2:$N$53</definedName>
    <definedName name="_xlnm.Print_Area" localSheetId="10">'Niveau 1 Avril'!$A$1:$N$53</definedName>
    <definedName name="_xlnm.Print_Area" localSheetId="34">'Niveau 1 Déc'!$A$1:$N$53</definedName>
    <definedName name="_xlnm.Print_Area" localSheetId="4">'Niveau 1 Fév'!$A$1:$N$53</definedName>
    <definedName name="_xlnm.Print_Area" localSheetId="1">'Niveau 1 Janv'!$A$1:$N$60</definedName>
    <definedName name="_xlnm.Print_Area" localSheetId="19">'Niveau 1 Juillet'!$A$1:$N$60</definedName>
    <definedName name="_xlnm.Print_Area" localSheetId="16">'Niveau 1 Juin'!$A$1:$N$57</definedName>
    <definedName name="_xlnm.Print_Area" localSheetId="13">'Niveau 1 Mai'!$A$1:$N$53</definedName>
    <definedName name="_xlnm.Print_Area" localSheetId="7">'Niveau 1 Mars'!$A$1:$O$53</definedName>
    <definedName name="_xlnm.Print_Area" localSheetId="31">'Niveau 1 Nov'!$A$1:$N$53</definedName>
    <definedName name="_xlnm.Print_Area" localSheetId="28">'Niveau 1 Oct'!$A$1:$N$59</definedName>
    <definedName name="_xlnm.Print_Area" localSheetId="25">'Niveau 1 Sept'!$A$1:$N$55</definedName>
    <definedName name="_xlnm.Print_Area" localSheetId="23">'Niveau 2 Août'!$A$1:$N$58</definedName>
    <definedName name="_xlnm.Print_Area" localSheetId="11">'Niveau 2 Avril'!$A$1:$N$58</definedName>
    <definedName name="_xlnm.Print_Area" localSheetId="35">'Niveau 2 Déc'!$A$1:$N$58</definedName>
    <definedName name="_xlnm.Print_Area" localSheetId="5">'Niveau 2 Fév'!$A$1:$N$58</definedName>
    <definedName name="_xlnm.Print_Area" localSheetId="2">'Niveau 2 Janv'!$A$1:$N$65</definedName>
    <definedName name="_xlnm.Print_Area" localSheetId="20">'Niveau 2 Juillet'!$A$1:$N$65</definedName>
    <definedName name="_xlnm.Print_Area" localSheetId="17">'Niveau 2 Juin'!$A$1:$N$61</definedName>
    <definedName name="_xlnm.Print_Area" localSheetId="14">'Niveau 2 Mai'!$A$1:$N$58</definedName>
    <definedName name="_xlnm.Print_Area" localSheetId="8">'Niveau 2 Mars'!$A$1:$N$58</definedName>
    <definedName name="_xlnm.Print_Area" localSheetId="32">'Niveau 2 Nov'!$A$1:$N$58</definedName>
    <definedName name="_xlnm.Print_Area" localSheetId="29">'Niveau 2 Oct'!$A$1:$N$65</definedName>
    <definedName name="_xlnm.Print_Area" localSheetId="26">'Niveau 2 Sept'!$A$1:$N$59</definedName>
  </definedNames>
  <calcPr calcId="162913"/>
</workbook>
</file>

<file path=xl/calcChain.xml><?xml version="1.0" encoding="utf-8"?>
<calcChain xmlns="http://schemas.openxmlformats.org/spreadsheetml/2006/main">
  <c r="H52" i="77" l="1"/>
  <c r="F52" i="77"/>
  <c r="D52" i="77"/>
  <c r="H52" i="76"/>
  <c r="F52" i="76"/>
  <c r="D52" i="76"/>
  <c r="F48" i="75"/>
  <c r="D48" i="75"/>
  <c r="D42" i="72"/>
  <c r="H52" i="67"/>
  <c r="F52" i="67"/>
  <c r="D52" i="67"/>
  <c r="H52" i="66"/>
  <c r="F52" i="66"/>
  <c r="D52" i="66"/>
  <c r="F49" i="65"/>
  <c r="D49" i="65"/>
  <c r="D42" i="62"/>
  <c r="H45" i="57"/>
  <c r="F45" i="57"/>
  <c r="D45" i="57"/>
  <c r="D42" i="56"/>
  <c r="F42" i="56"/>
  <c r="L2" i="83"/>
  <c r="L2" i="82"/>
  <c r="L2" i="80"/>
  <c r="L2" i="79"/>
  <c r="L2" i="77"/>
  <c r="L2" i="76"/>
  <c r="L2" i="74"/>
  <c r="L2" i="73"/>
  <c r="L2" i="71"/>
  <c r="L2" i="70"/>
  <c r="L2" i="67"/>
  <c r="L2" i="66"/>
  <c r="L2" i="64"/>
  <c r="L2" i="63"/>
  <c r="L2" i="61"/>
  <c r="L2" i="60"/>
  <c r="L2" i="58"/>
  <c r="L2" i="57"/>
  <c r="L2" i="55"/>
  <c r="L2" i="54"/>
  <c r="L2" i="51"/>
  <c r="L2" i="52"/>
  <c r="L2" i="49"/>
  <c r="L2" i="48"/>
  <c r="L5" i="48"/>
  <c r="L5" i="49" s="1"/>
  <c r="M44" i="58"/>
  <c r="R3" i="85" l="1"/>
  <c r="H9" i="85" s="1"/>
  <c r="I9" i="85" l="1"/>
  <c r="J9" i="85"/>
  <c r="K9" i="85" s="1"/>
  <c r="D6" i="85"/>
  <c r="H6" i="85"/>
  <c r="D8" i="85"/>
  <c r="H8" i="85"/>
  <c r="D9" i="85"/>
  <c r="M44" i="83"/>
  <c r="M43" i="83"/>
  <c r="M42" i="83"/>
  <c r="M41" i="83"/>
  <c r="M40" i="83"/>
  <c r="M39" i="83"/>
  <c r="M38" i="83"/>
  <c r="M37" i="83"/>
  <c r="M36" i="83"/>
  <c r="M35" i="83"/>
  <c r="M34" i="83"/>
  <c r="M33" i="83"/>
  <c r="M32" i="83"/>
  <c r="M31" i="83"/>
  <c r="M30" i="83"/>
  <c r="M29" i="83"/>
  <c r="M28" i="83"/>
  <c r="M27" i="83"/>
  <c r="M26" i="83"/>
  <c r="M25" i="83"/>
  <c r="M24" i="83"/>
  <c r="M23" i="83"/>
  <c r="M22" i="83"/>
  <c r="M21" i="83"/>
  <c r="M20" i="83"/>
  <c r="M19" i="83"/>
  <c r="M18" i="83"/>
  <c r="M44" i="82"/>
  <c r="M43" i="82"/>
  <c r="M42" i="82"/>
  <c r="M41" i="82"/>
  <c r="M40" i="82"/>
  <c r="M39" i="82"/>
  <c r="M38" i="82"/>
  <c r="M37" i="82"/>
  <c r="M36" i="82"/>
  <c r="M35" i="82"/>
  <c r="M34" i="82"/>
  <c r="M33" i="82"/>
  <c r="M32" i="82"/>
  <c r="M31" i="82"/>
  <c r="M30" i="82"/>
  <c r="M29" i="82"/>
  <c r="M28" i="82"/>
  <c r="M27" i="82"/>
  <c r="M26" i="82"/>
  <c r="M25" i="82"/>
  <c r="M24" i="82"/>
  <c r="M23" i="82"/>
  <c r="M22" i="82"/>
  <c r="M21" i="82"/>
  <c r="M20" i="82"/>
  <c r="M19" i="82"/>
  <c r="M18" i="82"/>
  <c r="H45" i="82"/>
  <c r="F45" i="82"/>
  <c r="D45" i="82"/>
  <c r="L5" i="83"/>
  <c r="L5" i="82"/>
  <c r="F42" i="81"/>
  <c r="D42" i="81"/>
  <c r="M44" i="80"/>
  <c r="M43" i="80"/>
  <c r="M42" i="80"/>
  <c r="M41" i="80"/>
  <c r="M40" i="80"/>
  <c r="M39" i="80"/>
  <c r="M38" i="80"/>
  <c r="M37" i="80"/>
  <c r="M36" i="80"/>
  <c r="M35" i="80"/>
  <c r="M34" i="80"/>
  <c r="M33" i="80"/>
  <c r="M32" i="80"/>
  <c r="M31" i="80"/>
  <c r="M30" i="80"/>
  <c r="M29" i="80"/>
  <c r="M28" i="80"/>
  <c r="M27" i="80"/>
  <c r="M26" i="80"/>
  <c r="M25" i="80"/>
  <c r="M23" i="80"/>
  <c r="M22" i="80"/>
  <c r="M21" i="80"/>
  <c r="M20" i="80"/>
  <c r="M19" i="80"/>
  <c r="M18" i="80"/>
  <c r="M17" i="80"/>
  <c r="H45" i="80"/>
  <c r="F45" i="80"/>
  <c r="D45" i="80"/>
  <c r="L5" i="80"/>
  <c r="L5" i="79"/>
  <c r="M44" i="79"/>
  <c r="M43" i="79"/>
  <c r="M42" i="79"/>
  <c r="M41" i="79"/>
  <c r="M40" i="79"/>
  <c r="M39" i="79"/>
  <c r="M38" i="79"/>
  <c r="M37" i="79"/>
  <c r="M36" i="79"/>
  <c r="M35" i="79"/>
  <c r="M34" i="79"/>
  <c r="M33" i="79"/>
  <c r="M32" i="79"/>
  <c r="M31" i="79"/>
  <c r="M30" i="79"/>
  <c r="M29" i="79"/>
  <c r="M28" i="79"/>
  <c r="M27" i="79"/>
  <c r="M26" i="79"/>
  <c r="M25" i="79"/>
  <c r="M23" i="79"/>
  <c r="M22" i="79"/>
  <c r="M21" i="79"/>
  <c r="M20" i="79"/>
  <c r="M19" i="79"/>
  <c r="M18" i="79"/>
  <c r="M17" i="79"/>
  <c r="H45" i="79"/>
  <c r="F45" i="79"/>
  <c r="D45" i="79"/>
  <c r="F42" i="78"/>
  <c r="D42" i="78"/>
  <c r="M44" i="77"/>
  <c r="M43" i="77"/>
  <c r="M42" i="77"/>
  <c r="M41" i="77"/>
  <c r="M40" i="77"/>
  <c r="M39" i="77"/>
  <c r="M38" i="77"/>
  <c r="M37" i="77"/>
  <c r="M36" i="77"/>
  <c r="M35" i="77"/>
  <c r="M34" i="77"/>
  <c r="M33" i="77"/>
  <c r="M32" i="77"/>
  <c r="M31" i="77"/>
  <c r="M30" i="77"/>
  <c r="M29" i="77"/>
  <c r="M28" i="77"/>
  <c r="M27" i="77"/>
  <c r="M26" i="77"/>
  <c r="M25" i="77"/>
  <c r="M24" i="77"/>
  <c r="M23" i="77"/>
  <c r="M22" i="77"/>
  <c r="M21" i="77"/>
  <c r="M20" i="77"/>
  <c r="M19" i="77"/>
  <c r="M18" i="77"/>
  <c r="M44" i="76"/>
  <c r="M43" i="76"/>
  <c r="M42" i="76"/>
  <c r="M41" i="76"/>
  <c r="M40" i="76"/>
  <c r="M39" i="76"/>
  <c r="M38" i="76"/>
  <c r="M37" i="76"/>
  <c r="M36" i="76"/>
  <c r="M35" i="76"/>
  <c r="M34" i="76"/>
  <c r="M33" i="76"/>
  <c r="M32" i="76"/>
  <c r="M31" i="76"/>
  <c r="M30" i="76"/>
  <c r="M29" i="76"/>
  <c r="M28" i="76"/>
  <c r="M27" i="76"/>
  <c r="M26" i="76"/>
  <c r="M25" i="76"/>
  <c r="M24" i="76"/>
  <c r="M23" i="76"/>
  <c r="M22" i="76"/>
  <c r="M21" i="76"/>
  <c r="M20" i="76"/>
  <c r="M19" i="76"/>
  <c r="M18" i="76"/>
  <c r="E6" i="85" l="1"/>
  <c r="D7" i="85"/>
  <c r="F6" i="85"/>
  <c r="G6" i="85" s="1"/>
  <c r="I8" i="85"/>
  <c r="J8" i="85"/>
  <c r="K8" i="85" s="1"/>
  <c r="I6" i="85"/>
  <c r="H7" i="85"/>
  <c r="J6" i="85"/>
  <c r="K6" i="85" s="1"/>
  <c r="E9" i="85"/>
  <c r="F9" i="85"/>
  <c r="G9" i="85" s="1"/>
  <c r="E8" i="85"/>
  <c r="F8" i="85"/>
  <c r="G8" i="85" s="1"/>
  <c r="M44" i="74"/>
  <c r="M43" i="74"/>
  <c r="M42" i="74"/>
  <c r="M41" i="74"/>
  <c r="M40" i="74"/>
  <c r="M39" i="74"/>
  <c r="M38" i="74"/>
  <c r="M37" i="74"/>
  <c r="M36" i="74"/>
  <c r="M35" i="74"/>
  <c r="M34" i="74"/>
  <c r="M33" i="74"/>
  <c r="M32" i="74"/>
  <c r="M31" i="74"/>
  <c r="M30" i="74"/>
  <c r="M29" i="74"/>
  <c r="M28" i="74"/>
  <c r="M27" i="74"/>
  <c r="M26" i="74"/>
  <c r="M25" i="74"/>
  <c r="M24" i="74"/>
  <c r="M23" i="74"/>
  <c r="M22" i="74"/>
  <c r="M21" i="74"/>
  <c r="M20" i="74"/>
  <c r="M19" i="74"/>
  <c r="M18" i="74"/>
  <c r="H45" i="74"/>
  <c r="F45" i="74"/>
  <c r="D45" i="74"/>
  <c r="H45" i="73"/>
  <c r="F45" i="73"/>
  <c r="D45" i="73"/>
  <c r="C51" i="73"/>
  <c r="M44" i="73"/>
  <c r="M43" i="73"/>
  <c r="M42" i="73"/>
  <c r="M41" i="73"/>
  <c r="M40" i="73"/>
  <c r="M39" i="73"/>
  <c r="M38" i="73"/>
  <c r="M37" i="73"/>
  <c r="M36" i="73"/>
  <c r="M35" i="73"/>
  <c r="M34" i="73"/>
  <c r="M33" i="73"/>
  <c r="M32" i="73"/>
  <c r="M31" i="73"/>
  <c r="M30" i="73"/>
  <c r="M29" i="73"/>
  <c r="M28" i="73"/>
  <c r="M27" i="73"/>
  <c r="M26" i="73"/>
  <c r="M25" i="73"/>
  <c r="M24" i="73"/>
  <c r="M23" i="73"/>
  <c r="M22" i="73"/>
  <c r="M21" i="73"/>
  <c r="M20" i="73"/>
  <c r="M19" i="73"/>
  <c r="M18" i="73"/>
  <c r="F42" i="72"/>
  <c r="D42" i="69"/>
  <c r="M44" i="71"/>
  <c r="M43" i="71"/>
  <c r="M42" i="71"/>
  <c r="M41" i="71"/>
  <c r="M40" i="71"/>
  <c r="M39" i="71"/>
  <c r="M38" i="71"/>
  <c r="M37" i="71"/>
  <c r="M36" i="71"/>
  <c r="M35" i="71"/>
  <c r="M34" i="71"/>
  <c r="M33" i="71"/>
  <c r="M32" i="71"/>
  <c r="M31" i="71"/>
  <c r="M30" i="71"/>
  <c r="M29" i="71"/>
  <c r="M28" i="71"/>
  <c r="M27" i="71"/>
  <c r="M26" i="71"/>
  <c r="M25" i="71"/>
  <c r="M24" i="71"/>
  <c r="M23" i="71"/>
  <c r="M22" i="71"/>
  <c r="M21" i="71"/>
  <c r="M20" i="71"/>
  <c r="M19" i="71"/>
  <c r="M18" i="71"/>
  <c r="M44" i="70"/>
  <c r="M43" i="70"/>
  <c r="M42" i="70"/>
  <c r="M41" i="70"/>
  <c r="M40" i="70"/>
  <c r="M39" i="70"/>
  <c r="M38" i="70"/>
  <c r="M37" i="70"/>
  <c r="M36" i="70"/>
  <c r="M35" i="70"/>
  <c r="M34" i="70"/>
  <c r="M33" i="70"/>
  <c r="M32" i="70"/>
  <c r="M31" i="70"/>
  <c r="M30" i="70"/>
  <c r="M29" i="70"/>
  <c r="M28" i="70"/>
  <c r="M27" i="70"/>
  <c r="M26" i="70"/>
  <c r="M25" i="70"/>
  <c r="M24" i="70"/>
  <c r="M23" i="70"/>
  <c r="M22" i="70"/>
  <c r="M21" i="70"/>
  <c r="M20" i="70"/>
  <c r="M19" i="70"/>
  <c r="M18" i="70"/>
  <c r="F42" i="69"/>
  <c r="M44" i="67"/>
  <c r="M43" i="67"/>
  <c r="M42" i="67"/>
  <c r="M41" i="67"/>
  <c r="M40" i="67"/>
  <c r="M39" i="67"/>
  <c r="M38" i="67"/>
  <c r="M37" i="67"/>
  <c r="M36" i="67"/>
  <c r="M35" i="67"/>
  <c r="M34" i="67"/>
  <c r="M33" i="67"/>
  <c r="M32" i="67"/>
  <c r="M31" i="67"/>
  <c r="M30" i="67"/>
  <c r="M29" i="67"/>
  <c r="M28" i="67"/>
  <c r="M27" i="67"/>
  <c r="M26" i="67"/>
  <c r="M25" i="67"/>
  <c r="M24" i="67"/>
  <c r="M23" i="67"/>
  <c r="M22" i="67"/>
  <c r="M21" i="67"/>
  <c r="M20" i="67"/>
  <c r="M19" i="67"/>
  <c r="M18" i="67"/>
  <c r="M44" i="66"/>
  <c r="M43" i="66"/>
  <c r="M42" i="66"/>
  <c r="M41" i="66"/>
  <c r="M40" i="66"/>
  <c r="M39" i="66"/>
  <c r="M38" i="66"/>
  <c r="M37" i="66"/>
  <c r="M36" i="66"/>
  <c r="M35" i="66"/>
  <c r="M34" i="66"/>
  <c r="M33" i="66"/>
  <c r="M32" i="66"/>
  <c r="M31" i="66"/>
  <c r="M30" i="66"/>
  <c r="M29" i="66"/>
  <c r="M28" i="66"/>
  <c r="M27" i="66"/>
  <c r="M26" i="66"/>
  <c r="M25" i="66"/>
  <c r="M24" i="66"/>
  <c r="M23" i="66"/>
  <c r="M22" i="66"/>
  <c r="M21" i="66"/>
  <c r="M20" i="66"/>
  <c r="M19" i="66"/>
  <c r="M18" i="66"/>
  <c r="M44" i="61"/>
  <c r="M43" i="61"/>
  <c r="M42" i="61"/>
  <c r="M41" i="61"/>
  <c r="M40" i="61"/>
  <c r="M39" i="61"/>
  <c r="M38" i="61"/>
  <c r="M37" i="61"/>
  <c r="M36" i="61"/>
  <c r="M35" i="61"/>
  <c r="M34" i="61"/>
  <c r="M33" i="61"/>
  <c r="M32" i="61"/>
  <c r="M31" i="61"/>
  <c r="M30" i="61"/>
  <c r="M29" i="61"/>
  <c r="M28" i="61"/>
  <c r="M27" i="61"/>
  <c r="M26" i="61"/>
  <c r="M24" i="61"/>
  <c r="M23" i="61"/>
  <c r="M22" i="61"/>
  <c r="M21" i="61"/>
  <c r="M20" i="61"/>
  <c r="M19" i="61"/>
  <c r="M18" i="61"/>
  <c r="M17" i="61"/>
  <c r="M24" i="60"/>
  <c r="M23" i="60"/>
  <c r="M22" i="60"/>
  <c r="M21" i="60"/>
  <c r="M20" i="60"/>
  <c r="M19" i="60"/>
  <c r="M18" i="60"/>
  <c r="M17" i="60"/>
  <c r="M44" i="60"/>
  <c r="M43" i="60"/>
  <c r="M42" i="60"/>
  <c r="M41" i="60"/>
  <c r="M40" i="60"/>
  <c r="M39" i="60"/>
  <c r="M38" i="60"/>
  <c r="M37" i="60"/>
  <c r="M36" i="60"/>
  <c r="M35" i="60"/>
  <c r="M34" i="60"/>
  <c r="M33" i="60"/>
  <c r="M32" i="60"/>
  <c r="M31" i="60"/>
  <c r="M30" i="60"/>
  <c r="M29" i="60"/>
  <c r="M28" i="60"/>
  <c r="M27" i="60"/>
  <c r="M26" i="60"/>
  <c r="M43" i="58"/>
  <c r="M42" i="58"/>
  <c r="M41" i="58"/>
  <c r="M40" i="58"/>
  <c r="M39" i="58"/>
  <c r="M38" i="58"/>
  <c r="M37" i="58"/>
  <c r="M36" i="58"/>
  <c r="M35" i="58"/>
  <c r="M34" i="58"/>
  <c r="M33" i="58"/>
  <c r="M32" i="58"/>
  <c r="M31" i="58"/>
  <c r="M30" i="58"/>
  <c r="M29" i="58"/>
  <c r="M28" i="58"/>
  <c r="M27" i="58"/>
  <c r="M26" i="58"/>
  <c r="M25" i="58"/>
  <c r="M24" i="58"/>
  <c r="M23" i="58"/>
  <c r="M22" i="58"/>
  <c r="M21" i="58"/>
  <c r="M20" i="58"/>
  <c r="M19" i="58"/>
  <c r="M18" i="58"/>
  <c r="M44" i="57"/>
  <c r="M43" i="57"/>
  <c r="M42" i="57"/>
  <c r="M41" i="57"/>
  <c r="M40" i="57"/>
  <c r="M39" i="57"/>
  <c r="M38" i="57"/>
  <c r="M37" i="57"/>
  <c r="M36" i="57"/>
  <c r="M35" i="57"/>
  <c r="M34" i="57"/>
  <c r="M33" i="57"/>
  <c r="M32" i="57"/>
  <c r="M31" i="57"/>
  <c r="M30" i="57"/>
  <c r="M29" i="57"/>
  <c r="M28" i="57"/>
  <c r="M27" i="57"/>
  <c r="M26" i="57"/>
  <c r="M25" i="57"/>
  <c r="M24" i="57"/>
  <c r="M23" i="57"/>
  <c r="M22" i="57"/>
  <c r="M21" i="57"/>
  <c r="M20" i="57"/>
  <c r="M19" i="57"/>
  <c r="M18" i="57"/>
  <c r="M44" i="55"/>
  <c r="M43" i="55"/>
  <c r="M42" i="55"/>
  <c r="M41" i="55"/>
  <c r="M40" i="55"/>
  <c r="M39" i="55"/>
  <c r="M38" i="55"/>
  <c r="M37" i="55"/>
  <c r="M36" i="55"/>
  <c r="M35" i="55"/>
  <c r="M34" i="55"/>
  <c r="M33" i="55"/>
  <c r="M32" i="55"/>
  <c r="M31" i="55"/>
  <c r="M30" i="55"/>
  <c r="M29" i="55"/>
  <c r="M28" i="55"/>
  <c r="M27" i="55"/>
  <c r="M26" i="55"/>
  <c r="M25" i="55"/>
  <c r="M24" i="55"/>
  <c r="M23" i="55"/>
  <c r="M22" i="55"/>
  <c r="M21" i="55"/>
  <c r="M20" i="55"/>
  <c r="M19" i="55"/>
  <c r="M18" i="55"/>
  <c r="M44" i="54"/>
  <c r="M43" i="54"/>
  <c r="M42" i="54"/>
  <c r="M41" i="54"/>
  <c r="M40" i="54"/>
  <c r="M39" i="54"/>
  <c r="M38" i="54"/>
  <c r="M37" i="54"/>
  <c r="M36" i="54"/>
  <c r="M35" i="54"/>
  <c r="M34" i="54"/>
  <c r="M33" i="54"/>
  <c r="M32" i="54"/>
  <c r="M31" i="54"/>
  <c r="M30" i="54"/>
  <c r="M29" i="54"/>
  <c r="M28" i="54"/>
  <c r="M27" i="54"/>
  <c r="M26" i="54"/>
  <c r="M25" i="54"/>
  <c r="M24" i="54"/>
  <c r="M23" i="54"/>
  <c r="M22" i="54"/>
  <c r="M21" i="54"/>
  <c r="M20" i="54"/>
  <c r="M19" i="54"/>
  <c r="M18" i="54"/>
  <c r="M44" i="52"/>
  <c r="M43" i="52"/>
  <c r="M42" i="52"/>
  <c r="M41" i="52"/>
  <c r="M40" i="52"/>
  <c r="M39" i="52"/>
  <c r="M38" i="52"/>
  <c r="M37" i="52"/>
  <c r="M36" i="52"/>
  <c r="M35" i="52"/>
  <c r="M34" i="52"/>
  <c r="M33" i="52"/>
  <c r="M32" i="52"/>
  <c r="M31" i="52"/>
  <c r="M30" i="52"/>
  <c r="M29" i="52"/>
  <c r="M28" i="52"/>
  <c r="M27" i="52"/>
  <c r="M26" i="52"/>
  <c r="M25" i="52"/>
  <c r="M24" i="52"/>
  <c r="M23" i="52"/>
  <c r="M22" i="52"/>
  <c r="M21" i="52"/>
  <c r="M20" i="52"/>
  <c r="M19" i="52"/>
  <c r="M18" i="52"/>
  <c r="M44" i="51"/>
  <c r="M43" i="51"/>
  <c r="M42" i="51"/>
  <c r="M41" i="51"/>
  <c r="M40" i="51"/>
  <c r="M39" i="51"/>
  <c r="M38" i="51"/>
  <c r="M37" i="51"/>
  <c r="M36" i="51"/>
  <c r="M35" i="51"/>
  <c r="M34" i="51"/>
  <c r="M33" i="51"/>
  <c r="M32" i="51"/>
  <c r="M31" i="51"/>
  <c r="M30" i="51"/>
  <c r="M29" i="51"/>
  <c r="M28" i="51"/>
  <c r="M27" i="51"/>
  <c r="M26" i="51"/>
  <c r="M25" i="51"/>
  <c r="M24" i="51"/>
  <c r="M23" i="51"/>
  <c r="M22" i="51"/>
  <c r="M21" i="51"/>
  <c r="M20" i="51"/>
  <c r="M19" i="51"/>
  <c r="M18" i="51"/>
  <c r="M51" i="49"/>
  <c r="M50" i="49"/>
  <c r="M49" i="49"/>
  <c r="M48" i="49"/>
  <c r="M47" i="49"/>
  <c r="M46" i="49"/>
  <c r="M45" i="49"/>
  <c r="M44" i="49"/>
  <c r="M43" i="49"/>
  <c r="M42" i="49"/>
  <c r="M41" i="49"/>
  <c r="M40" i="49"/>
  <c r="M39" i="49"/>
  <c r="M38" i="49"/>
  <c r="M37" i="49"/>
  <c r="M36" i="49"/>
  <c r="M35" i="49"/>
  <c r="M34" i="49"/>
  <c r="M33" i="49"/>
  <c r="M32" i="49"/>
  <c r="M31" i="49"/>
  <c r="M30" i="49"/>
  <c r="M29" i="49"/>
  <c r="M28" i="49"/>
  <c r="M27" i="49"/>
  <c r="M26" i="49"/>
  <c r="M25" i="49"/>
  <c r="M24" i="49"/>
  <c r="M23" i="49"/>
  <c r="M22" i="49"/>
  <c r="M21" i="49"/>
  <c r="M20" i="49"/>
  <c r="M19" i="49"/>
  <c r="M18" i="49"/>
  <c r="M51" i="48"/>
  <c r="M50" i="48"/>
  <c r="M49" i="48"/>
  <c r="M48" i="48"/>
  <c r="M47" i="48"/>
  <c r="M46" i="48"/>
  <c r="M45" i="48"/>
  <c r="M44" i="48"/>
  <c r="M43" i="48"/>
  <c r="M42" i="48"/>
  <c r="M41" i="48"/>
  <c r="M40" i="48"/>
  <c r="M39" i="48"/>
  <c r="M38" i="48"/>
  <c r="M37" i="48"/>
  <c r="M36" i="48"/>
  <c r="M35" i="48"/>
  <c r="M34" i="48"/>
  <c r="M33" i="48"/>
  <c r="M32" i="48"/>
  <c r="M31" i="48"/>
  <c r="M30" i="48"/>
  <c r="M29" i="48"/>
  <c r="M28" i="48"/>
  <c r="M27" i="48"/>
  <c r="M26" i="48"/>
  <c r="M25" i="48"/>
  <c r="M24" i="48"/>
  <c r="M23" i="48"/>
  <c r="M22" i="48"/>
  <c r="M21" i="48"/>
  <c r="M20" i="48"/>
  <c r="M19" i="48"/>
  <c r="M18" i="48"/>
  <c r="M44" i="63"/>
  <c r="M43" i="63"/>
  <c r="M42" i="63"/>
  <c r="M41" i="63"/>
  <c r="M40" i="63"/>
  <c r="M39" i="63"/>
  <c r="M38" i="63"/>
  <c r="M37" i="63"/>
  <c r="M36" i="63"/>
  <c r="M35" i="63"/>
  <c r="M34" i="63"/>
  <c r="M33" i="63"/>
  <c r="M32" i="63"/>
  <c r="M31" i="63"/>
  <c r="M30" i="63"/>
  <c r="M29" i="63"/>
  <c r="M28" i="63"/>
  <c r="M27" i="63"/>
  <c r="M26" i="63"/>
  <c r="M25" i="63"/>
  <c r="M24" i="63"/>
  <c r="M23" i="63"/>
  <c r="M22" i="63"/>
  <c r="M21" i="63"/>
  <c r="M20" i="63"/>
  <c r="M19" i="63"/>
  <c r="M18" i="63"/>
  <c r="M44" i="64"/>
  <c r="M43" i="64"/>
  <c r="M42" i="64"/>
  <c r="M41" i="64"/>
  <c r="M40" i="64"/>
  <c r="M39" i="64"/>
  <c r="M38" i="64"/>
  <c r="M37" i="64"/>
  <c r="M36" i="64"/>
  <c r="M35" i="64"/>
  <c r="M34" i="64"/>
  <c r="M33" i="64"/>
  <c r="M32" i="64"/>
  <c r="M31" i="64"/>
  <c r="H45" i="64"/>
  <c r="F45" i="64"/>
  <c r="D45" i="64"/>
  <c r="H45" i="63"/>
  <c r="F45" i="63"/>
  <c r="D45" i="63"/>
  <c r="F42" i="62"/>
  <c r="H45" i="61"/>
  <c r="F45" i="61"/>
  <c r="D45" i="61"/>
  <c r="H45" i="60"/>
  <c r="F45" i="60"/>
  <c r="D45" i="60"/>
  <c r="F42" i="59"/>
  <c r="D42" i="59"/>
  <c r="D42" i="53"/>
  <c r="D45" i="52"/>
  <c r="H45" i="51"/>
  <c r="F45" i="51"/>
  <c r="D45" i="51"/>
  <c r="F42" i="50"/>
  <c r="D42" i="50"/>
  <c r="H52" i="49"/>
  <c r="F52" i="49"/>
  <c r="D52" i="49"/>
  <c r="H52" i="48"/>
  <c r="F52" i="48"/>
  <c r="D52" i="48"/>
  <c r="F49" i="47"/>
  <c r="D49" i="47"/>
  <c r="I7" i="85" l="1"/>
  <c r="J7" i="85"/>
  <c r="K7" i="85" s="1"/>
  <c r="E7" i="85"/>
  <c r="F7" i="85"/>
  <c r="G7" i="85" s="1"/>
  <c r="C53" i="47"/>
  <c r="L5" i="77" l="1"/>
  <c r="L5" i="76"/>
  <c r="L5" i="73"/>
  <c r="L5" i="74" s="1"/>
  <c r="L5" i="70"/>
  <c r="L5" i="71" s="1"/>
  <c r="L5" i="67"/>
  <c r="L5" i="66"/>
  <c r="L5" i="63"/>
  <c r="L5" i="64"/>
  <c r="L5" i="60"/>
  <c r="L5" i="61"/>
  <c r="L5" i="57"/>
  <c r="L5" i="58" s="1"/>
  <c r="L5" i="54"/>
  <c r="L5" i="55" s="1"/>
  <c r="L5" i="51"/>
  <c r="L5" i="52" s="1"/>
  <c r="H45" i="83" l="1"/>
  <c r="F45" i="83"/>
  <c r="D45" i="83"/>
  <c r="C58" i="76" l="1"/>
  <c r="C46" i="53" l="1"/>
  <c r="C46" i="81" l="1"/>
  <c r="C58" i="67"/>
  <c r="M17" i="83" l="1"/>
  <c r="M45" i="83" s="1"/>
  <c r="M17" i="82"/>
  <c r="M45" i="82" s="1"/>
  <c r="C51" i="83" l="1"/>
  <c r="C51" i="82"/>
  <c r="C51" i="80"/>
  <c r="M24" i="80"/>
  <c r="M45" i="80" s="1"/>
  <c r="C51" i="79"/>
  <c r="M24" i="79"/>
  <c r="M45" i="79" s="1"/>
  <c r="C46" i="78"/>
  <c r="C58" i="77"/>
  <c r="M17" i="77"/>
  <c r="M52" i="77" s="1"/>
  <c r="M17" i="76"/>
  <c r="M52" i="76" s="1"/>
  <c r="C52" i="75"/>
  <c r="C51" i="74"/>
  <c r="M17" i="74"/>
  <c r="M45" i="74" s="1"/>
  <c r="M17" i="73"/>
  <c r="M45" i="73" s="1"/>
  <c r="C48" i="72"/>
  <c r="C51" i="71"/>
  <c r="H45" i="71"/>
  <c r="F45" i="71"/>
  <c r="D45" i="71"/>
  <c r="M17" i="71"/>
  <c r="M45" i="71" s="1"/>
  <c r="C51" i="70"/>
  <c r="H45" i="70"/>
  <c r="F45" i="70"/>
  <c r="D45" i="70"/>
  <c r="M17" i="70"/>
  <c r="C46" i="69"/>
  <c r="M17" i="67"/>
  <c r="M52" i="67" s="1"/>
  <c r="C58" i="66"/>
  <c r="M17" i="66"/>
  <c r="M52" i="66" s="1"/>
  <c r="C53" i="65"/>
  <c r="C56" i="64"/>
  <c r="M30" i="64"/>
  <c r="M29" i="64"/>
  <c r="M28" i="64"/>
  <c r="M27" i="64"/>
  <c r="M26" i="64"/>
  <c r="M25" i="64"/>
  <c r="M24" i="64"/>
  <c r="M23" i="64"/>
  <c r="M22" i="64"/>
  <c r="M21" i="64"/>
  <c r="M20" i="64"/>
  <c r="M19" i="64"/>
  <c r="M18" i="64"/>
  <c r="M17" i="64"/>
  <c r="C54" i="63"/>
  <c r="M17" i="63"/>
  <c r="M45" i="63" s="1"/>
  <c r="C50" i="62"/>
  <c r="C51" i="61"/>
  <c r="M25" i="61"/>
  <c r="M45" i="61" s="1"/>
  <c r="C51" i="60"/>
  <c r="M25" i="60"/>
  <c r="M45" i="60" s="1"/>
  <c r="C46" i="59"/>
  <c r="C51" i="58"/>
  <c r="H45" i="58"/>
  <c r="F45" i="58"/>
  <c r="D45" i="58"/>
  <c r="M17" i="58"/>
  <c r="C51" i="57"/>
  <c r="M17" i="57"/>
  <c r="M45" i="57" s="1"/>
  <c r="C46" i="56"/>
  <c r="C51" i="55"/>
  <c r="H45" i="55"/>
  <c r="F45" i="55"/>
  <c r="D45" i="55"/>
  <c r="M17" i="55"/>
  <c r="C51" i="54"/>
  <c r="H45" i="54"/>
  <c r="F45" i="54"/>
  <c r="D45" i="54"/>
  <c r="M17" i="54"/>
  <c r="F42" i="53"/>
  <c r="C51" i="52"/>
  <c r="H45" i="52"/>
  <c r="F45" i="52"/>
  <c r="M17" i="52"/>
  <c r="M45" i="52" s="1"/>
  <c r="C51" i="51"/>
  <c r="M17" i="51"/>
  <c r="M45" i="51" s="1"/>
  <c r="C46" i="50"/>
  <c r="C58" i="49"/>
  <c r="M17" i="49"/>
  <c r="M52" i="49" s="1"/>
  <c r="C58" i="48"/>
  <c r="M17" i="48"/>
  <c r="M52" i="48" s="1"/>
  <c r="M45" i="64" l="1"/>
  <c r="M45" i="54"/>
  <c r="M45" i="70"/>
  <c r="M45" i="55"/>
  <c r="M45" i="58"/>
  <c r="A1" i="4" l="1"/>
</calcChain>
</file>

<file path=xl/sharedStrings.xml><?xml version="1.0" encoding="utf-8"?>
<sst xmlns="http://schemas.openxmlformats.org/spreadsheetml/2006/main" count="1213" uniqueCount="90">
  <si>
    <t>D</t>
  </si>
  <si>
    <t>Date</t>
  </si>
  <si>
    <t>Nom :</t>
  </si>
  <si>
    <t xml:space="preserve">Prénom : </t>
  </si>
  <si>
    <t>Oui</t>
  </si>
  <si>
    <t>Non</t>
  </si>
  <si>
    <t xml:space="preserve">RETOUR DU PRESENT DOCUMENT AU GESTIONNAIRE DU PERSONNEL AVANT LE </t>
  </si>
  <si>
    <t>Fait le :</t>
  </si>
  <si>
    <t>Non car CP ou 1/2 CP</t>
  </si>
  <si>
    <t>Non car RTT ou 1/2 RTT</t>
  </si>
  <si>
    <t>Non car AT</t>
  </si>
  <si>
    <t>Non car Formation</t>
  </si>
  <si>
    <t>Non car Note de Frais</t>
  </si>
  <si>
    <t>Non car Evènement Familial</t>
  </si>
  <si>
    <t>Non car Maladie</t>
  </si>
  <si>
    <t>Non car Maternité/Paternité</t>
  </si>
  <si>
    <t>Non car Invitation</t>
  </si>
  <si>
    <t>Non car Réunion représentant du Personnel</t>
  </si>
  <si>
    <t>Non car CSS ou 1/2 CSS</t>
  </si>
  <si>
    <t>Non car RH ou 1/2 RH</t>
  </si>
  <si>
    <t xml:space="preserve">Je certifie l'exactitude de toutes les données renseignées. </t>
  </si>
  <si>
    <t>TOTAL DE LA PERIODE</t>
  </si>
  <si>
    <t>Nom / Prénom de la hiérarchie :</t>
  </si>
  <si>
    <t xml:space="preserve">En cas d'intervention sur le terrain, quel moyen de transport avez-vous utilisé ? </t>
  </si>
  <si>
    <t xml:space="preserve">interventions </t>
  </si>
  <si>
    <t>Statut / Emploi :</t>
  </si>
  <si>
    <t>Région / Exploit. :</t>
  </si>
  <si>
    <t>Véhicule de service ou fonction =</t>
  </si>
  <si>
    <t xml:space="preserve">INTERVENTION PHYSIQUE   </t>
  </si>
  <si>
    <t>Où et pour quel motif ?</t>
  </si>
  <si>
    <t>Quelle durée d'intervention ?</t>
  </si>
  <si>
    <t>Véhicule personnel (NDF à établir) =</t>
  </si>
  <si>
    <t>Niveau 1</t>
  </si>
  <si>
    <t>Niveau 2</t>
  </si>
  <si>
    <t>5 jours continus en semaine</t>
  </si>
  <si>
    <t>6 jours continus en semaine</t>
  </si>
  <si>
    <t>7 jours continus en semaine</t>
  </si>
  <si>
    <t>Montant</t>
  </si>
  <si>
    <t>jours de niveau 1</t>
  </si>
  <si>
    <t>Fiche à retourner à votre Gestionnaire du Personnel</t>
  </si>
  <si>
    <t>A</t>
  </si>
  <si>
    <t>B</t>
  </si>
  <si>
    <t>C</t>
  </si>
  <si>
    <t>Catégories</t>
  </si>
  <si>
    <t>Périodes d'Astreinte</t>
  </si>
  <si>
    <t>Week-End</t>
  </si>
  <si>
    <t>Fiche à conserver durant 3 ans</t>
  </si>
  <si>
    <t xml:space="preserve">Signature du Collaborateur : </t>
  </si>
  <si>
    <t xml:space="preserve">Signature de la Hiérarchie après contrôles : </t>
  </si>
  <si>
    <t>Type d'astreinte</t>
  </si>
  <si>
    <t xml:space="preserve"> A  ou  B  ou  C  ou  D </t>
  </si>
  <si>
    <t>Heure de fin :</t>
  </si>
  <si>
    <t>Heure de début :</t>
  </si>
  <si>
    <t>Commentaires / remarques</t>
  </si>
  <si>
    <t>Type d'astreinte A B C ou D</t>
  </si>
  <si>
    <t>Périodes d'Astreinte niveau 1</t>
  </si>
  <si>
    <t>Heure de début d'astreinte le 1er jour</t>
  </si>
  <si>
    <t>Heure de fin d'astreinte le dernier jour</t>
  </si>
  <si>
    <t>Périodes d'Astreinte niveau 2</t>
  </si>
  <si>
    <t>le 1er jour</t>
  </si>
  <si>
    <t>le dernier jour</t>
  </si>
  <si>
    <t>Temps trajet domicile</t>
  </si>
  <si>
    <t>heures</t>
  </si>
  <si>
    <t>Heure début intervention</t>
  </si>
  <si>
    <t>Heure fin d'intervention</t>
  </si>
  <si>
    <t>jours</t>
  </si>
  <si>
    <t>h d'interventions</t>
  </si>
  <si>
    <t>ASTREINTE niveau 2</t>
  </si>
  <si>
    <t>ASTREINTE niveau 1</t>
  </si>
  <si>
    <t>ASTREINTE MIXTE</t>
  </si>
  <si>
    <t>Type de rémunération : niveau 1</t>
  </si>
  <si>
    <t>Astreinte mixte</t>
  </si>
  <si>
    <t xml:space="preserve"> = verser l'indemnité de niveau 1  et paiement des temps de trajet et d'intervention (idem niveau 2)</t>
  </si>
  <si>
    <t xml:space="preserve"> = Zones de saisie informatique svp</t>
  </si>
  <si>
    <t xml:space="preserve"> = Zones de saisie manuscrite svp</t>
  </si>
  <si>
    <t>Si JF tombant sur période</t>
  </si>
  <si>
    <t>Si entrant dans le cas de la majoration été</t>
  </si>
  <si>
    <t>Si entrant dans le cas de la majo été et JF tombant pendant période</t>
  </si>
  <si>
    <r>
      <rPr>
        <b/>
        <u/>
        <sz val="11"/>
        <color theme="1"/>
        <rFont val="Calibri"/>
        <family val="2"/>
        <scheme val="minor"/>
      </rPr>
      <t>Majoration jour férié :</t>
    </r>
    <r>
      <rPr>
        <sz val="11"/>
        <color theme="1"/>
        <rFont val="Calibri"/>
        <family val="2"/>
        <scheme val="minor"/>
      </rPr>
      <t xml:space="preserve"> Chaque jour férié compris dans une période d'astreinte donnera lieu à une majoration de 25€</t>
    </r>
  </si>
  <si>
    <r>
      <rPr>
        <b/>
        <u/>
        <sz val="11"/>
        <color theme="1"/>
        <rFont val="Calibri"/>
        <family val="2"/>
        <scheme val="minor"/>
      </rPr>
      <t>Majoration pour période d'été (1er juin au 30 septembre) :</t>
    </r>
    <r>
      <rPr>
        <sz val="11"/>
        <color theme="1"/>
        <rFont val="Calibri"/>
        <family val="2"/>
        <scheme val="minor"/>
      </rPr>
      <t xml:space="preserve"> Lorsque qu'</t>
    </r>
    <r>
      <rPr>
        <u/>
        <sz val="11"/>
        <color theme="1"/>
        <rFont val="Calibri"/>
        <family val="2"/>
        <scheme val="minor"/>
      </rPr>
      <t>en cas de réduction d'effectif</t>
    </r>
    <r>
      <rPr>
        <sz val="11"/>
        <color theme="1"/>
        <rFont val="Calibri"/>
        <family val="2"/>
        <scheme val="minor"/>
      </rPr>
      <t xml:space="preserve"> les </t>
    </r>
    <r>
      <rPr>
        <u/>
        <sz val="11"/>
        <color theme="1"/>
        <rFont val="Calibri"/>
        <family val="2"/>
        <scheme val="minor"/>
      </rPr>
      <t>périodes d'astreinte sont renouvelées</t>
    </r>
    <r>
      <rPr>
        <sz val="11"/>
        <color theme="1"/>
        <rFont val="Calibri"/>
        <family val="2"/>
        <scheme val="minor"/>
      </rPr>
      <t xml:space="preserve"> au rythme  de 7 jours maximum </t>
    </r>
    <r>
      <rPr>
        <u/>
        <sz val="11"/>
        <color theme="1"/>
        <rFont val="Calibri"/>
        <family val="2"/>
        <scheme val="minor"/>
      </rPr>
      <t>toutes les 2 semaines</t>
    </r>
    <r>
      <rPr>
        <sz val="11"/>
        <color theme="1"/>
        <rFont val="Calibri"/>
        <family val="2"/>
        <scheme val="minor"/>
      </rPr>
      <t xml:space="preserve"> , le montant de l'indemnité dans ce cas sera majoré de 30%.</t>
    </r>
  </si>
  <si>
    <t>Valeur du point actuelle</t>
  </si>
  <si>
    <t>Evolution</t>
  </si>
  <si>
    <t>Valeur du point 2013 (signature accord)</t>
  </si>
  <si>
    <r>
      <t xml:space="preserve">REMUNERATION DE L'ASTREINTE 2024 </t>
    </r>
    <r>
      <rPr>
        <b/>
        <sz val="11"/>
        <color rgb="FFFF0000"/>
        <rFont val="Calibri"/>
        <family val="2"/>
        <scheme val="minor"/>
      </rPr>
      <t>( Accord collectif du 24/04/2013) dès PAIE de Juin 2023</t>
    </r>
  </si>
  <si>
    <t>jayat</t>
  </si>
  <si>
    <t>Emilie</t>
  </si>
  <si>
    <t>REX</t>
  </si>
  <si>
    <t>Sud Ouest / Laroque d'Olmes</t>
  </si>
  <si>
    <t>Sud Ouest / Laroque d'olmes</t>
  </si>
  <si>
    <t>Rex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</si>
</sst>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d/m;@"/>
    <numFmt numFmtId="166" formatCode="_-* #,##0\ _€_-;\-* #,##0\ _€_-;_-* &quot;-&quot;??\ _€_-;_-@_-"/>
    <numFmt numFmtId="167" formatCode="_-* #,##0.0\ _€_-;\-* #,##0.0\ _€_-;_-* &quot;-&quot;??\ _€_-;_-@_-"/>
    <numFmt numFmtId="168" formatCode="0.0"/>
    <numFmt numFmtId="169" formatCode="#,##0.00\ &quot;€&quot;"/>
    <numFmt numFmtId="170" formatCode="[$-F800]dddd\,\ mmmm\ dd\,\ yyyy"/>
    <numFmt numFmtId="171" formatCode="0.0%"/>
    <numFmt numFmtId="172" formatCode="_-* #,##0.0000\ _€_-;\-* #,##0.0000\ _€_-;_-* &quot;-&quot;??\ _€_-;_-@_-"/>
    <numFmt numFmtId="173" formatCode="0.000%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6"/>
      <color indexed="18"/>
      <name val="Arial"/>
      <family val="2"/>
    </font>
    <font>
      <b/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20"/>
      <color indexed="18"/>
      <name val="Arial Black"/>
      <family val="2"/>
    </font>
    <font>
      <sz val="10"/>
      <name val="Arial"/>
      <family val="2"/>
    </font>
    <font>
      <sz val="18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.5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indexed="1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Arial"/>
      <family val="2"/>
    </font>
    <font>
      <b/>
      <sz val="11"/>
      <color rgb="FF92D050"/>
      <name val="Calibri"/>
      <family val="2"/>
      <scheme val="minor"/>
    </font>
    <font>
      <sz val="11"/>
      <color rgb="FF92D050"/>
      <name val="Calibri"/>
      <family val="2"/>
      <scheme val="minor"/>
    </font>
    <font>
      <sz val="10"/>
      <color rgb="FF92D050"/>
      <name val="Arial"/>
      <family val="2"/>
    </font>
    <font>
      <b/>
      <sz val="12"/>
      <color theme="0"/>
      <name val="Calibri"/>
      <family val="2"/>
      <scheme val="minor"/>
    </font>
    <font>
      <sz val="11"/>
      <color theme="6"/>
      <name val="Calibri"/>
      <family val="2"/>
      <scheme val="minor"/>
    </font>
    <font>
      <b/>
      <sz val="11"/>
      <color theme="6"/>
      <name val="Calibri"/>
      <family val="2"/>
      <scheme val="minor"/>
    </font>
    <font>
      <sz val="10"/>
      <color rgb="FFFF0000"/>
      <name val="Arial"/>
      <family val="2"/>
    </font>
    <font>
      <b/>
      <sz val="11"/>
      <color theme="6" tint="0.3999755851924192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397">
    <xf numFmtId="0" fontId="0" fillId="0" borderId="0" xfId="0"/>
    <xf numFmtId="0" fontId="0" fillId="2" borderId="0" xfId="0" applyFill="1" applyBorder="1" applyProtection="1">
      <protection hidden="1"/>
    </xf>
    <xf numFmtId="0" fontId="5" fillId="2" borderId="0" xfId="0" applyFont="1" applyFill="1" applyBorder="1" applyAlignment="1" applyProtection="1">
      <alignment vertical="center" wrapText="1"/>
      <protection hidden="1"/>
    </xf>
    <xf numFmtId="0" fontId="0" fillId="2" borderId="0" xfId="0" applyFill="1" applyProtection="1">
      <protection hidden="1"/>
    </xf>
    <xf numFmtId="0" fontId="3" fillId="2" borderId="0" xfId="0" applyFont="1" applyFill="1" applyBorder="1" applyAlignment="1" applyProtection="1">
      <protection hidden="1"/>
    </xf>
    <xf numFmtId="0" fontId="3" fillId="2" borderId="0" xfId="0" applyFont="1" applyFill="1" applyBorder="1" applyProtection="1">
      <protection hidden="1"/>
    </xf>
    <xf numFmtId="0" fontId="0" fillId="0" borderId="0" xfId="0" applyProtection="1">
      <protection hidden="1"/>
    </xf>
    <xf numFmtId="0" fontId="0" fillId="3" borderId="0" xfId="0" applyFill="1" applyProtection="1">
      <protection hidden="1"/>
    </xf>
    <xf numFmtId="0" fontId="3" fillId="3" borderId="0" xfId="0" applyFont="1" applyFill="1" applyBorder="1" applyAlignment="1" applyProtection="1">
      <alignment horizontal="left"/>
      <protection hidden="1"/>
    </xf>
    <xf numFmtId="0" fontId="3" fillId="3" borderId="0" xfId="0" applyFont="1" applyFill="1" applyBorder="1" applyAlignment="1" applyProtection="1">
      <protection hidden="1"/>
    </xf>
    <xf numFmtId="0" fontId="3" fillId="3" borderId="0" xfId="0" applyFont="1" applyFill="1" applyBorder="1" applyAlignment="1" applyProtection="1">
      <alignment horizontal="center"/>
      <protection hidden="1"/>
    </xf>
    <xf numFmtId="0" fontId="2" fillId="2" borderId="0" xfId="0" applyFont="1" applyFill="1" applyBorder="1" applyProtection="1">
      <protection hidden="1"/>
    </xf>
    <xf numFmtId="0" fontId="10" fillId="2" borderId="0" xfId="0" applyFont="1" applyFill="1" applyProtection="1">
      <protection hidden="1"/>
    </xf>
    <xf numFmtId="0" fontId="10" fillId="2" borderId="0" xfId="0" applyFont="1" applyFill="1" applyBorder="1" applyProtection="1">
      <protection hidden="1"/>
    </xf>
    <xf numFmtId="0" fontId="4" fillId="2" borderId="0" xfId="0" applyFont="1" applyFill="1" applyBorder="1" applyAlignment="1" applyProtection="1">
      <alignment horizontal="center"/>
      <protection hidden="1"/>
    </xf>
    <xf numFmtId="0" fontId="9" fillId="2" borderId="0" xfId="0" applyFont="1" applyFill="1" applyProtection="1">
      <protection hidden="1"/>
    </xf>
    <xf numFmtId="0" fontId="11" fillId="2" borderId="0" xfId="0" applyFont="1" applyFill="1" applyProtection="1">
      <protection hidden="1"/>
    </xf>
    <xf numFmtId="0" fontId="13" fillId="2" borderId="0" xfId="0" applyFont="1" applyFill="1" applyProtection="1">
      <protection hidden="1"/>
    </xf>
    <xf numFmtId="0" fontId="0" fillId="2" borderId="0" xfId="0" applyFill="1" applyAlignment="1" applyProtection="1">
      <alignment horizontal="left"/>
      <protection hidden="1"/>
    </xf>
    <xf numFmtId="0" fontId="18" fillId="2" borderId="0" xfId="0" applyFont="1" applyFill="1" applyAlignment="1" applyProtection="1">
      <alignment vertical="center"/>
      <protection hidden="1"/>
    </xf>
    <xf numFmtId="0" fontId="12" fillId="2" borderId="0" xfId="0" applyFont="1" applyFill="1" applyBorder="1" applyAlignment="1" applyProtection="1">
      <alignment vertical="center"/>
      <protection hidden="1"/>
    </xf>
    <xf numFmtId="0" fontId="18" fillId="2" borderId="0" xfId="0" applyFont="1" applyFill="1" applyBorder="1" applyAlignment="1" applyProtection="1">
      <alignment vertical="center"/>
      <protection hidden="1"/>
    </xf>
    <xf numFmtId="165" fontId="0" fillId="2" borderId="0" xfId="0" applyNumberFormat="1" applyFont="1" applyFill="1" applyBorder="1" applyProtection="1">
      <protection hidden="1"/>
    </xf>
    <xf numFmtId="165" fontId="0" fillId="2" borderId="0" xfId="0" applyNumberFormat="1" applyFont="1" applyFill="1" applyProtection="1">
      <protection hidden="1"/>
    </xf>
    <xf numFmtId="165" fontId="6" fillId="3" borderId="0" xfId="0" applyNumberFormat="1" applyFont="1" applyFill="1" applyBorder="1" applyAlignment="1" applyProtection="1">
      <alignment horizontal="left"/>
      <protection hidden="1"/>
    </xf>
    <xf numFmtId="165" fontId="0" fillId="0" borderId="0" xfId="0" applyNumberFormat="1" applyFont="1" applyProtection="1">
      <protection hidden="1"/>
    </xf>
    <xf numFmtId="0" fontId="17" fillId="2" borderId="0" xfId="0" applyFont="1" applyFill="1" applyBorder="1" applyAlignment="1" applyProtection="1">
      <alignment vertical="center"/>
      <protection hidden="1"/>
    </xf>
    <xf numFmtId="0" fontId="6" fillId="5" borderId="2" xfId="0" applyFont="1" applyFill="1" applyBorder="1" applyAlignment="1" applyProtection="1">
      <alignment horizontal="left"/>
      <protection hidden="1"/>
    </xf>
    <xf numFmtId="0" fontId="1" fillId="2" borderId="0" xfId="0" applyFont="1" applyFill="1" applyProtection="1">
      <protection hidden="1"/>
    </xf>
    <xf numFmtId="0" fontId="14" fillId="2" borderId="0" xfId="0" applyFont="1" applyFill="1" applyProtection="1">
      <protection hidden="1"/>
    </xf>
    <xf numFmtId="165" fontId="14" fillId="2" borderId="0" xfId="0" applyNumberFormat="1" applyFont="1" applyFill="1" applyProtection="1">
      <protection hidden="1"/>
    </xf>
    <xf numFmtId="14" fontId="14" fillId="2" borderId="0" xfId="0" applyNumberFormat="1" applyFont="1" applyFill="1" applyProtection="1">
      <protection hidden="1"/>
    </xf>
    <xf numFmtId="165" fontId="3" fillId="3" borderId="0" xfId="0" applyNumberFormat="1" applyFont="1" applyFill="1" applyBorder="1" applyAlignment="1" applyProtection="1">
      <alignment horizontal="left"/>
      <protection hidden="1"/>
    </xf>
    <xf numFmtId="0" fontId="1" fillId="2" borderId="2" xfId="0" applyFont="1" applyFill="1" applyBorder="1" applyAlignment="1" applyProtection="1">
      <alignment horizontal="center"/>
      <protection hidden="1"/>
    </xf>
    <xf numFmtId="0" fontId="3" fillId="2" borderId="0" xfId="0" applyFont="1" applyFill="1" applyBorder="1" applyAlignment="1" applyProtection="1">
      <alignment horizontal="center"/>
      <protection hidden="1"/>
    </xf>
    <xf numFmtId="0" fontId="17" fillId="6" borderId="5" xfId="0" applyFont="1" applyFill="1" applyBorder="1" applyAlignment="1" applyProtection="1">
      <alignment horizontal="center" vertical="center" wrapText="1"/>
      <protection hidden="1"/>
    </xf>
    <xf numFmtId="0" fontId="3" fillId="2" borderId="0" xfId="0" applyFont="1" applyFill="1" applyBorder="1" applyAlignment="1" applyProtection="1">
      <alignment horizontal="center"/>
      <protection hidden="1"/>
    </xf>
    <xf numFmtId="0" fontId="17" fillId="6" borderId="5" xfId="0" applyFont="1" applyFill="1" applyBorder="1" applyAlignment="1" applyProtection="1">
      <alignment horizontal="center" vertical="center" wrapText="1"/>
      <protection hidden="1"/>
    </xf>
    <xf numFmtId="0" fontId="3" fillId="2" borderId="0" xfId="0" applyFont="1" applyFill="1" applyBorder="1" applyAlignment="1" applyProtection="1">
      <alignment horizontal="center"/>
      <protection hidden="1"/>
    </xf>
    <xf numFmtId="0" fontId="0" fillId="5" borderId="2" xfId="0" applyFill="1" applyBorder="1" applyProtection="1">
      <protection locked="0" hidden="1"/>
    </xf>
    <xf numFmtId="0" fontId="3" fillId="2" borderId="0" xfId="0" applyFont="1" applyFill="1" applyBorder="1" applyAlignment="1" applyProtection="1">
      <alignment horizontal="center"/>
      <protection hidden="1"/>
    </xf>
    <xf numFmtId="0" fontId="25" fillId="2" borderId="0" xfId="0" applyFont="1" applyFill="1" applyBorder="1" applyAlignment="1" applyProtection="1">
      <alignment vertical="center"/>
      <protection hidden="1"/>
    </xf>
    <xf numFmtId="0" fontId="28" fillId="8" borderId="2" xfId="0" applyFont="1" applyFill="1" applyBorder="1" applyAlignment="1" applyProtection="1">
      <alignment horizontal="left"/>
      <protection hidden="1"/>
    </xf>
    <xf numFmtId="164" fontId="23" fillId="8" borderId="3" xfId="1" applyFont="1" applyFill="1" applyBorder="1" applyAlignment="1" applyProtection="1">
      <alignment horizontal="center" vertical="center"/>
      <protection hidden="1"/>
    </xf>
    <xf numFmtId="164" fontId="23" fillId="8" borderId="1" xfId="1" applyFont="1" applyFill="1" applyBorder="1" applyAlignment="1" applyProtection="1">
      <alignment horizontal="center" vertical="center"/>
      <protection hidden="1"/>
    </xf>
    <xf numFmtId="164" fontId="23" fillId="8" borderId="4" xfId="1" applyFont="1" applyFill="1" applyBorder="1" applyAlignment="1" applyProtection="1">
      <alignment horizontal="center" vertical="center"/>
      <protection hidden="1"/>
    </xf>
    <xf numFmtId="0" fontId="6" fillId="9" borderId="2" xfId="0" applyFont="1" applyFill="1" applyBorder="1" applyAlignment="1" applyProtection="1">
      <alignment horizontal="left"/>
      <protection hidden="1"/>
    </xf>
    <xf numFmtId="0" fontId="0" fillId="9" borderId="2" xfId="0" applyFill="1" applyBorder="1" applyProtection="1">
      <protection locked="0" hidden="1"/>
    </xf>
    <xf numFmtId="0" fontId="6" fillId="8" borderId="2" xfId="0" applyFont="1" applyFill="1" applyBorder="1" applyAlignment="1" applyProtection="1">
      <alignment horizontal="left"/>
      <protection hidden="1"/>
    </xf>
    <xf numFmtId="164" fontId="23" fillId="8" borderId="4" xfId="1" applyFont="1" applyFill="1" applyBorder="1" applyAlignment="1" applyProtection="1">
      <alignment vertical="center"/>
      <protection hidden="1"/>
    </xf>
    <xf numFmtId="164" fontId="23" fillId="8" borderId="3" xfId="1" applyFont="1" applyFill="1" applyBorder="1" applyAlignment="1" applyProtection="1">
      <alignment horizontal="left" vertical="center" wrapText="1"/>
      <protection hidden="1"/>
    </xf>
    <xf numFmtId="164" fontId="23" fillId="8" borderId="4" xfId="1" applyFont="1" applyFill="1" applyBorder="1" applyAlignment="1" applyProtection="1">
      <alignment horizontal="left" vertical="center" wrapText="1"/>
      <protection hidden="1"/>
    </xf>
    <xf numFmtId="164" fontId="23" fillId="8" borderId="3" xfId="1" applyFont="1" applyFill="1" applyBorder="1" applyAlignment="1" applyProtection="1">
      <alignment vertical="center" wrapText="1"/>
      <protection hidden="1"/>
    </xf>
    <xf numFmtId="164" fontId="23" fillId="8" borderId="4" xfId="1" applyFont="1" applyFill="1" applyBorder="1" applyAlignment="1" applyProtection="1">
      <alignment vertical="center" wrapText="1"/>
      <protection hidden="1"/>
    </xf>
    <xf numFmtId="164" fontId="22" fillId="8" borderId="2" xfId="1" applyFont="1" applyFill="1" applyBorder="1" applyAlignment="1" applyProtection="1">
      <alignment vertical="center" wrapText="1"/>
      <protection hidden="1"/>
    </xf>
    <xf numFmtId="164" fontId="16" fillId="8" borderId="3" xfId="1" applyFont="1" applyFill="1" applyBorder="1" applyAlignment="1" applyProtection="1">
      <alignment horizontal="center" vertical="center"/>
      <protection hidden="1"/>
    </xf>
    <xf numFmtId="164" fontId="16" fillId="8" borderId="1" xfId="1" applyFont="1" applyFill="1" applyBorder="1" applyAlignment="1" applyProtection="1">
      <alignment horizontal="center" vertical="center"/>
      <protection hidden="1"/>
    </xf>
    <xf numFmtId="164" fontId="16" fillId="8" borderId="4" xfId="1" applyFont="1" applyFill="1" applyBorder="1" applyAlignment="1" applyProtection="1">
      <alignment horizontal="center" vertical="center"/>
      <protection hidden="1"/>
    </xf>
    <xf numFmtId="164" fontId="0" fillId="8" borderId="4" xfId="1" applyFont="1" applyFill="1" applyBorder="1" applyAlignment="1" applyProtection="1">
      <alignment vertical="center"/>
      <protection hidden="1"/>
    </xf>
    <xf numFmtId="164" fontId="0" fillId="8" borderId="3" xfId="1" applyFont="1" applyFill="1" applyBorder="1" applyAlignment="1" applyProtection="1">
      <alignment horizontal="left" vertical="center" wrapText="1"/>
      <protection hidden="1"/>
    </xf>
    <xf numFmtId="164" fontId="0" fillId="8" borderId="4" xfId="1" applyFont="1" applyFill="1" applyBorder="1" applyAlignment="1" applyProtection="1">
      <alignment horizontal="left" vertical="center" wrapText="1"/>
      <protection hidden="1"/>
    </xf>
    <xf numFmtId="164" fontId="0" fillId="8" borderId="3" xfId="1" applyFont="1" applyFill="1" applyBorder="1" applyAlignment="1" applyProtection="1">
      <alignment vertical="center" wrapText="1"/>
      <protection hidden="1"/>
    </xf>
    <xf numFmtId="164" fontId="0" fillId="8" borderId="4" xfId="1" applyFont="1" applyFill="1" applyBorder="1" applyAlignment="1" applyProtection="1">
      <alignment vertical="center" wrapText="1"/>
      <protection hidden="1"/>
    </xf>
    <xf numFmtId="164" fontId="26" fillId="8" borderId="4" xfId="1" applyFont="1" applyFill="1" applyBorder="1" applyAlignment="1" applyProtection="1">
      <alignment vertical="center"/>
      <protection hidden="1"/>
    </xf>
    <xf numFmtId="164" fontId="1" fillId="8" borderId="2" xfId="1" applyFont="1" applyFill="1" applyBorder="1" applyAlignment="1" applyProtection="1">
      <alignment vertical="center" wrapText="1"/>
      <protection hidden="1"/>
    </xf>
    <xf numFmtId="0" fontId="23" fillId="8" borderId="3" xfId="0" applyFont="1" applyFill="1" applyBorder="1" applyProtection="1">
      <protection hidden="1"/>
    </xf>
    <xf numFmtId="0" fontId="23" fillId="8" borderId="1" xfId="0" applyFont="1" applyFill="1" applyBorder="1" applyProtection="1">
      <protection hidden="1"/>
    </xf>
    <xf numFmtId="0" fontId="23" fillId="8" borderId="4" xfId="0" applyFont="1" applyFill="1" applyBorder="1" applyProtection="1">
      <protection hidden="1"/>
    </xf>
    <xf numFmtId="44" fontId="16" fillId="8" borderId="3" xfId="2" applyFont="1" applyFill="1" applyBorder="1" applyAlignment="1" applyProtection="1">
      <alignment horizontal="center" vertical="center"/>
      <protection hidden="1"/>
    </xf>
    <xf numFmtId="44" fontId="16" fillId="8" borderId="1" xfId="2" applyFont="1" applyFill="1" applyBorder="1" applyAlignment="1" applyProtection="1">
      <alignment horizontal="center" vertical="center"/>
      <protection hidden="1"/>
    </xf>
    <xf numFmtId="164" fontId="16" fillId="8" borderId="16" xfId="1" applyFont="1" applyFill="1" applyBorder="1" applyAlignment="1" applyProtection="1">
      <alignment horizontal="center" vertical="center"/>
      <protection hidden="1"/>
    </xf>
    <xf numFmtId="164" fontId="16" fillId="8" borderId="24" xfId="1" applyFont="1" applyFill="1" applyBorder="1" applyAlignment="1" applyProtection="1">
      <alignment horizontal="center" vertical="center"/>
      <protection hidden="1"/>
    </xf>
    <xf numFmtId="164" fontId="16" fillId="8" borderId="17" xfId="1" applyFont="1" applyFill="1" applyBorder="1" applyAlignment="1" applyProtection="1">
      <alignment horizontal="center" vertical="center"/>
      <protection hidden="1"/>
    </xf>
    <xf numFmtId="0" fontId="24" fillId="8" borderId="2" xfId="0" applyFont="1" applyFill="1" applyBorder="1" applyAlignment="1" applyProtection="1">
      <alignment horizontal="left"/>
      <protection hidden="1"/>
    </xf>
    <xf numFmtId="0" fontId="8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7" borderId="25" xfId="0" applyFont="1" applyFill="1" applyBorder="1" applyAlignment="1">
      <alignment horizontal="center" vertical="center" wrapText="1"/>
    </xf>
    <xf numFmtId="0" fontId="34" fillId="3" borderId="26" xfId="0" applyFont="1" applyFill="1" applyBorder="1" applyAlignment="1">
      <alignment horizontal="center" vertical="center" wrapText="1"/>
    </xf>
    <xf numFmtId="0" fontId="35" fillId="3" borderId="27" xfId="0" applyFont="1" applyFill="1" applyBorder="1" applyAlignment="1">
      <alignment horizontal="center" vertical="center" wrapText="1"/>
    </xf>
    <xf numFmtId="0" fontId="35" fillId="3" borderId="28" xfId="0" applyFont="1" applyFill="1" applyBorder="1" applyAlignment="1">
      <alignment horizontal="center" vertical="center" wrapText="1"/>
    </xf>
    <xf numFmtId="0" fontId="34" fillId="10" borderId="26" xfId="0" applyFont="1" applyFill="1" applyBorder="1" applyAlignment="1">
      <alignment horizontal="center" vertical="center" wrapText="1"/>
    </xf>
    <xf numFmtId="0" fontId="35" fillId="10" borderId="27" xfId="0" applyFont="1" applyFill="1" applyBorder="1" applyAlignment="1">
      <alignment horizontal="center" vertical="center" wrapText="1"/>
    </xf>
    <xf numFmtId="0" fontId="35" fillId="10" borderId="29" xfId="0" applyFont="1" applyFill="1" applyBorder="1" applyAlignment="1">
      <alignment horizontal="center" vertical="center" wrapText="1"/>
    </xf>
    <xf numFmtId="0" fontId="33" fillId="7" borderId="30" xfId="0" applyFont="1" applyFill="1" applyBorder="1" applyAlignment="1">
      <alignment horizontal="center" vertical="center"/>
    </xf>
    <xf numFmtId="169" fontId="32" fillId="0" borderId="31" xfId="2" applyNumberFormat="1" applyFont="1" applyBorder="1" applyAlignment="1">
      <alignment horizontal="center" vertical="center"/>
    </xf>
    <xf numFmtId="0" fontId="33" fillId="7" borderId="32" xfId="0" applyFont="1" applyFill="1" applyBorder="1" applyAlignment="1">
      <alignment horizontal="center" vertical="center"/>
    </xf>
    <xf numFmtId="0" fontId="33" fillId="7" borderId="33" xfId="0" applyFont="1" applyFill="1" applyBorder="1" applyAlignment="1">
      <alignment horizontal="center" vertical="center"/>
    </xf>
    <xf numFmtId="44" fontId="32" fillId="0" borderId="0" xfId="2" applyFont="1" applyBorder="1" applyAlignment="1">
      <alignment horizontal="center" vertical="center"/>
    </xf>
    <xf numFmtId="44" fontId="36" fillId="0" borderId="0" xfId="2" applyFont="1" applyBorder="1" applyAlignment="1">
      <alignment horizontal="center" vertical="center"/>
    </xf>
    <xf numFmtId="0" fontId="1" fillId="0" borderId="0" xfId="0" applyFont="1"/>
    <xf numFmtId="0" fontId="0" fillId="0" borderId="0" xfId="0" applyFont="1" applyAlignment="1">
      <alignment horizontal="left" vertical="center"/>
    </xf>
    <xf numFmtId="0" fontId="0" fillId="0" borderId="0" xfId="0" applyFont="1"/>
    <xf numFmtId="0" fontId="10" fillId="0" borderId="0" xfId="0" applyFont="1"/>
    <xf numFmtId="171" fontId="0" fillId="0" borderId="0" xfId="3" applyNumberFormat="1" applyFont="1"/>
    <xf numFmtId="164" fontId="22" fillId="8" borderId="2" xfId="1" applyFont="1" applyFill="1" applyBorder="1" applyAlignment="1" applyProtection="1">
      <alignment vertical="center" wrapText="1"/>
      <protection hidden="1"/>
    </xf>
    <xf numFmtId="164" fontId="16" fillId="10" borderId="3" xfId="1" applyFont="1" applyFill="1" applyBorder="1" applyAlignment="1" applyProtection="1">
      <alignment horizontal="center" vertical="center"/>
      <protection hidden="1"/>
    </xf>
    <xf numFmtId="164" fontId="16" fillId="10" borderId="1" xfId="1" applyFont="1" applyFill="1" applyBorder="1" applyAlignment="1" applyProtection="1">
      <alignment horizontal="center" vertical="center"/>
      <protection hidden="1"/>
    </xf>
    <xf numFmtId="164" fontId="16" fillId="10" borderId="4" xfId="1" applyFont="1" applyFill="1" applyBorder="1" applyAlignment="1" applyProtection="1">
      <alignment horizontal="center" vertical="center"/>
      <protection hidden="1"/>
    </xf>
    <xf numFmtId="164" fontId="23" fillId="10" borderId="4" xfId="1" applyFont="1" applyFill="1" applyBorder="1" applyAlignment="1" applyProtection="1">
      <alignment vertical="center"/>
      <protection hidden="1"/>
    </xf>
    <xf numFmtId="164" fontId="23" fillId="10" borderId="3" xfId="1" applyFont="1" applyFill="1" applyBorder="1" applyAlignment="1" applyProtection="1">
      <alignment horizontal="left" vertical="center" wrapText="1"/>
      <protection hidden="1"/>
    </xf>
    <xf numFmtId="164" fontId="23" fillId="10" borderId="4" xfId="1" applyFont="1" applyFill="1" applyBorder="1" applyAlignment="1" applyProtection="1">
      <alignment horizontal="left" vertical="center" wrapText="1"/>
      <protection hidden="1"/>
    </xf>
    <xf numFmtId="164" fontId="23" fillId="10" borderId="3" xfId="1" applyFont="1" applyFill="1" applyBorder="1" applyAlignment="1" applyProtection="1">
      <alignment vertical="center" wrapText="1"/>
      <protection hidden="1"/>
    </xf>
    <xf numFmtId="164" fontId="23" fillId="10" borderId="4" xfId="1" applyFont="1" applyFill="1" applyBorder="1" applyAlignment="1" applyProtection="1">
      <alignment vertical="center" wrapText="1"/>
      <protection hidden="1"/>
    </xf>
    <xf numFmtId="164" fontId="23" fillId="10" borderId="3" xfId="1" applyFont="1" applyFill="1" applyBorder="1" applyAlignment="1" applyProtection="1">
      <alignment horizontal="center" vertical="center"/>
      <protection hidden="1"/>
    </xf>
    <xf numFmtId="164" fontId="23" fillId="10" borderId="4" xfId="1" applyFont="1" applyFill="1" applyBorder="1" applyAlignment="1" applyProtection="1">
      <alignment horizontal="center" vertical="center"/>
      <protection hidden="1"/>
    </xf>
    <xf numFmtId="164" fontId="22" fillId="10" borderId="2" xfId="1" applyFont="1" applyFill="1" applyBorder="1" applyAlignment="1" applyProtection="1">
      <alignment vertical="center" wrapText="1"/>
      <protection hidden="1"/>
    </xf>
    <xf numFmtId="164" fontId="23" fillId="10" borderId="1" xfId="1" applyFont="1" applyFill="1" applyBorder="1" applyAlignment="1" applyProtection="1">
      <alignment horizontal="center" vertical="center"/>
      <protection hidden="1"/>
    </xf>
    <xf numFmtId="44" fontId="23" fillId="10" borderId="3" xfId="2" applyFont="1" applyFill="1" applyBorder="1" applyAlignment="1" applyProtection="1">
      <alignment horizontal="center" vertical="center"/>
      <protection hidden="1"/>
    </xf>
    <xf numFmtId="44" fontId="23" fillId="10" borderId="4" xfId="2" applyFont="1" applyFill="1" applyBorder="1" applyAlignment="1" applyProtection="1">
      <alignment horizontal="center" vertical="center"/>
      <protection hidden="1"/>
    </xf>
    <xf numFmtId="0" fontId="6" fillId="10" borderId="2" xfId="0" applyFont="1" applyFill="1" applyBorder="1" applyAlignment="1" applyProtection="1">
      <alignment horizontal="left"/>
      <protection hidden="1"/>
    </xf>
    <xf numFmtId="44" fontId="16" fillId="10" borderId="3" xfId="2" applyFont="1" applyFill="1" applyBorder="1" applyAlignment="1" applyProtection="1">
      <alignment horizontal="center" vertical="center"/>
      <protection hidden="1"/>
    </xf>
    <xf numFmtId="44" fontId="16" fillId="10" borderId="1" xfId="2" applyFont="1" applyFill="1" applyBorder="1" applyAlignment="1" applyProtection="1">
      <alignment horizontal="center" vertical="center"/>
      <protection hidden="1"/>
    </xf>
    <xf numFmtId="164" fontId="16" fillId="10" borderId="16" xfId="1" applyFont="1" applyFill="1" applyBorder="1" applyAlignment="1" applyProtection="1">
      <alignment horizontal="center" vertical="center"/>
      <protection hidden="1"/>
    </xf>
    <xf numFmtId="164" fontId="16" fillId="10" borderId="14" xfId="1" applyFont="1" applyFill="1" applyBorder="1" applyAlignment="1" applyProtection="1">
      <alignment horizontal="center" vertical="center"/>
      <protection hidden="1"/>
    </xf>
    <xf numFmtId="164" fontId="16" fillId="10" borderId="23" xfId="1" applyFont="1" applyFill="1" applyBorder="1" applyAlignment="1" applyProtection="1">
      <alignment horizontal="center" vertical="center"/>
      <protection hidden="1"/>
    </xf>
    <xf numFmtId="164" fontId="16" fillId="10" borderId="15" xfId="1" applyFont="1" applyFill="1" applyBorder="1" applyAlignment="1" applyProtection="1">
      <alignment horizontal="center" vertical="center"/>
      <protection hidden="1"/>
    </xf>
    <xf numFmtId="164" fontId="16" fillId="10" borderId="24" xfId="1" applyFont="1" applyFill="1" applyBorder="1" applyAlignment="1" applyProtection="1">
      <alignment horizontal="center" vertical="center"/>
      <protection hidden="1"/>
    </xf>
    <xf numFmtId="164" fontId="16" fillId="10" borderId="17" xfId="1" applyFont="1" applyFill="1" applyBorder="1" applyAlignment="1" applyProtection="1">
      <alignment horizontal="center" vertical="center"/>
      <protection hidden="1"/>
    </xf>
    <xf numFmtId="44" fontId="23" fillId="10" borderId="3" xfId="2" applyFont="1" applyFill="1" applyBorder="1" applyAlignment="1" applyProtection="1">
      <alignment horizontal="center"/>
      <protection hidden="1"/>
    </xf>
    <xf numFmtId="44" fontId="23" fillId="10" borderId="4" xfId="2" applyFont="1" applyFill="1" applyBorder="1" applyAlignment="1" applyProtection="1">
      <alignment horizontal="center"/>
      <protection hidden="1"/>
    </xf>
    <xf numFmtId="164" fontId="23" fillId="10" borderId="2" xfId="1" applyFont="1" applyFill="1" applyBorder="1" applyAlignment="1" applyProtection="1">
      <alignment vertical="center"/>
      <protection hidden="1"/>
    </xf>
    <xf numFmtId="164" fontId="23" fillId="10" borderId="24" xfId="1" applyFont="1" applyFill="1" applyBorder="1" applyAlignment="1" applyProtection="1">
      <alignment vertical="center"/>
      <protection hidden="1"/>
    </xf>
    <xf numFmtId="164" fontId="23" fillId="10" borderId="17" xfId="1" applyFont="1" applyFill="1" applyBorder="1" applyAlignment="1" applyProtection="1">
      <alignment vertical="center"/>
      <protection hidden="1"/>
    </xf>
    <xf numFmtId="164" fontId="23" fillId="10" borderId="1" xfId="1" applyFont="1" applyFill="1" applyBorder="1" applyAlignment="1" applyProtection="1">
      <alignment vertical="center"/>
      <protection hidden="1"/>
    </xf>
    <xf numFmtId="164" fontId="23" fillId="10" borderId="16" xfId="1" applyFont="1" applyFill="1" applyBorder="1" applyAlignment="1" applyProtection="1">
      <alignment vertical="center"/>
      <protection hidden="1"/>
    </xf>
    <xf numFmtId="0" fontId="10" fillId="10" borderId="16" xfId="0" applyFont="1" applyFill="1" applyBorder="1" applyProtection="1">
      <protection hidden="1"/>
    </xf>
    <xf numFmtId="0" fontId="10" fillId="10" borderId="24" xfId="0" applyFont="1" applyFill="1" applyBorder="1" applyProtection="1">
      <protection hidden="1"/>
    </xf>
    <xf numFmtId="0" fontId="10" fillId="10" borderId="4" xfId="0" applyFont="1" applyFill="1" applyBorder="1" applyProtection="1">
      <protection hidden="1"/>
    </xf>
    <xf numFmtId="0" fontId="10" fillId="10" borderId="17" xfId="0" applyFont="1" applyFill="1" applyBorder="1" applyProtection="1">
      <protection hidden="1"/>
    </xf>
    <xf numFmtId="10" fontId="10" fillId="0" borderId="0" xfId="3" applyNumberFormat="1" applyFont="1"/>
    <xf numFmtId="169" fontId="36" fillId="0" borderId="0" xfId="2" applyNumberFormat="1" applyFont="1" applyBorder="1" applyAlignment="1">
      <alignment horizontal="center" vertical="center"/>
    </xf>
    <xf numFmtId="10" fontId="0" fillId="0" borderId="0" xfId="3" applyNumberFormat="1" applyFont="1"/>
    <xf numFmtId="171" fontId="10" fillId="0" borderId="0" xfId="3" applyNumberFormat="1" applyFont="1"/>
    <xf numFmtId="44" fontId="10" fillId="0" borderId="0" xfId="2" applyFont="1"/>
    <xf numFmtId="164" fontId="22" fillId="10" borderId="2" xfId="1" applyFont="1" applyFill="1" applyBorder="1" applyAlignment="1" applyProtection="1">
      <alignment vertical="center" wrapText="1"/>
      <protection hidden="1"/>
    </xf>
    <xf numFmtId="164" fontId="27" fillId="8" borderId="2" xfId="1" applyFont="1" applyFill="1" applyBorder="1" applyAlignment="1" applyProtection="1">
      <alignment vertical="center" wrapText="1"/>
      <protection hidden="1"/>
    </xf>
    <xf numFmtId="44" fontId="0" fillId="0" borderId="0" xfId="2" applyFont="1"/>
    <xf numFmtId="44" fontId="0" fillId="0" borderId="0" xfId="0" applyNumberFormat="1"/>
    <xf numFmtId="169" fontId="0" fillId="0" borderId="0" xfId="0" applyNumberFormat="1"/>
    <xf numFmtId="172" fontId="0" fillId="0" borderId="0" xfId="1" applyNumberFormat="1" applyFont="1"/>
    <xf numFmtId="173" fontId="0" fillId="0" borderId="0" xfId="3" applyNumberFormat="1" applyFont="1"/>
    <xf numFmtId="169" fontId="32" fillId="11" borderId="31" xfId="2" applyNumberFormat="1" applyFont="1" applyFill="1" applyBorder="1" applyAlignment="1">
      <alignment horizontal="center" vertical="center"/>
    </xf>
    <xf numFmtId="169" fontId="32" fillId="11" borderId="37" xfId="2" applyNumberFormat="1" applyFont="1" applyFill="1" applyBorder="1" applyAlignment="1">
      <alignment horizontal="center" vertical="center"/>
    </xf>
    <xf numFmtId="169" fontId="32" fillId="0" borderId="26" xfId="2" applyNumberFormat="1" applyFont="1" applyBorder="1" applyAlignment="1">
      <alignment horizontal="center" vertical="center"/>
    </xf>
    <xf numFmtId="169" fontId="32" fillId="11" borderId="26" xfId="2" applyNumberFormat="1" applyFont="1" applyFill="1" applyBorder="1" applyAlignment="1">
      <alignment horizontal="center" vertical="center"/>
    </xf>
    <xf numFmtId="169" fontId="32" fillId="11" borderId="25" xfId="2" applyNumberFormat="1" applyFont="1" applyFill="1" applyBorder="1" applyAlignment="1">
      <alignment horizontal="center" vertical="center"/>
    </xf>
    <xf numFmtId="44" fontId="0" fillId="0" borderId="0" xfId="3" applyNumberFormat="1" applyFont="1"/>
    <xf numFmtId="0" fontId="0" fillId="0" borderId="0" xfId="0" applyFont="1" applyFill="1" applyBorder="1" applyAlignment="1">
      <alignment horizontal="left" vertical="top" wrapText="1"/>
    </xf>
    <xf numFmtId="164" fontId="23" fillId="10" borderId="3" xfId="1" applyFont="1" applyFill="1" applyBorder="1" applyAlignment="1" applyProtection="1">
      <alignment horizontal="center" vertical="center"/>
      <protection hidden="1"/>
    </xf>
    <xf numFmtId="164" fontId="23" fillId="10" borderId="4" xfId="1" applyFont="1" applyFill="1" applyBorder="1" applyAlignment="1" applyProtection="1">
      <alignment horizontal="center" vertical="center"/>
      <protection hidden="1"/>
    </xf>
    <xf numFmtId="164" fontId="23" fillId="10" borderId="3" xfId="1" applyFont="1" applyFill="1" applyBorder="1" applyAlignment="1" applyProtection="1">
      <alignment horizontal="left" vertical="center" wrapText="1"/>
      <protection hidden="1"/>
    </xf>
    <xf numFmtId="164" fontId="23" fillId="10" borderId="4" xfId="1" applyFont="1" applyFill="1" applyBorder="1" applyAlignment="1" applyProtection="1">
      <alignment horizontal="left" vertical="center" wrapText="1"/>
      <protection hidden="1"/>
    </xf>
    <xf numFmtId="164" fontId="23" fillId="10" borderId="3" xfId="1" applyFont="1" applyFill="1" applyBorder="1" applyAlignment="1" applyProtection="1">
      <alignment vertical="center" wrapText="1"/>
      <protection hidden="1"/>
    </xf>
    <xf numFmtId="164" fontId="23" fillId="10" borderId="4" xfId="1" applyFont="1" applyFill="1" applyBorder="1" applyAlignment="1" applyProtection="1">
      <alignment vertical="center" wrapText="1"/>
      <protection hidden="1"/>
    </xf>
    <xf numFmtId="44" fontId="23" fillId="10" borderId="3" xfId="2" applyFont="1" applyFill="1" applyBorder="1" applyAlignment="1" applyProtection="1">
      <alignment horizontal="center"/>
      <protection hidden="1"/>
    </xf>
    <xf numFmtId="44" fontId="23" fillId="10" borderId="4" xfId="2" applyFont="1" applyFill="1" applyBorder="1" applyAlignment="1" applyProtection="1">
      <alignment horizontal="center"/>
      <protection hidden="1"/>
    </xf>
    <xf numFmtId="164" fontId="23" fillId="8" borderId="3" xfId="1" applyFont="1" applyFill="1" applyBorder="1" applyAlignment="1" applyProtection="1">
      <alignment horizontal="left" vertical="center" wrapText="1"/>
      <protection hidden="1"/>
    </xf>
    <xf numFmtId="164" fontId="23" fillId="8" borderId="4" xfId="1" applyFont="1" applyFill="1" applyBorder="1" applyAlignment="1" applyProtection="1">
      <alignment horizontal="left" vertical="center" wrapText="1"/>
      <protection hidden="1"/>
    </xf>
    <xf numFmtId="164" fontId="23" fillId="8" borderId="3" xfId="1" applyFont="1" applyFill="1" applyBorder="1" applyAlignment="1" applyProtection="1">
      <alignment vertical="center" wrapText="1"/>
      <protection hidden="1"/>
    </xf>
    <xf numFmtId="164" fontId="23" fillId="8" borderId="4" xfId="1" applyFont="1" applyFill="1" applyBorder="1" applyAlignment="1" applyProtection="1">
      <alignment vertical="center" wrapText="1"/>
      <protection hidden="1"/>
    </xf>
    <xf numFmtId="44" fontId="23" fillId="8" borderId="3" xfId="2" applyFont="1" applyFill="1" applyBorder="1" applyAlignment="1" applyProtection="1">
      <alignment horizontal="center"/>
      <protection hidden="1"/>
    </xf>
    <xf numFmtId="44" fontId="23" fillId="8" borderId="4" xfId="2" applyFont="1" applyFill="1" applyBorder="1" applyAlignment="1" applyProtection="1">
      <alignment horizontal="center"/>
      <protection hidden="1"/>
    </xf>
    <xf numFmtId="164" fontId="16" fillId="8" borderId="3" xfId="1" applyFont="1" applyFill="1" applyBorder="1" applyAlignment="1" applyProtection="1">
      <alignment horizontal="center" vertical="center"/>
      <protection hidden="1"/>
    </xf>
    <xf numFmtId="164" fontId="16" fillId="8" borderId="4" xfId="1" applyFont="1" applyFill="1" applyBorder="1" applyAlignment="1" applyProtection="1">
      <alignment horizontal="center" vertical="center"/>
      <protection hidden="1"/>
    </xf>
    <xf numFmtId="164" fontId="16" fillId="8" borderId="1" xfId="1" applyFont="1" applyFill="1" applyBorder="1" applyAlignment="1" applyProtection="1">
      <alignment horizontal="center" vertical="center"/>
      <protection hidden="1"/>
    </xf>
    <xf numFmtId="44" fontId="16" fillId="8" borderId="3" xfId="2" applyFont="1" applyFill="1" applyBorder="1" applyAlignment="1" applyProtection="1">
      <alignment horizontal="center" vertical="center"/>
      <protection hidden="1"/>
    </xf>
    <xf numFmtId="164" fontId="23" fillId="10" borderId="16" xfId="1" applyFont="1" applyFill="1" applyBorder="1" applyAlignment="1" applyProtection="1">
      <alignment horizontal="center" vertical="center"/>
      <protection hidden="1"/>
    </xf>
    <xf numFmtId="164" fontId="23" fillId="10" borderId="24" xfId="1" applyFont="1" applyFill="1" applyBorder="1" applyAlignment="1" applyProtection="1">
      <alignment horizontal="center" vertical="center"/>
      <protection hidden="1"/>
    </xf>
    <xf numFmtId="164" fontId="23" fillId="10" borderId="17" xfId="1" applyFont="1" applyFill="1" applyBorder="1" applyAlignment="1" applyProtection="1">
      <alignment horizontal="center" vertical="center"/>
      <protection hidden="1"/>
    </xf>
    <xf numFmtId="164" fontId="23" fillId="10" borderId="14" xfId="1" applyFont="1" applyFill="1" applyBorder="1" applyAlignment="1" applyProtection="1">
      <alignment horizontal="center" vertical="center"/>
      <protection hidden="1"/>
    </xf>
    <xf numFmtId="164" fontId="23" fillId="10" borderId="15" xfId="1" applyFont="1" applyFill="1" applyBorder="1" applyAlignment="1" applyProtection="1">
      <alignment horizontal="center" vertical="center"/>
      <protection hidden="1"/>
    </xf>
    <xf numFmtId="164" fontId="23" fillId="8" borderId="14" xfId="1" applyFont="1" applyFill="1" applyBorder="1" applyAlignment="1" applyProtection="1">
      <alignment horizontal="center" vertical="center"/>
      <protection hidden="1"/>
    </xf>
    <xf numFmtId="164" fontId="23" fillId="8" borderId="15" xfId="1" applyFont="1" applyFill="1" applyBorder="1" applyAlignment="1" applyProtection="1">
      <alignment horizontal="center" vertical="center"/>
      <protection hidden="1"/>
    </xf>
    <xf numFmtId="0" fontId="32" fillId="0" borderId="1" xfId="0" applyFont="1" applyBorder="1" applyAlignment="1">
      <alignment horizontal="center" vertical="center" wrapText="1"/>
    </xf>
    <xf numFmtId="0" fontId="39" fillId="0" borderId="0" xfId="0" applyFont="1" applyAlignment="1">
      <alignment horizontal="center"/>
    </xf>
    <xf numFmtId="0" fontId="32" fillId="3" borderId="6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32" fillId="10" borderId="19" xfId="0" applyFont="1" applyFill="1" applyBorder="1" applyAlignment="1">
      <alignment horizontal="center" vertical="center"/>
    </xf>
    <xf numFmtId="0" fontId="32" fillId="10" borderId="21" xfId="0" applyFont="1" applyFill="1" applyBorder="1" applyAlignment="1">
      <alignment horizontal="center" vertical="center"/>
    </xf>
    <xf numFmtId="0" fontId="32" fillId="10" borderId="20" xfId="0" applyFont="1" applyFill="1" applyBorder="1" applyAlignment="1">
      <alignment horizontal="center" vertical="center"/>
    </xf>
    <xf numFmtId="0" fontId="33" fillId="7" borderId="19" xfId="0" applyFont="1" applyFill="1" applyBorder="1" applyAlignment="1">
      <alignment horizontal="center" vertical="center" wrapText="1"/>
    </xf>
    <xf numFmtId="0" fontId="33" fillId="7" borderId="20" xfId="0" applyFont="1" applyFill="1" applyBorder="1" applyAlignment="1">
      <alignment horizontal="center" vertical="center" wrapText="1"/>
    </xf>
    <xf numFmtId="0" fontId="32" fillId="0" borderId="24" xfId="0" applyFont="1" applyBorder="1" applyAlignment="1">
      <alignment horizontal="center" vertical="center" wrapText="1"/>
    </xf>
    <xf numFmtId="0" fontId="32" fillId="0" borderId="34" xfId="0" applyFont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top" wrapText="1"/>
    </xf>
    <xf numFmtId="49" fontId="0" fillId="0" borderId="0" xfId="2" applyNumberFormat="1" applyFont="1" applyFill="1" applyBorder="1" applyAlignment="1">
      <alignment horizontal="left" vertical="top" wrapText="1"/>
    </xf>
    <xf numFmtId="170" fontId="1" fillId="0" borderId="3" xfId="0" applyNumberFormat="1" applyFont="1" applyFill="1" applyBorder="1" applyAlignment="1" applyProtection="1">
      <alignment horizontal="center" wrapText="1"/>
      <protection hidden="1"/>
    </xf>
    <xf numFmtId="170" fontId="0" fillId="0" borderId="1" xfId="0" applyNumberFormat="1" applyBorder="1" applyAlignment="1">
      <alignment horizontal="center" wrapText="1"/>
    </xf>
    <xf numFmtId="170" fontId="0" fillId="0" borderId="4" xfId="0" applyNumberFormat="1" applyBorder="1" applyAlignment="1">
      <alignment horizontal="center" wrapText="1"/>
    </xf>
    <xf numFmtId="0" fontId="19" fillId="2" borderId="6" xfId="0" applyFont="1" applyFill="1" applyBorder="1" applyAlignment="1" applyProtection="1">
      <alignment horizontal="center" vertical="center" wrapText="1"/>
      <protection hidden="1"/>
    </xf>
    <xf numFmtId="0" fontId="19" fillId="2" borderId="7" xfId="0" applyFont="1" applyFill="1" applyBorder="1" applyAlignment="1" applyProtection="1">
      <alignment horizontal="center" vertical="center" wrapText="1"/>
      <protection hidden="1"/>
    </xf>
    <xf numFmtId="0" fontId="19" fillId="2" borderId="9" xfId="0" applyFont="1" applyFill="1" applyBorder="1" applyAlignment="1" applyProtection="1">
      <alignment horizontal="center" vertical="center" wrapText="1"/>
      <protection hidden="1"/>
    </xf>
    <xf numFmtId="0" fontId="19" fillId="2" borderId="0" xfId="0" applyFont="1" applyFill="1" applyBorder="1" applyAlignment="1" applyProtection="1">
      <alignment horizontal="center" vertical="center" wrapText="1"/>
      <protection hidden="1"/>
    </xf>
    <xf numFmtId="0" fontId="19" fillId="2" borderId="11" xfId="0" applyFont="1" applyFill="1" applyBorder="1" applyAlignment="1" applyProtection="1">
      <alignment horizontal="center" vertical="center" wrapText="1"/>
      <protection hidden="1"/>
    </xf>
    <xf numFmtId="0" fontId="19" fillId="2" borderId="12" xfId="0" applyFont="1" applyFill="1" applyBorder="1" applyAlignment="1" applyProtection="1">
      <alignment horizontal="center" vertical="center" wrapText="1"/>
      <protection hidden="1"/>
    </xf>
    <xf numFmtId="0" fontId="17" fillId="2" borderId="3" xfId="0" applyFont="1" applyFill="1" applyBorder="1" applyAlignment="1" applyProtection="1">
      <alignment horizontal="center" vertical="center"/>
      <protection hidden="1"/>
    </xf>
    <xf numFmtId="0" fontId="17" fillId="2" borderId="1" xfId="0" applyFont="1" applyFill="1" applyBorder="1" applyAlignment="1" applyProtection="1">
      <alignment horizontal="center" vertical="center"/>
      <protection hidden="1"/>
    </xf>
    <xf numFmtId="0" fontId="17" fillId="2" borderId="4" xfId="0" applyFont="1" applyFill="1" applyBorder="1" applyAlignment="1" applyProtection="1">
      <alignment horizontal="center" vertical="center"/>
      <protection hidden="1"/>
    </xf>
    <xf numFmtId="0" fontId="17" fillId="6" borderId="3" xfId="0" applyFont="1" applyFill="1" applyBorder="1" applyAlignment="1" applyProtection="1">
      <alignment horizontal="center" vertical="center" wrapText="1"/>
      <protection hidden="1"/>
    </xf>
    <xf numFmtId="0" fontId="17" fillId="6" borderId="4" xfId="0" applyFont="1" applyFill="1" applyBorder="1" applyAlignment="1" applyProtection="1">
      <alignment horizontal="center" vertical="center" wrapText="1"/>
      <protection hidden="1"/>
    </xf>
    <xf numFmtId="0" fontId="17" fillId="6" borderId="2" xfId="0" applyFont="1" applyFill="1" applyBorder="1" applyAlignment="1" applyProtection="1">
      <alignment horizontal="center" vertical="center" wrapText="1"/>
      <protection hidden="1"/>
    </xf>
    <xf numFmtId="0" fontId="0" fillId="0" borderId="1" xfId="0" applyBorder="1"/>
    <xf numFmtId="0" fontId="0" fillId="0" borderId="4" xfId="0" applyBorder="1"/>
    <xf numFmtId="0" fontId="17" fillId="6" borderId="1" xfId="0" applyFont="1" applyFill="1" applyBorder="1" applyAlignment="1" applyProtection="1">
      <alignment horizontal="center" vertical="center" wrapText="1"/>
      <protection hidden="1"/>
    </xf>
    <xf numFmtId="44" fontId="16" fillId="10" borderId="2" xfId="2" applyFont="1" applyFill="1" applyBorder="1" applyAlignment="1" applyProtection="1">
      <alignment horizontal="center" vertical="center"/>
      <protection hidden="1"/>
    </xf>
    <xf numFmtId="164" fontId="16" fillId="10" borderId="2" xfId="1" applyFont="1" applyFill="1" applyBorder="1" applyAlignment="1" applyProtection="1">
      <alignment horizontal="center" vertical="center"/>
      <protection hidden="1"/>
    </xf>
    <xf numFmtId="17" fontId="4" fillId="2" borderId="6" xfId="0" applyNumberFormat="1" applyFont="1" applyFill="1" applyBorder="1" applyAlignment="1" applyProtection="1">
      <alignment horizontal="center" vertical="center" wrapText="1"/>
      <protection hidden="1"/>
    </xf>
    <xf numFmtId="0" fontId="4" fillId="2" borderId="7" xfId="0" applyNumberFormat="1" applyFont="1" applyFill="1" applyBorder="1" applyAlignment="1" applyProtection="1">
      <alignment horizontal="center" vertical="center" wrapText="1"/>
      <protection hidden="1"/>
    </xf>
    <xf numFmtId="0" fontId="4" fillId="2" borderId="8" xfId="0" applyNumberFormat="1" applyFont="1" applyFill="1" applyBorder="1" applyAlignment="1" applyProtection="1">
      <alignment horizontal="center" vertical="center" wrapText="1"/>
      <protection hidden="1"/>
    </xf>
    <xf numFmtId="0" fontId="4" fillId="2" borderId="9" xfId="0" applyNumberFormat="1" applyFont="1" applyFill="1" applyBorder="1" applyAlignment="1" applyProtection="1">
      <alignment horizontal="center" vertical="center" wrapText="1"/>
      <protection hidden="1"/>
    </xf>
    <xf numFmtId="0" fontId="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4" fillId="2" borderId="10" xfId="0" applyNumberFormat="1" applyFont="1" applyFill="1" applyBorder="1" applyAlignment="1" applyProtection="1">
      <alignment horizontal="center" vertical="center" wrapText="1"/>
      <protection hidden="1"/>
    </xf>
    <xf numFmtId="0" fontId="4" fillId="2" borderId="11" xfId="0" applyNumberFormat="1" applyFont="1" applyFill="1" applyBorder="1" applyAlignment="1" applyProtection="1">
      <alignment horizontal="center" vertical="center" wrapText="1"/>
      <protection hidden="1"/>
    </xf>
    <xf numFmtId="0" fontId="4" fillId="2" borderId="12" xfId="0" applyNumberFormat="1" applyFont="1" applyFill="1" applyBorder="1" applyAlignment="1" applyProtection="1">
      <alignment horizontal="center" vertical="center" wrapText="1"/>
      <protection hidden="1"/>
    </xf>
    <xf numFmtId="0" fontId="4" fillId="2" borderId="13" xfId="0" applyNumberFormat="1" applyFont="1" applyFill="1" applyBorder="1" applyAlignment="1" applyProtection="1">
      <alignment horizontal="center" vertical="center" wrapText="1"/>
      <protection hidden="1"/>
    </xf>
    <xf numFmtId="0" fontId="3" fillId="2" borderId="0" xfId="0" applyFont="1" applyFill="1" applyBorder="1" applyAlignment="1" applyProtection="1">
      <alignment horizontal="center"/>
      <protection hidden="1"/>
    </xf>
    <xf numFmtId="0" fontId="15" fillId="2" borderId="0" xfId="0" applyFont="1" applyFill="1" applyAlignment="1" applyProtection="1">
      <alignment horizontal="right" vertical="center"/>
      <protection hidden="1"/>
    </xf>
    <xf numFmtId="170" fontId="8" fillId="2" borderId="0" xfId="0" applyNumberFormat="1" applyFont="1" applyFill="1" applyBorder="1" applyAlignment="1" applyProtection="1">
      <alignment horizontal="center" vertical="center"/>
      <protection hidden="1"/>
    </xf>
    <xf numFmtId="0" fontId="21" fillId="5" borderId="19" xfId="0" applyFont="1" applyFill="1" applyBorder="1" applyAlignment="1" applyProtection="1">
      <alignment horizontal="center"/>
      <protection locked="0" hidden="1"/>
    </xf>
    <xf numFmtId="0" fontId="21" fillId="5" borderId="21" xfId="0" applyFont="1" applyFill="1" applyBorder="1" applyAlignment="1" applyProtection="1">
      <alignment horizontal="center"/>
      <protection locked="0" hidden="1"/>
    </xf>
    <xf numFmtId="0" fontId="21" fillId="5" borderId="20" xfId="0" applyFont="1" applyFill="1" applyBorder="1" applyAlignment="1" applyProtection="1">
      <alignment horizontal="center"/>
      <protection locked="0" hidden="1"/>
    </xf>
    <xf numFmtId="164" fontId="16" fillId="10" borderId="3" xfId="1" applyFont="1" applyFill="1" applyBorder="1" applyAlignment="1" applyProtection="1">
      <alignment horizontal="center" vertical="center"/>
      <protection hidden="1"/>
    </xf>
    <xf numFmtId="164" fontId="16" fillId="10" borderId="4" xfId="1" applyFont="1" applyFill="1" applyBorder="1" applyAlignment="1" applyProtection="1">
      <alignment horizontal="center" vertical="center"/>
      <protection hidden="1"/>
    </xf>
    <xf numFmtId="164" fontId="16" fillId="10" borderId="1" xfId="1" applyFont="1" applyFill="1" applyBorder="1" applyAlignment="1" applyProtection="1">
      <alignment horizontal="center" vertical="center"/>
      <protection hidden="1"/>
    </xf>
    <xf numFmtId="44" fontId="16" fillId="10" borderId="3" xfId="2" applyFont="1" applyFill="1" applyBorder="1" applyAlignment="1" applyProtection="1">
      <alignment horizontal="center" vertical="center"/>
      <protection hidden="1"/>
    </xf>
    <xf numFmtId="44" fontId="16" fillId="10" borderId="4" xfId="2" applyFont="1" applyFill="1" applyBorder="1" applyAlignment="1" applyProtection="1">
      <alignment horizontal="center" vertical="center"/>
      <protection hidden="1"/>
    </xf>
    <xf numFmtId="0" fontId="17" fillId="4" borderId="3" xfId="0" applyFont="1" applyFill="1" applyBorder="1" applyAlignment="1" applyProtection="1">
      <alignment horizontal="center" vertical="center"/>
      <protection hidden="1"/>
    </xf>
    <xf numFmtId="0" fontId="17" fillId="4" borderId="1" xfId="0" applyFont="1" applyFill="1" applyBorder="1" applyAlignment="1" applyProtection="1">
      <alignment horizontal="center" vertical="center"/>
      <protection hidden="1"/>
    </xf>
    <xf numFmtId="0" fontId="17" fillId="4" borderId="4" xfId="0" applyFont="1" applyFill="1" applyBorder="1" applyAlignment="1" applyProtection="1">
      <alignment horizontal="center" vertical="center"/>
      <protection hidden="1"/>
    </xf>
    <xf numFmtId="167" fontId="22" fillId="10" borderId="2" xfId="1" applyNumberFormat="1" applyFont="1" applyFill="1" applyBorder="1" applyAlignment="1" applyProtection="1">
      <alignment horizontal="center"/>
      <protection hidden="1"/>
    </xf>
    <xf numFmtId="167" fontId="22" fillId="10" borderId="3" xfId="1" applyNumberFormat="1" applyFont="1" applyFill="1" applyBorder="1" applyAlignment="1" applyProtection="1">
      <alignment horizontal="center"/>
      <protection hidden="1"/>
    </xf>
    <xf numFmtId="168" fontId="22" fillId="10" borderId="3" xfId="0" applyNumberFormat="1" applyFont="1" applyFill="1" applyBorder="1" applyAlignment="1" applyProtection="1">
      <alignment horizontal="center"/>
      <protection hidden="1"/>
    </xf>
    <xf numFmtId="168" fontId="22" fillId="10" borderId="4" xfId="0" applyNumberFormat="1" applyFont="1" applyFill="1" applyBorder="1" applyAlignment="1" applyProtection="1">
      <alignment horizontal="center"/>
      <protection hidden="1"/>
    </xf>
    <xf numFmtId="0" fontId="20" fillId="2" borderId="3" xfId="0" applyFont="1" applyFill="1" applyBorder="1" applyAlignment="1" applyProtection="1">
      <alignment horizontal="center" wrapText="1"/>
      <protection hidden="1"/>
    </xf>
    <xf numFmtId="0" fontId="20" fillId="2" borderId="4" xfId="0" applyFont="1" applyFill="1" applyBorder="1" applyAlignment="1" applyProtection="1">
      <alignment horizontal="center" wrapText="1"/>
      <protection hidden="1"/>
    </xf>
    <xf numFmtId="0" fontId="1" fillId="10" borderId="0" xfId="0" applyFont="1" applyFill="1" applyAlignment="1" applyProtection="1">
      <alignment horizontal="center" vertical="top"/>
      <protection hidden="1"/>
    </xf>
    <xf numFmtId="0" fontId="21" fillId="5" borderId="19" xfId="0" applyFont="1" applyFill="1" applyBorder="1" applyAlignment="1" applyProtection="1">
      <alignment horizontal="center" wrapText="1"/>
      <protection locked="0" hidden="1"/>
    </xf>
    <xf numFmtId="0" fontId="21" fillId="5" borderId="20" xfId="0" applyFont="1" applyFill="1" applyBorder="1" applyAlignment="1" applyProtection="1">
      <alignment horizontal="center" wrapText="1"/>
      <protection locked="0" hidden="1"/>
    </xf>
    <xf numFmtId="44" fontId="23" fillId="10" borderId="2" xfId="2" applyFont="1" applyFill="1" applyBorder="1" applyAlignment="1" applyProtection="1">
      <alignment horizontal="center"/>
      <protection hidden="1"/>
    </xf>
    <xf numFmtId="164" fontId="23" fillId="10" borderId="3" xfId="1" applyFont="1" applyFill="1" applyBorder="1" applyAlignment="1" applyProtection="1">
      <alignment horizontal="left" vertical="center" wrapText="1"/>
      <protection hidden="1"/>
    </xf>
    <xf numFmtId="164" fontId="23" fillId="10" borderId="4" xfId="1" applyFont="1" applyFill="1" applyBorder="1" applyAlignment="1" applyProtection="1">
      <alignment horizontal="left" vertical="center" wrapText="1"/>
      <protection hidden="1"/>
    </xf>
    <xf numFmtId="164" fontId="23" fillId="10" borderId="3" xfId="1" applyFont="1" applyFill="1" applyBorder="1" applyAlignment="1" applyProtection="1">
      <alignment vertical="center" wrapText="1"/>
      <protection hidden="1"/>
    </xf>
    <xf numFmtId="164" fontId="23" fillId="10" borderId="4" xfId="1" applyFont="1" applyFill="1" applyBorder="1" applyAlignment="1" applyProtection="1">
      <alignment vertical="center" wrapText="1"/>
      <protection hidden="1"/>
    </xf>
    <xf numFmtId="164" fontId="23" fillId="10" borderId="2" xfId="1" applyFont="1" applyFill="1" applyBorder="1" applyAlignment="1" applyProtection="1">
      <alignment vertical="center"/>
      <protection hidden="1"/>
    </xf>
    <xf numFmtId="164" fontId="23" fillId="10" borderId="3" xfId="1" applyFont="1" applyFill="1" applyBorder="1" applyAlignment="1" applyProtection="1">
      <alignment horizontal="center" vertical="center"/>
      <protection hidden="1"/>
    </xf>
    <xf numFmtId="164" fontId="23" fillId="10" borderId="4" xfId="1" applyFont="1" applyFill="1" applyBorder="1" applyAlignment="1" applyProtection="1">
      <alignment horizontal="center" vertical="center"/>
      <protection hidden="1"/>
    </xf>
    <xf numFmtId="17" fontId="7" fillId="2" borderId="6" xfId="0" applyNumberFormat="1" applyFont="1" applyFill="1" applyBorder="1" applyAlignment="1" applyProtection="1">
      <alignment horizontal="center" vertical="center" wrapText="1"/>
      <protection hidden="1"/>
    </xf>
    <xf numFmtId="17" fontId="7" fillId="2" borderId="7" xfId="0" applyNumberFormat="1" applyFont="1" applyFill="1" applyBorder="1" applyAlignment="1" applyProtection="1">
      <alignment horizontal="center" vertical="center" wrapText="1"/>
      <protection hidden="1"/>
    </xf>
    <xf numFmtId="17" fontId="7" fillId="2" borderId="8" xfId="0" applyNumberFormat="1" applyFont="1" applyFill="1" applyBorder="1" applyAlignment="1" applyProtection="1">
      <alignment horizontal="center" vertical="center" wrapText="1"/>
      <protection hidden="1"/>
    </xf>
    <xf numFmtId="17" fontId="7" fillId="2" borderId="9" xfId="0" applyNumberFormat="1" applyFont="1" applyFill="1" applyBorder="1" applyAlignment="1" applyProtection="1">
      <alignment horizontal="center" vertical="center" wrapText="1"/>
      <protection hidden="1"/>
    </xf>
    <xf numFmtId="17" fontId="7" fillId="2" borderId="0" xfId="0" applyNumberFormat="1" applyFont="1" applyFill="1" applyBorder="1" applyAlignment="1" applyProtection="1">
      <alignment horizontal="center" vertical="center" wrapText="1"/>
      <protection hidden="1"/>
    </xf>
    <xf numFmtId="17" fontId="7" fillId="2" borderId="10" xfId="0" applyNumberFormat="1" applyFont="1" applyFill="1" applyBorder="1" applyAlignment="1" applyProtection="1">
      <alignment horizontal="center" vertical="center" wrapText="1"/>
      <protection hidden="1"/>
    </xf>
    <xf numFmtId="17" fontId="7" fillId="2" borderId="11" xfId="0" applyNumberFormat="1" applyFont="1" applyFill="1" applyBorder="1" applyAlignment="1" applyProtection="1">
      <alignment horizontal="center" vertical="center" wrapText="1"/>
      <protection hidden="1"/>
    </xf>
    <xf numFmtId="17" fontId="7" fillId="2" borderId="12" xfId="0" applyNumberFormat="1" applyFont="1" applyFill="1" applyBorder="1" applyAlignment="1" applyProtection="1">
      <alignment horizontal="center" vertical="center" wrapText="1"/>
      <protection hidden="1"/>
    </xf>
    <xf numFmtId="17" fontId="7" fillId="2" borderId="13" xfId="0" applyNumberFormat="1" applyFont="1" applyFill="1" applyBorder="1" applyAlignment="1" applyProtection="1">
      <alignment horizontal="center" vertical="center" wrapText="1"/>
      <protection hidden="1"/>
    </xf>
    <xf numFmtId="0" fontId="21" fillId="5" borderId="19" xfId="0" applyFont="1" applyFill="1" applyBorder="1" applyAlignment="1" applyProtection="1">
      <alignment horizontal="center" vertical="center" wrapText="1"/>
      <protection locked="0" hidden="1"/>
    </xf>
    <xf numFmtId="0" fontId="21" fillId="5" borderId="20" xfId="0" applyFont="1" applyFill="1" applyBorder="1" applyAlignment="1" applyProtection="1">
      <alignment horizontal="center" vertical="center" wrapText="1"/>
      <protection locked="0" hidden="1"/>
    </xf>
    <xf numFmtId="0" fontId="21" fillId="6" borderId="19" xfId="0" applyFont="1" applyFill="1" applyBorder="1" applyAlignment="1" applyProtection="1">
      <alignment horizontal="center" vertical="center" wrapText="1"/>
      <protection hidden="1"/>
    </xf>
    <xf numFmtId="0" fontId="21" fillId="6" borderId="21" xfId="0" applyFont="1" applyFill="1" applyBorder="1" applyAlignment="1" applyProtection="1">
      <alignment horizontal="center" vertical="center" wrapText="1"/>
      <protection hidden="1"/>
    </xf>
    <xf numFmtId="0" fontId="21" fillId="6" borderId="20" xfId="0" applyFont="1" applyFill="1" applyBorder="1" applyAlignment="1" applyProtection="1">
      <alignment horizontal="center" vertical="center" wrapText="1"/>
      <protection hidden="1"/>
    </xf>
    <xf numFmtId="0" fontId="17" fillId="6" borderId="5" xfId="0" applyFont="1" applyFill="1" applyBorder="1" applyAlignment="1" applyProtection="1">
      <alignment horizontal="center" vertical="center" wrapText="1"/>
      <protection hidden="1"/>
    </xf>
    <xf numFmtId="0" fontId="17" fillId="6" borderId="16" xfId="0" applyFont="1" applyFill="1" applyBorder="1" applyAlignment="1" applyProtection="1">
      <alignment horizontal="center" vertical="center" wrapText="1"/>
      <protection hidden="1"/>
    </xf>
    <xf numFmtId="0" fontId="17" fillId="6" borderId="17" xfId="0" applyFont="1" applyFill="1" applyBorder="1" applyAlignment="1" applyProtection="1">
      <alignment horizontal="center" vertical="center" wrapText="1"/>
      <protection hidden="1"/>
    </xf>
    <xf numFmtId="0" fontId="17" fillId="6" borderId="18" xfId="0" applyFont="1" applyFill="1" applyBorder="1" applyAlignment="1" applyProtection="1">
      <alignment horizontal="center" vertical="center" wrapText="1"/>
      <protection hidden="1"/>
    </xf>
    <xf numFmtId="0" fontId="17" fillId="6" borderId="22" xfId="0" applyFont="1" applyFill="1" applyBorder="1" applyAlignment="1" applyProtection="1">
      <alignment horizontal="center" vertical="center" wrapText="1"/>
      <protection hidden="1"/>
    </xf>
    <xf numFmtId="44" fontId="23" fillId="10" borderId="3" xfId="2" applyFont="1" applyFill="1" applyBorder="1" applyAlignment="1" applyProtection="1">
      <alignment horizontal="center"/>
      <protection hidden="1"/>
    </xf>
    <xf numFmtId="44" fontId="23" fillId="10" borderId="4" xfId="2" applyFont="1" applyFill="1" applyBorder="1" applyAlignment="1" applyProtection="1">
      <alignment horizontal="center"/>
      <protection hidden="1"/>
    </xf>
    <xf numFmtId="0" fontId="20" fillId="2" borderId="3" xfId="0" applyFont="1" applyFill="1" applyBorder="1" applyAlignment="1" applyProtection="1">
      <alignment horizontal="center" vertical="center"/>
      <protection hidden="1"/>
    </xf>
    <xf numFmtId="0" fontId="20" fillId="2" borderId="4" xfId="0" applyFont="1" applyFill="1" applyBorder="1" applyAlignment="1" applyProtection="1">
      <alignment horizontal="center" vertical="center"/>
      <protection hidden="1"/>
    </xf>
    <xf numFmtId="164" fontId="1" fillId="2" borderId="2" xfId="1" applyFont="1" applyFill="1" applyBorder="1" applyAlignment="1" applyProtection="1">
      <alignment horizontal="center" wrapText="1"/>
      <protection locked="0" hidden="1"/>
    </xf>
    <xf numFmtId="0" fontId="20" fillId="2" borderId="2" xfId="0" applyFont="1" applyFill="1" applyBorder="1" applyAlignment="1" applyProtection="1">
      <alignment horizontal="center" vertical="center" wrapText="1"/>
      <protection hidden="1"/>
    </xf>
    <xf numFmtId="0" fontId="1" fillId="2" borderId="3" xfId="0" applyFont="1" applyFill="1" applyBorder="1" applyAlignment="1" applyProtection="1">
      <alignment horizontal="center"/>
      <protection hidden="1"/>
    </xf>
    <xf numFmtId="0" fontId="1" fillId="2" borderId="4" xfId="0" applyFont="1" applyFill="1" applyBorder="1" applyAlignment="1" applyProtection="1">
      <alignment horizontal="center"/>
      <protection hidden="1"/>
    </xf>
    <xf numFmtId="166" fontId="22" fillId="10" borderId="3" xfId="1" applyNumberFormat="1" applyFont="1" applyFill="1" applyBorder="1" applyAlignment="1" applyProtection="1">
      <alignment horizontal="center" vertical="center"/>
      <protection hidden="1"/>
    </xf>
    <xf numFmtId="166" fontId="22" fillId="10" borderId="4" xfId="1" applyNumberFormat="1" applyFont="1" applyFill="1" applyBorder="1" applyAlignment="1" applyProtection="1">
      <alignment horizontal="center" vertical="center"/>
      <protection hidden="1"/>
    </xf>
    <xf numFmtId="166" fontId="22" fillId="10" borderId="3" xfId="1" applyNumberFormat="1" applyFont="1" applyFill="1" applyBorder="1" applyAlignment="1" applyProtection="1">
      <alignment vertical="center" wrapText="1"/>
      <protection hidden="1"/>
    </xf>
    <xf numFmtId="166" fontId="22" fillId="10" borderId="4" xfId="1" applyNumberFormat="1" applyFont="1" applyFill="1" applyBorder="1" applyAlignment="1" applyProtection="1">
      <alignment vertical="center" wrapText="1"/>
      <protection hidden="1"/>
    </xf>
    <xf numFmtId="164" fontId="22" fillId="10" borderId="2" xfId="1" applyFont="1" applyFill="1" applyBorder="1" applyAlignment="1" applyProtection="1">
      <alignment vertical="center" wrapText="1"/>
      <protection hidden="1"/>
    </xf>
    <xf numFmtId="164" fontId="22" fillId="10" borderId="2" xfId="1" applyFont="1" applyFill="1" applyBorder="1" applyAlignment="1" applyProtection="1">
      <alignment horizontal="center" wrapText="1"/>
      <protection hidden="1"/>
    </xf>
    <xf numFmtId="164" fontId="22" fillId="10" borderId="14" xfId="1" applyFont="1" applyFill="1" applyBorder="1" applyAlignment="1" applyProtection="1">
      <alignment horizontal="center" wrapText="1"/>
      <protection hidden="1"/>
    </xf>
    <xf numFmtId="164" fontId="22" fillId="10" borderId="15" xfId="1" applyFont="1" applyFill="1" applyBorder="1" applyAlignment="1" applyProtection="1">
      <alignment horizontal="center" wrapText="1"/>
      <protection hidden="1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164" fontId="16" fillId="10" borderId="3" xfId="1" applyFont="1" applyFill="1" applyBorder="1" applyAlignment="1" applyProtection="1">
      <alignment horizontal="center" vertical="center" shrinkToFit="1"/>
      <protection hidden="1"/>
    </xf>
    <xf numFmtId="0" fontId="0" fillId="10" borderId="4" xfId="0" applyFill="1" applyBorder="1" applyAlignment="1">
      <alignment horizontal="center" vertical="center" shrinkToFit="1"/>
    </xf>
    <xf numFmtId="0" fontId="0" fillId="10" borderId="1" xfId="0" applyFill="1" applyBorder="1" applyAlignment="1">
      <alignment horizontal="center" vertical="center" shrinkToFit="1"/>
    </xf>
    <xf numFmtId="17" fontId="7" fillId="2" borderId="6" xfId="0" quotePrefix="1" applyNumberFormat="1" applyFont="1" applyFill="1" applyBorder="1" applyAlignment="1" applyProtection="1">
      <alignment horizontal="center" vertical="center" wrapText="1"/>
      <protection hidden="1"/>
    </xf>
    <xf numFmtId="164" fontId="23" fillId="10" borderId="3" xfId="1" applyFont="1" applyFill="1" applyBorder="1" applyAlignment="1" applyProtection="1">
      <alignment horizontal="center" vertical="center" shrinkToFit="1"/>
      <protection hidden="1"/>
    </xf>
    <xf numFmtId="44" fontId="23" fillId="10" borderId="3" xfId="2" applyFont="1" applyFill="1" applyBorder="1" applyAlignment="1" applyProtection="1">
      <alignment horizontal="center" vertical="center"/>
      <protection hidden="1"/>
    </xf>
    <xf numFmtId="44" fontId="23" fillId="10" borderId="4" xfId="2" applyFont="1" applyFill="1" applyBorder="1" applyAlignment="1" applyProtection="1">
      <alignment horizontal="center" vertical="center"/>
      <protection hidden="1"/>
    </xf>
    <xf numFmtId="44" fontId="23" fillId="10" borderId="2" xfId="2" applyFont="1" applyFill="1" applyBorder="1" applyAlignment="1" applyProtection="1">
      <alignment horizontal="center" vertical="center"/>
      <protection hidden="1"/>
    </xf>
    <xf numFmtId="164" fontId="23" fillId="10" borderId="2" xfId="1" applyFont="1" applyFill="1" applyBorder="1" applyAlignment="1" applyProtection="1">
      <alignment horizontal="center" vertical="center"/>
      <protection hidden="1"/>
    </xf>
    <xf numFmtId="164" fontId="23" fillId="10" borderId="1" xfId="1" applyFont="1" applyFill="1" applyBorder="1" applyAlignment="1" applyProtection="1">
      <alignment horizontal="center" vertical="center"/>
      <protection hidden="1"/>
    </xf>
    <xf numFmtId="0" fontId="0" fillId="10" borderId="4" xfId="0" applyFill="1" applyBorder="1" applyAlignment="1">
      <alignment horizontal="center"/>
    </xf>
    <xf numFmtId="164" fontId="23" fillId="10" borderId="3" xfId="1" applyFont="1" applyFill="1" applyBorder="1" applyAlignment="1" applyProtection="1">
      <alignment vertical="center"/>
      <protection hidden="1"/>
    </xf>
    <xf numFmtId="0" fontId="0" fillId="10" borderId="4" xfId="0" applyFill="1" applyBorder="1" applyAlignment="1">
      <alignment vertical="center"/>
    </xf>
    <xf numFmtId="164" fontId="22" fillId="10" borderId="5" xfId="1" applyFont="1" applyFill="1" applyBorder="1" applyAlignment="1" applyProtection="1">
      <alignment horizontal="center" wrapText="1"/>
      <protection hidden="1"/>
    </xf>
    <xf numFmtId="0" fontId="17" fillId="6" borderId="35" xfId="0" applyFont="1" applyFill="1" applyBorder="1" applyAlignment="1" applyProtection="1">
      <alignment horizontal="center" vertical="center" wrapText="1"/>
      <protection hidden="1"/>
    </xf>
    <xf numFmtId="0" fontId="17" fillId="6" borderId="36" xfId="0" applyFont="1" applyFill="1" applyBorder="1" applyAlignment="1" applyProtection="1">
      <alignment horizontal="center" vertical="center" wrapText="1"/>
      <protection hidden="1"/>
    </xf>
    <xf numFmtId="0" fontId="20" fillId="10" borderId="0" xfId="0" applyFont="1" applyFill="1" applyAlignment="1" applyProtection="1">
      <alignment horizontal="center" vertical="top"/>
      <protection hidden="1"/>
    </xf>
    <xf numFmtId="170" fontId="20" fillId="2" borderId="3" xfId="0" applyNumberFormat="1" applyFont="1" applyFill="1" applyBorder="1" applyAlignment="1" applyProtection="1">
      <alignment horizontal="center" wrapText="1"/>
      <protection hidden="1"/>
    </xf>
    <xf numFmtId="0" fontId="13" fillId="2" borderId="1" xfId="0" applyFont="1" applyFill="1" applyBorder="1" applyAlignment="1">
      <alignment horizontal="center" wrapText="1"/>
    </xf>
    <xf numFmtId="0" fontId="13" fillId="2" borderId="4" xfId="0" applyFont="1" applyFill="1" applyBorder="1" applyAlignment="1">
      <alignment horizontal="center" wrapText="1"/>
    </xf>
    <xf numFmtId="0" fontId="0" fillId="10" borderId="4" xfId="0" applyFill="1" applyBorder="1" applyAlignment="1">
      <alignment horizontal="center" vertical="center"/>
    </xf>
    <xf numFmtId="164" fontId="23" fillId="8" borderId="3" xfId="1" applyFont="1" applyFill="1" applyBorder="1" applyAlignment="1" applyProtection="1">
      <alignment horizontal="center" vertical="center"/>
      <protection hidden="1"/>
    </xf>
    <xf numFmtId="164" fontId="23" fillId="8" borderId="4" xfId="1" applyFont="1" applyFill="1" applyBorder="1" applyAlignment="1" applyProtection="1">
      <alignment horizontal="center" vertical="center"/>
      <protection hidden="1"/>
    </xf>
    <xf numFmtId="167" fontId="22" fillId="8" borderId="2" xfId="1" applyNumberFormat="1" applyFont="1" applyFill="1" applyBorder="1" applyAlignment="1" applyProtection="1">
      <alignment horizontal="center"/>
      <protection hidden="1"/>
    </xf>
    <xf numFmtId="167" fontId="22" fillId="8" borderId="3" xfId="1" applyNumberFormat="1" applyFont="1" applyFill="1" applyBorder="1" applyAlignment="1" applyProtection="1">
      <alignment horizontal="center"/>
      <protection hidden="1"/>
    </xf>
    <xf numFmtId="168" fontId="29" fillId="8" borderId="3" xfId="0" applyNumberFormat="1" applyFont="1" applyFill="1" applyBorder="1" applyAlignment="1" applyProtection="1">
      <alignment horizontal="center"/>
      <protection hidden="1"/>
    </xf>
    <xf numFmtId="168" fontId="29" fillId="8" borderId="4" xfId="0" applyNumberFormat="1" applyFont="1" applyFill="1" applyBorder="1" applyAlignment="1" applyProtection="1">
      <alignment horizontal="center"/>
      <protection hidden="1"/>
    </xf>
    <xf numFmtId="0" fontId="1" fillId="8" borderId="0" xfId="0" applyFont="1" applyFill="1" applyAlignment="1" applyProtection="1">
      <alignment horizontal="center" vertical="top"/>
      <protection hidden="1"/>
    </xf>
    <xf numFmtId="164" fontId="23" fillId="8" borderId="3" xfId="1" applyFont="1" applyFill="1" applyBorder="1" applyAlignment="1" applyProtection="1">
      <alignment horizontal="center" vertical="center" shrinkToFit="1"/>
      <protection hidden="1"/>
    </xf>
    <xf numFmtId="0" fontId="0" fillId="0" borderId="1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170" fontId="1" fillId="2" borderId="3" xfId="0" applyNumberFormat="1" applyFont="1" applyFill="1" applyBorder="1" applyAlignment="1" applyProtection="1">
      <alignment horizontal="center" wrapText="1"/>
      <protection hidden="1"/>
    </xf>
    <xf numFmtId="44" fontId="23" fillId="8" borderId="3" xfId="2" applyFont="1" applyFill="1" applyBorder="1" applyAlignment="1" applyProtection="1">
      <alignment horizontal="center" vertical="center"/>
      <protection hidden="1"/>
    </xf>
    <xf numFmtId="44" fontId="23" fillId="8" borderId="4" xfId="2" applyFont="1" applyFill="1" applyBorder="1" applyAlignment="1" applyProtection="1">
      <alignment horizontal="center" vertical="center"/>
      <protection hidden="1"/>
    </xf>
    <xf numFmtId="44" fontId="23" fillId="8" borderId="2" xfId="2" applyFont="1" applyFill="1" applyBorder="1" applyAlignment="1" applyProtection="1">
      <alignment horizontal="center" vertical="center"/>
      <protection hidden="1"/>
    </xf>
    <xf numFmtId="164" fontId="23" fillId="8" borderId="2" xfId="1" applyFont="1" applyFill="1" applyBorder="1" applyAlignment="1" applyProtection="1">
      <alignment horizontal="center" vertical="center"/>
      <protection hidden="1"/>
    </xf>
    <xf numFmtId="0" fontId="21" fillId="9" borderId="19" xfId="0" applyFont="1" applyFill="1" applyBorder="1" applyAlignment="1" applyProtection="1">
      <alignment horizontal="center"/>
      <protection locked="0" hidden="1"/>
    </xf>
    <xf numFmtId="0" fontId="21" fillId="9" borderId="21" xfId="0" applyFont="1" applyFill="1" applyBorder="1" applyAlignment="1" applyProtection="1">
      <alignment horizontal="center"/>
      <protection locked="0" hidden="1"/>
    </xf>
    <xf numFmtId="0" fontId="21" fillId="9" borderId="20" xfId="0" applyFont="1" applyFill="1" applyBorder="1" applyAlignment="1" applyProtection="1">
      <alignment horizontal="center"/>
      <protection locked="0" hidden="1"/>
    </xf>
    <xf numFmtId="164" fontId="23" fillId="8" borderId="1" xfId="1" applyFont="1" applyFill="1" applyBorder="1" applyAlignment="1" applyProtection="1">
      <alignment horizontal="center" vertical="center"/>
      <protection hidden="1"/>
    </xf>
    <xf numFmtId="166" fontId="22" fillId="8" borderId="3" xfId="1" applyNumberFormat="1" applyFont="1" applyFill="1" applyBorder="1" applyAlignment="1" applyProtection="1">
      <alignment horizontal="center" vertical="center"/>
      <protection hidden="1"/>
    </xf>
    <xf numFmtId="166" fontId="22" fillId="8" borderId="4" xfId="1" applyNumberFormat="1" applyFont="1" applyFill="1" applyBorder="1" applyAlignment="1" applyProtection="1">
      <alignment horizontal="center" vertical="center"/>
      <protection hidden="1"/>
    </xf>
    <xf numFmtId="166" fontId="22" fillId="8" borderId="3" xfId="1" applyNumberFormat="1" applyFont="1" applyFill="1" applyBorder="1" applyAlignment="1" applyProtection="1">
      <alignment vertical="center" wrapText="1"/>
      <protection hidden="1"/>
    </xf>
    <xf numFmtId="166" fontId="22" fillId="8" borderId="4" xfId="1" applyNumberFormat="1" applyFont="1" applyFill="1" applyBorder="1" applyAlignment="1" applyProtection="1">
      <alignment vertical="center" wrapText="1"/>
      <protection hidden="1"/>
    </xf>
    <xf numFmtId="164" fontId="22" fillId="8" borderId="2" xfId="1" applyFont="1" applyFill="1" applyBorder="1" applyAlignment="1" applyProtection="1">
      <alignment vertical="center" wrapText="1"/>
      <protection hidden="1"/>
    </xf>
    <xf numFmtId="164" fontId="22" fillId="8" borderId="2" xfId="1" applyFont="1" applyFill="1" applyBorder="1" applyAlignment="1" applyProtection="1">
      <alignment horizontal="center" wrapText="1"/>
      <protection hidden="1"/>
    </xf>
    <xf numFmtId="164" fontId="22" fillId="8" borderId="14" xfId="1" applyFont="1" applyFill="1" applyBorder="1" applyAlignment="1" applyProtection="1">
      <alignment horizontal="center" wrapText="1"/>
      <protection hidden="1"/>
    </xf>
    <xf numFmtId="164" fontId="22" fillId="8" borderId="15" xfId="1" applyFont="1" applyFill="1" applyBorder="1" applyAlignment="1" applyProtection="1">
      <alignment horizontal="center" wrapText="1"/>
      <protection hidden="1"/>
    </xf>
    <xf numFmtId="44" fontId="23" fillId="8" borderId="2" xfId="2" applyFont="1" applyFill="1" applyBorder="1" applyAlignment="1" applyProtection="1">
      <alignment horizontal="center"/>
      <protection hidden="1"/>
    </xf>
    <xf numFmtId="164" fontId="23" fillId="8" borderId="3" xfId="1" applyFont="1" applyFill="1" applyBorder="1" applyAlignment="1" applyProtection="1">
      <alignment horizontal="left" vertical="center" wrapText="1"/>
      <protection hidden="1"/>
    </xf>
    <xf numFmtId="164" fontId="23" fillId="8" borderId="4" xfId="1" applyFont="1" applyFill="1" applyBorder="1" applyAlignment="1" applyProtection="1">
      <alignment horizontal="left" vertical="center" wrapText="1"/>
      <protection hidden="1"/>
    </xf>
    <xf numFmtId="164" fontId="23" fillId="8" borderId="3" xfId="1" applyFont="1" applyFill="1" applyBorder="1" applyAlignment="1" applyProtection="1">
      <alignment vertical="center" wrapText="1"/>
      <protection hidden="1"/>
    </xf>
    <xf numFmtId="164" fontId="23" fillId="8" borderId="4" xfId="1" applyFont="1" applyFill="1" applyBorder="1" applyAlignment="1" applyProtection="1">
      <alignment vertical="center" wrapText="1"/>
      <protection hidden="1"/>
    </xf>
    <xf numFmtId="164" fontId="23" fillId="8" borderId="2" xfId="1" applyFont="1" applyFill="1" applyBorder="1" applyAlignment="1" applyProtection="1">
      <alignment vertical="center"/>
      <protection hidden="1"/>
    </xf>
    <xf numFmtId="44" fontId="23" fillId="8" borderId="3" xfId="2" applyFont="1" applyFill="1" applyBorder="1" applyAlignment="1" applyProtection="1">
      <alignment horizontal="center"/>
      <protection hidden="1"/>
    </xf>
    <xf numFmtId="44" fontId="23" fillId="8" borderId="4" xfId="2" applyFont="1" applyFill="1" applyBorder="1" applyAlignment="1" applyProtection="1">
      <alignment horizontal="center"/>
      <protection hidden="1"/>
    </xf>
    <xf numFmtId="0" fontId="21" fillId="9" borderId="19" xfId="0" applyFont="1" applyFill="1" applyBorder="1" applyAlignment="1" applyProtection="1">
      <alignment horizontal="center" vertical="center" wrapText="1"/>
      <protection locked="0" hidden="1"/>
    </xf>
    <xf numFmtId="0" fontId="21" fillId="9" borderId="20" xfId="0" applyFont="1" applyFill="1" applyBorder="1" applyAlignment="1" applyProtection="1">
      <alignment horizontal="center" vertical="center" wrapText="1"/>
      <protection locked="0" hidden="1"/>
    </xf>
    <xf numFmtId="0" fontId="21" fillId="9" borderId="19" xfId="0" applyFont="1" applyFill="1" applyBorder="1" applyAlignment="1" applyProtection="1">
      <alignment horizontal="center" wrapText="1"/>
      <protection locked="0" hidden="1"/>
    </xf>
    <xf numFmtId="0" fontId="21" fillId="9" borderId="20" xfId="0" applyFont="1" applyFill="1" applyBorder="1" applyAlignment="1" applyProtection="1">
      <alignment horizontal="center" wrapText="1"/>
      <protection locked="0" hidden="1"/>
    </xf>
    <xf numFmtId="44" fontId="16" fillId="8" borderId="3" xfId="2" applyFont="1" applyFill="1" applyBorder="1" applyAlignment="1" applyProtection="1">
      <alignment horizontal="center" vertical="center"/>
      <protection hidden="1"/>
    </xf>
    <xf numFmtId="44" fontId="16" fillId="8" borderId="4" xfId="2" applyFont="1" applyFill="1" applyBorder="1" applyAlignment="1" applyProtection="1">
      <alignment horizontal="center" vertical="center"/>
      <protection hidden="1"/>
    </xf>
    <xf numFmtId="164" fontId="16" fillId="8" borderId="3" xfId="1" applyFont="1" applyFill="1" applyBorder="1" applyAlignment="1" applyProtection="1">
      <alignment horizontal="center" vertical="center"/>
      <protection hidden="1"/>
    </xf>
    <xf numFmtId="164" fontId="16" fillId="8" borderId="4" xfId="1" applyFont="1" applyFill="1" applyBorder="1" applyAlignment="1" applyProtection="1">
      <alignment horizontal="center" vertical="center"/>
      <protection hidden="1"/>
    </xf>
    <xf numFmtId="167" fontId="1" fillId="8" borderId="2" xfId="1" applyNumberFormat="1" applyFont="1" applyFill="1" applyBorder="1" applyAlignment="1" applyProtection="1">
      <alignment horizontal="center"/>
      <protection hidden="1"/>
    </xf>
    <xf numFmtId="167" fontId="1" fillId="8" borderId="3" xfId="1" applyNumberFormat="1" applyFont="1" applyFill="1" applyBorder="1" applyAlignment="1" applyProtection="1">
      <alignment horizontal="center"/>
      <protection hidden="1"/>
    </xf>
    <xf numFmtId="164" fontId="16" fillId="8" borderId="2" xfId="1" applyFont="1" applyFill="1" applyBorder="1" applyAlignment="1" applyProtection="1">
      <alignment horizontal="center" vertical="center"/>
      <protection hidden="1"/>
    </xf>
    <xf numFmtId="168" fontId="1" fillId="8" borderId="3" xfId="0" applyNumberFormat="1" applyFont="1" applyFill="1" applyBorder="1" applyAlignment="1" applyProtection="1">
      <alignment horizontal="center"/>
      <protection hidden="1"/>
    </xf>
    <xf numFmtId="168" fontId="1" fillId="8" borderId="4" xfId="0" applyNumberFormat="1" applyFont="1" applyFill="1" applyBorder="1" applyAlignment="1" applyProtection="1">
      <alignment horizontal="center"/>
      <protection hidden="1"/>
    </xf>
    <xf numFmtId="44" fontId="16" fillId="8" borderId="2" xfId="2" applyFont="1" applyFill="1" applyBorder="1" applyAlignment="1" applyProtection="1">
      <alignment horizontal="center" vertical="center"/>
      <protection hidden="1"/>
    </xf>
    <xf numFmtId="164" fontId="16" fillId="8" borderId="1" xfId="1" applyFont="1" applyFill="1" applyBorder="1" applyAlignment="1" applyProtection="1">
      <alignment horizontal="center" vertical="center"/>
      <protection hidden="1"/>
    </xf>
    <xf numFmtId="44" fontId="0" fillId="8" borderId="2" xfId="2" applyFont="1" applyFill="1" applyBorder="1" applyAlignment="1" applyProtection="1">
      <alignment horizontal="center"/>
      <protection hidden="1"/>
    </xf>
    <xf numFmtId="164" fontId="0" fillId="8" borderId="3" xfId="1" applyFont="1" applyFill="1" applyBorder="1" applyAlignment="1" applyProtection="1">
      <alignment horizontal="left" vertical="center" wrapText="1"/>
      <protection hidden="1"/>
    </xf>
    <xf numFmtId="164" fontId="0" fillId="8" borderId="4" xfId="1" applyFont="1" applyFill="1" applyBorder="1" applyAlignment="1" applyProtection="1">
      <alignment horizontal="left" vertical="center" wrapText="1"/>
      <protection hidden="1"/>
    </xf>
    <xf numFmtId="164" fontId="0" fillId="8" borderId="3" xfId="1" applyFont="1" applyFill="1" applyBorder="1" applyAlignment="1" applyProtection="1">
      <alignment vertical="center" wrapText="1"/>
      <protection hidden="1"/>
    </xf>
    <xf numFmtId="164" fontId="0" fillId="8" borderId="4" xfId="1" applyFont="1" applyFill="1" applyBorder="1" applyAlignment="1" applyProtection="1">
      <alignment vertical="center" wrapText="1"/>
      <protection hidden="1"/>
    </xf>
    <xf numFmtId="164" fontId="0" fillId="8" borderId="2" xfId="1" applyFont="1" applyFill="1" applyBorder="1" applyAlignment="1" applyProtection="1">
      <alignment vertical="center"/>
      <protection hidden="1"/>
    </xf>
    <xf numFmtId="164" fontId="26" fillId="8" borderId="3" xfId="1" applyFont="1" applyFill="1" applyBorder="1" applyAlignment="1" applyProtection="1">
      <alignment horizontal="center" vertical="center"/>
      <protection hidden="1"/>
    </xf>
    <xf numFmtId="164" fontId="26" fillId="8" borderId="4" xfId="1" applyFont="1" applyFill="1" applyBorder="1" applyAlignment="1" applyProtection="1">
      <alignment horizontal="center" vertical="center"/>
      <protection hidden="1"/>
    </xf>
    <xf numFmtId="44" fontId="26" fillId="8" borderId="2" xfId="2" applyFont="1" applyFill="1" applyBorder="1" applyAlignment="1" applyProtection="1">
      <alignment horizontal="center"/>
      <protection hidden="1"/>
    </xf>
    <xf numFmtId="164" fontId="26" fillId="8" borderId="3" xfId="1" applyFont="1" applyFill="1" applyBorder="1" applyAlignment="1" applyProtection="1">
      <alignment horizontal="left" vertical="center" wrapText="1"/>
      <protection hidden="1"/>
    </xf>
    <xf numFmtId="164" fontId="26" fillId="8" borderId="4" xfId="1" applyFont="1" applyFill="1" applyBorder="1" applyAlignment="1" applyProtection="1">
      <alignment horizontal="left" vertical="center" wrapText="1"/>
      <protection hidden="1"/>
    </xf>
    <xf numFmtId="164" fontId="26" fillId="8" borderId="3" xfId="1" applyFont="1" applyFill="1" applyBorder="1" applyAlignment="1" applyProtection="1">
      <alignment vertical="center" wrapText="1"/>
      <protection hidden="1"/>
    </xf>
    <xf numFmtId="164" fontId="26" fillId="8" borderId="4" xfId="1" applyFont="1" applyFill="1" applyBorder="1" applyAlignment="1" applyProtection="1">
      <alignment vertical="center" wrapText="1"/>
      <protection hidden="1"/>
    </xf>
    <xf numFmtId="44" fontId="0" fillId="8" borderId="3" xfId="2" applyFont="1" applyFill="1" applyBorder="1" applyAlignment="1" applyProtection="1">
      <alignment horizontal="center"/>
      <protection hidden="1"/>
    </xf>
    <xf numFmtId="44" fontId="0" fillId="8" borderId="4" xfId="2" applyFont="1" applyFill="1" applyBorder="1" applyAlignment="1" applyProtection="1">
      <alignment horizontal="center"/>
      <protection hidden="1"/>
    </xf>
    <xf numFmtId="164" fontId="0" fillId="8" borderId="3" xfId="1" applyFont="1" applyFill="1" applyBorder="1" applyAlignment="1" applyProtection="1">
      <alignment horizontal="center" vertical="center"/>
      <protection hidden="1"/>
    </xf>
    <xf numFmtId="164" fontId="0" fillId="8" borderId="4" xfId="1" applyFont="1" applyFill="1" applyBorder="1" applyAlignment="1" applyProtection="1">
      <alignment horizontal="center" vertical="center"/>
      <protection hidden="1"/>
    </xf>
    <xf numFmtId="166" fontId="27" fillId="8" borderId="3" xfId="1" applyNumberFormat="1" applyFont="1" applyFill="1" applyBorder="1" applyAlignment="1" applyProtection="1">
      <alignment horizontal="center" vertical="center"/>
      <protection hidden="1"/>
    </xf>
    <xf numFmtId="166" fontId="27" fillId="8" borderId="4" xfId="1" applyNumberFormat="1" applyFont="1" applyFill="1" applyBorder="1" applyAlignment="1" applyProtection="1">
      <alignment horizontal="center" vertical="center"/>
      <protection hidden="1"/>
    </xf>
    <xf numFmtId="166" fontId="27" fillId="8" borderId="3" xfId="1" applyNumberFormat="1" applyFont="1" applyFill="1" applyBorder="1" applyAlignment="1" applyProtection="1">
      <alignment vertical="center" wrapText="1"/>
      <protection hidden="1"/>
    </xf>
    <xf numFmtId="166" fontId="27" fillId="8" borderId="4" xfId="1" applyNumberFormat="1" applyFont="1" applyFill="1" applyBorder="1" applyAlignment="1" applyProtection="1">
      <alignment vertical="center" wrapText="1"/>
      <protection hidden="1"/>
    </xf>
    <xf numFmtId="164" fontId="27" fillId="8" borderId="2" xfId="1" applyFont="1" applyFill="1" applyBorder="1" applyAlignment="1" applyProtection="1">
      <alignment vertical="center" wrapText="1"/>
      <protection hidden="1"/>
    </xf>
    <xf numFmtId="164" fontId="1" fillId="8" borderId="2" xfId="1" applyFont="1" applyFill="1" applyBorder="1" applyAlignment="1" applyProtection="1">
      <alignment horizontal="center" wrapText="1"/>
      <protection hidden="1"/>
    </xf>
    <xf numFmtId="164" fontId="27" fillId="8" borderId="14" xfId="1" applyFont="1" applyFill="1" applyBorder="1" applyAlignment="1" applyProtection="1">
      <alignment horizontal="center" wrapText="1"/>
      <protection hidden="1"/>
    </xf>
    <xf numFmtId="164" fontId="27" fillId="8" borderId="15" xfId="1" applyFont="1" applyFill="1" applyBorder="1" applyAlignment="1" applyProtection="1">
      <alignment horizontal="center" wrapText="1"/>
      <protection hidden="1"/>
    </xf>
    <xf numFmtId="164" fontId="26" fillId="8" borderId="2" xfId="1" applyFont="1" applyFill="1" applyBorder="1" applyAlignment="1" applyProtection="1">
      <alignment vertical="center"/>
      <protection hidden="1"/>
    </xf>
    <xf numFmtId="164" fontId="16" fillId="8" borderId="3" xfId="1" applyFont="1" applyFill="1" applyBorder="1" applyAlignment="1" applyProtection="1">
      <alignment horizontal="center" vertical="center" shrinkToFit="1"/>
      <protection hidden="1"/>
    </xf>
    <xf numFmtId="164" fontId="23" fillId="8" borderId="3" xfId="1" applyFont="1" applyFill="1" applyBorder="1" applyAlignment="1" applyProtection="1">
      <alignment horizontal="left" vertical="center"/>
      <protection hidden="1"/>
    </xf>
    <xf numFmtId="0" fontId="0" fillId="0" borderId="4" xfId="0" applyBorder="1" applyAlignment="1">
      <alignment horizontal="left" vertical="center"/>
    </xf>
    <xf numFmtId="164" fontId="23" fillId="8" borderId="3" xfId="1" applyFont="1" applyFill="1" applyBorder="1" applyAlignment="1" applyProtection="1">
      <alignment vertical="center"/>
      <protection hidden="1"/>
    </xf>
    <xf numFmtId="0" fontId="0" fillId="0" borderId="4" xfId="0" applyBorder="1" applyAlignment="1">
      <alignment vertical="center"/>
    </xf>
    <xf numFmtId="164" fontId="23" fillId="8" borderId="3" xfId="1" applyFont="1" applyFill="1" applyBorder="1" applyAlignment="1" applyProtection="1">
      <alignment vertical="center" shrinkToFit="1"/>
      <protection hidden="1"/>
    </xf>
    <xf numFmtId="0" fontId="0" fillId="0" borderId="4" xfId="0" applyBorder="1" applyAlignment="1">
      <alignment vertical="center" shrinkToFit="1"/>
    </xf>
    <xf numFmtId="44" fontId="16" fillId="8" borderId="3" xfId="2" applyFont="1" applyFill="1" applyBorder="1" applyAlignment="1" applyProtection="1">
      <alignment horizontal="center" vertical="center" shrinkToFit="1"/>
      <protection hidden="1"/>
    </xf>
    <xf numFmtId="167" fontId="29" fillId="8" borderId="2" xfId="1" applyNumberFormat="1" applyFont="1" applyFill="1" applyBorder="1" applyAlignment="1" applyProtection="1">
      <alignment horizontal="center"/>
      <protection hidden="1"/>
    </xf>
    <xf numFmtId="167" fontId="29" fillId="8" borderId="3" xfId="1" applyNumberFormat="1" applyFont="1" applyFill="1" applyBorder="1" applyAlignment="1" applyProtection="1">
      <alignment horizontal="center"/>
      <protection hidden="1"/>
    </xf>
    <xf numFmtId="20" fontId="21" fillId="5" borderId="19" xfId="0" applyNumberFormat="1" applyFont="1" applyFill="1" applyBorder="1" applyAlignment="1" applyProtection="1">
      <alignment horizontal="center" wrapText="1"/>
      <protection locked="0" hidden="1"/>
    </xf>
    <xf numFmtId="20" fontId="21" fillId="5" borderId="19" xfId="0" applyNumberFormat="1" applyFont="1" applyFill="1" applyBorder="1" applyAlignment="1" applyProtection="1">
      <alignment horizontal="center" vertical="center" wrapText="1"/>
      <protection locked="0" hidden="1"/>
    </xf>
  </cellXfs>
  <cellStyles count="4">
    <cellStyle name="Milliers" xfId="1" builtinId="3"/>
    <cellStyle name="Monétaire" xfId="2" builtinId="4"/>
    <cellStyle name="Normal" xfId="0" builtinId="0"/>
    <cellStyle name="Pourcentage" xfId="3" builtinId="5"/>
  </cellStyles>
  <dxfs count="13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9" defaultPivotStyle="PivotStyleLight16"/>
  <colors>
    <mruColors>
      <color rgb="FFFFFF99"/>
      <color rgb="FFFF0000"/>
      <color rgb="FF00FFFF"/>
      <color rgb="FF080A6E"/>
      <color rgb="FFFFCC99"/>
      <color rgb="FFFF0066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148167</xdr:rowOff>
    </xdr:from>
    <xdr:to>
      <xdr:col>2</xdr:col>
      <xdr:colOff>671107</xdr:colOff>
      <xdr:row>3</xdr:row>
      <xdr:rowOff>211667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167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116416</xdr:rowOff>
    </xdr:from>
    <xdr:to>
      <xdr:col>2</xdr:col>
      <xdr:colOff>671107</xdr:colOff>
      <xdr:row>3</xdr:row>
      <xdr:rowOff>179916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416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142875</xdr:rowOff>
    </xdr:from>
    <xdr:to>
      <xdr:col>2</xdr:col>
      <xdr:colOff>672165</xdr:colOff>
      <xdr:row>3</xdr:row>
      <xdr:rowOff>203200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875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114300</xdr:rowOff>
    </xdr:from>
    <xdr:to>
      <xdr:col>2</xdr:col>
      <xdr:colOff>680631</xdr:colOff>
      <xdr:row>3</xdr:row>
      <xdr:rowOff>174625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14300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100853</xdr:rowOff>
    </xdr:from>
    <xdr:to>
      <xdr:col>2</xdr:col>
      <xdr:colOff>664881</xdr:colOff>
      <xdr:row>3</xdr:row>
      <xdr:rowOff>160618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853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672165</xdr:colOff>
      <xdr:row>3</xdr:row>
      <xdr:rowOff>127000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156882</xdr:rowOff>
    </xdr:from>
    <xdr:to>
      <xdr:col>2</xdr:col>
      <xdr:colOff>664881</xdr:colOff>
      <xdr:row>3</xdr:row>
      <xdr:rowOff>216647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882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142875</xdr:rowOff>
    </xdr:from>
    <xdr:to>
      <xdr:col>2</xdr:col>
      <xdr:colOff>672165</xdr:colOff>
      <xdr:row>3</xdr:row>
      <xdr:rowOff>203200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875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2</xdr:col>
      <xdr:colOff>672165</xdr:colOff>
      <xdr:row>3</xdr:row>
      <xdr:rowOff>241300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2</xdr:col>
      <xdr:colOff>672165</xdr:colOff>
      <xdr:row>3</xdr:row>
      <xdr:rowOff>184150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161925</xdr:rowOff>
    </xdr:from>
    <xdr:to>
      <xdr:col>2</xdr:col>
      <xdr:colOff>672165</xdr:colOff>
      <xdr:row>3</xdr:row>
      <xdr:rowOff>222250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5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672165</xdr:colOff>
      <xdr:row>3</xdr:row>
      <xdr:rowOff>231775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142875</xdr:rowOff>
    </xdr:from>
    <xdr:to>
      <xdr:col>2</xdr:col>
      <xdr:colOff>672165</xdr:colOff>
      <xdr:row>3</xdr:row>
      <xdr:rowOff>203200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875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2</xdr:col>
      <xdr:colOff>672165</xdr:colOff>
      <xdr:row>3</xdr:row>
      <xdr:rowOff>155575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104775</xdr:rowOff>
    </xdr:from>
    <xdr:to>
      <xdr:col>2</xdr:col>
      <xdr:colOff>672165</xdr:colOff>
      <xdr:row>3</xdr:row>
      <xdr:rowOff>165100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775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142875</xdr:rowOff>
    </xdr:from>
    <xdr:to>
      <xdr:col>2</xdr:col>
      <xdr:colOff>672165</xdr:colOff>
      <xdr:row>3</xdr:row>
      <xdr:rowOff>203200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875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133350</xdr:rowOff>
    </xdr:from>
    <xdr:to>
      <xdr:col>2</xdr:col>
      <xdr:colOff>700740</xdr:colOff>
      <xdr:row>3</xdr:row>
      <xdr:rowOff>193675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33350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2</xdr:col>
      <xdr:colOff>672165</xdr:colOff>
      <xdr:row>3</xdr:row>
      <xdr:rowOff>174625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85725</xdr:rowOff>
    </xdr:from>
    <xdr:to>
      <xdr:col>2</xdr:col>
      <xdr:colOff>681690</xdr:colOff>
      <xdr:row>3</xdr:row>
      <xdr:rowOff>146050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85725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672165</xdr:colOff>
      <xdr:row>3</xdr:row>
      <xdr:rowOff>127000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152400</xdr:rowOff>
    </xdr:from>
    <xdr:to>
      <xdr:col>2</xdr:col>
      <xdr:colOff>672165</xdr:colOff>
      <xdr:row>3</xdr:row>
      <xdr:rowOff>212725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2</xdr:col>
      <xdr:colOff>672165</xdr:colOff>
      <xdr:row>3</xdr:row>
      <xdr:rowOff>184150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133350</xdr:rowOff>
    </xdr:from>
    <xdr:to>
      <xdr:col>2</xdr:col>
      <xdr:colOff>681690</xdr:colOff>
      <xdr:row>3</xdr:row>
      <xdr:rowOff>193675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33350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2</xdr:col>
      <xdr:colOff>672165</xdr:colOff>
      <xdr:row>3</xdr:row>
      <xdr:rowOff>241300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2</xdr:col>
      <xdr:colOff>672165</xdr:colOff>
      <xdr:row>3</xdr:row>
      <xdr:rowOff>146050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672165</xdr:colOff>
      <xdr:row>3</xdr:row>
      <xdr:rowOff>127000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142875</xdr:rowOff>
    </xdr:from>
    <xdr:to>
      <xdr:col>2</xdr:col>
      <xdr:colOff>672165</xdr:colOff>
      <xdr:row>3</xdr:row>
      <xdr:rowOff>203200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875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142875</xdr:rowOff>
    </xdr:from>
    <xdr:to>
      <xdr:col>2</xdr:col>
      <xdr:colOff>672165</xdr:colOff>
      <xdr:row>3</xdr:row>
      <xdr:rowOff>203200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875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2</xdr:col>
      <xdr:colOff>805515</xdr:colOff>
      <xdr:row>3</xdr:row>
      <xdr:rowOff>155575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104775</xdr:rowOff>
    </xdr:from>
    <xdr:to>
      <xdr:col>2</xdr:col>
      <xdr:colOff>672165</xdr:colOff>
      <xdr:row>3</xdr:row>
      <xdr:rowOff>165100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775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2</xdr:col>
      <xdr:colOff>672165</xdr:colOff>
      <xdr:row>3</xdr:row>
      <xdr:rowOff>117475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2</xdr:col>
      <xdr:colOff>672165</xdr:colOff>
      <xdr:row>3</xdr:row>
      <xdr:rowOff>184150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2</xdr:col>
      <xdr:colOff>672165</xdr:colOff>
      <xdr:row>3</xdr:row>
      <xdr:rowOff>184150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152400</xdr:rowOff>
    </xdr:from>
    <xdr:to>
      <xdr:col>2</xdr:col>
      <xdr:colOff>672165</xdr:colOff>
      <xdr:row>3</xdr:row>
      <xdr:rowOff>212725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85725</xdr:rowOff>
    </xdr:from>
    <xdr:to>
      <xdr:col>2</xdr:col>
      <xdr:colOff>681690</xdr:colOff>
      <xdr:row>3</xdr:row>
      <xdr:rowOff>146050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85725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84667</xdr:rowOff>
    </xdr:from>
    <xdr:to>
      <xdr:col>2</xdr:col>
      <xdr:colOff>671107</xdr:colOff>
      <xdr:row>3</xdr:row>
      <xdr:rowOff>148167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667"/>
          <a:ext cx="172944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20"/>
  <sheetViews>
    <sheetView zoomScaleNormal="100" workbookViewId="0">
      <selection activeCell="D4" sqref="D4:G4"/>
    </sheetView>
  </sheetViews>
  <sheetFormatPr baseColWidth="10" defaultRowHeight="15" x14ac:dyDescent="0.25"/>
  <cols>
    <col min="1" max="1" width="10" customWidth="1"/>
    <col min="3" max="3" width="5.5703125" customWidth="1"/>
    <col min="4" max="4" width="11" customWidth="1"/>
    <col min="5" max="5" width="10" customWidth="1"/>
    <col min="6" max="6" width="11.28515625" customWidth="1"/>
    <col min="7" max="7" width="14.140625" customWidth="1"/>
    <col min="8" max="8" width="10.42578125" customWidth="1"/>
    <col min="9" max="9" width="10.140625" customWidth="1"/>
    <col min="10" max="10" width="11.85546875" customWidth="1"/>
    <col min="11" max="11" width="14" customWidth="1"/>
    <col min="13" max="13" width="12.140625" customWidth="1"/>
    <col min="14" max="15" width="11.42578125" customWidth="1"/>
    <col min="16" max="16" width="26.85546875" hidden="1" customWidth="1"/>
    <col min="17" max="18" width="11.42578125" hidden="1" customWidth="1"/>
    <col min="19" max="20" width="11.42578125" customWidth="1"/>
  </cols>
  <sheetData>
    <row r="1" spans="1:39" x14ac:dyDescent="0.25">
      <c r="N1" s="133"/>
      <c r="P1" t="s">
        <v>82</v>
      </c>
      <c r="R1">
        <v>14.51</v>
      </c>
    </row>
    <row r="2" spans="1:39" ht="21" x14ac:dyDescent="0.35">
      <c r="A2" s="176" t="s">
        <v>83</v>
      </c>
      <c r="B2" s="176"/>
      <c r="C2" s="176"/>
      <c r="D2" s="176"/>
      <c r="E2" s="176"/>
      <c r="F2" s="176"/>
      <c r="G2" s="176"/>
      <c r="H2" s="176"/>
      <c r="I2" s="176"/>
      <c r="J2" s="176"/>
      <c r="P2" t="s">
        <v>80</v>
      </c>
      <c r="R2">
        <v>18.3</v>
      </c>
    </row>
    <row r="3" spans="1:39" ht="16.5" thickBot="1" x14ac:dyDescent="0.3">
      <c r="A3" s="74"/>
      <c r="B3" s="75"/>
      <c r="C3" s="76"/>
      <c r="D3" s="76"/>
      <c r="E3" s="76"/>
      <c r="F3" s="76"/>
      <c r="G3" s="76"/>
      <c r="H3" s="76"/>
      <c r="M3" s="94"/>
      <c r="P3" t="s">
        <v>81</v>
      </c>
      <c r="Q3" s="94"/>
      <c r="R3" s="142">
        <f>(R2-R1)/R1</f>
        <v>0.26119917298414891</v>
      </c>
    </row>
    <row r="4" spans="1:39" ht="15.75" thickBot="1" x14ac:dyDescent="0.3">
      <c r="A4" s="77"/>
      <c r="B4" s="75"/>
      <c r="C4" s="76"/>
      <c r="D4" s="177" t="s">
        <v>32</v>
      </c>
      <c r="E4" s="178"/>
      <c r="F4" s="178"/>
      <c r="G4" s="179"/>
      <c r="H4" s="180" t="s">
        <v>33</v>
      </c>
      <c r="I4" s="181"/>
      <c r="J4" s="181"/>
      <c r="K4" s="182"/>
    </row>
    <row r="5" spans="1:39" ht="73.5" customHeight="1" thickBot="1" x14ac:dyDescent="0.3">
      <c r="A5" s="78" t="s">
        <v>43</v>
      </c>
      <c r="B5" s="183" t="s">
        <v>44</v>
      </c>
      <c r="C5" s="184"/>
      <c r="D5" s="79" t="s">
        <v>37</v>
      </c>
      <c r="E5" s="80" t="s">
        <v>75</v>
      </c>
      <c r="F5" s="80" t="s">
        <v>76</v>
      </c>
      <c r="G5" s="81" t="s">
        <v>77</v>
      </c>
      <c r="H5" s="82" t="s">
        <v>37</v>
      </c>
      <c r="I5" s="83" t="s">
        <v>75</v>
      </c>
      <c r="J5" s="83" t="s">
        <v>76</v>
      </c>
      <c r="K5" s="84" t="s">
        <v>77</v>
      </c>
    </row>
    <row r="6" spans="1:39" ht="23.25" customHeight="1" thickBot="1" x14ac:dyDescent="0.3">
      <c r="A6" s="85" t="s">
        <v>40</v>
      </c>
      <c r="B6" s="185" t="s">
        <v>45</v>
      </c>
      <c r="C6" s="185"/>
      <c r="D6" s="86">
        <f>80*(1+$R$3)</f>
        <v>100.89593383873192</v>
      </c>
      <c r="E6" s="86">
        <f>D6+25</f>
        <v>125.89593383873192</v>
      </c>
      <c r="F6" s="86">
        <f>D6*1.3</f>
        <v>131.16471399035152</v>
      </c>
      <c r="G6" s="86">
        <f>F6+25</f>
        <v>156.16471399035152</v>
      </c>
      <c r="H6" s="143">
        <f>50*(1+$R$3)</f>
        <v>63.059958649207445</v>
      </c>
      <c r="I6" s="143">
        <f>H6+25</f>
        <v>88.059958649207445</v>
      </c>
      <c r="J6" s="143">
        <f>H6*1.3</f>
        <v>81.977946243969683</v>
      </c>
      <c r="K6" s="144">
        <f>J6+25</f>
        <v>106.97794624396968</v>
      </c>
      <c r="M6" s="138"/>
      <c r="N6" s="139"/>
      <c r="O6" s="138"/>
      <c r="P6" s="139"/>
      <c r="Q6" s="140"/>
      <c r="R6" s="139"/>
      <c r="S6" s="138"/>
      <c r="T6" s="139"/>
      <c r="U6" s="141"/>
      <c r="X6" s="134"/>
      <c r="Y6" s="135"/>
      <c r="Z6" s="135"/>
      <c r="AA6" s="135"/>
      <c r="AB6" s="135"/>
      <c r="AC6" s="135"/>
      <c r="AD6" s="135"/>
      <c r="AE6" s="135"/>
      <c r="AF6" s="135"/>
      <c r="AG6" s="134"/>
      <c r="AH6" s="131"/>
      <c r="AI6" s="131"/>
      <c r="AJ6" s="95"/>
      <c r="AK6" s="95"/>
      <c r="AL6" s="95"/>
      <c r="AM6" s="95"/>
    </row>
    <row r="7" spans="1:39" ht="24.75" customHeight="1" thickBot="1" x14ac:dyDescent="0.3">
      <c r="A7" s="87" t="s">
        <v>41</v>
      </c>
      <c r="B7" s="175" t="s">
        <v>34</v>
      </c>
      <c r="C7" s="175"/>
      <c r="D7" s="86">
        <f>D6</f>
        <v>100.89593383873192</v>
      </c>
      <c r="E7" s="86">
        <f t="shared" ref="E7:E8" si="0">D7+25</f>
        <v>125.89593383873192</v>
      </c>
      <c r="F7" s="86">
        <f t="shared" ref="F7:F8" si="1">D7*1.3</f>
        <v>131.16471399035152</v>
      </c>
      <c r="G7" s="86">
        <f t="shared" ref="G7:G8" si="2">F7+25</f>
        <v>156.16471399035152</v>
      </c>
      <c r="H7" s="143">
        <f>H6</f>
        <v>63.059958649207445</v>
      </c>
      <c r="I7" s="143">
        <f>H7+25</f>
        <v>88.059958649207445</v>
      </c>
      <c r="J7" s="143">
        <f t="shared" ref="J7:J8" si="3">H7*1.3</f>
        <v>81.977946243969683</v>
      </c>
      <c r="K7" s="144">
        <f t="shared" ref="K7:K8" si="4">J7+25</f>
        <v>106.97794624396968</v>
      </c>
      <c r="M7" s="138"/>
      <c r="N7" s="139"/>
      <c r="O7" s="138"/>
      <c r="P7" s="139"/>
      <c r="Q7" s="140"/>
      <c r="R7" s="139"/>
      <c r="S7" s="138"/>
      <c r="T7" s="139"/>
      <c r="X7" s="134"/>
      <c r="Y7" s="135"/>
      <c r="Z7" s="135"/>
      <c r="AA7" s="135"/>
      <c r="AB7" s="135"/>
      <c r="AC7" s="135"/>
      <c r="AD7" s="135"/>
      <c r="AE7" s="135"/>
      <c r="AF7" s="135"/>
      <c r="AG7" s="134"/>
      <c r="AH7" s="131"/>
      <c r="AI7" s="131"/>
      <c r="AJ7" s="95"/>
      <c r="AK7" s="95"/>
      <c r="AL7" s="95"/>
      <c r="AM7" s="95"/>
    </row>
    <row r="8" spans="1:39" ht="26.25" customHeight="1" thickBot="1" x14ac:dyDescent="0.3">
      <c r="A8" s="87" t="s">
        <v>42</v>
      </c>
      <c r="B8" s="175" t="s">
        <v>35</v>
      </c>
      <c r="C8" s="175"/>
      <c r="D8" s="86">
        <f>110*(1+$R$3)</f>
        <v>138.73190902825638</v>
      </c>
      <c r="E8" s="86">
        <f t="shared" si="0"/>
        <v>163.73190902825638</v>
      </c>
      <c r="F8" s="86">
        <f t="shared" si="1"/>
        <v>180.35148173673329</v>
      </c>
      <c r="G8" s="86">
        <f t="shared" si="2"/>
        <v>205.35148173673329</v>
      </c>
      <c r="H8" s="143">
        <f>65*(1+$R$3)</f>
        <v>81.977946243969683</v>
      </c>
      <c r="I8" s="143">
        <f>H8+25</f>
        <v>106.97794624396968</v>
      </c>
      <c r="J8" s="143">
        <f t="shared" si="3"/>
        <v>106.57133011716058</v>
      </c>
      <c r="K8" s="144">
        <f t="shared" si="4"/>
        <v>131.57133011716058</v>
      </c>
      <c r="M8" s="138"/>
      <c r="N8" s="139"/>
      <c r="O8" s="138"/>
      <c r="P8" s="139"/>
      <c r="Q8" s="140"/>
      <c r="R8" s="139"/>
      <c r="S8" s="138"/>
      <c r="T8" s="139"/>
      <c r="X8" s="134"/>
      <c r="Y8" s="135"/>
      <c r="Z8" s="135"/>
      <c r="AA8" s="135"/>
      <c r="AB8" s="135"/>
      <c r="AC8" s="135"/>
      <c r="AD8" s="135"/>
      <c r="AE8" s="135"/>
      <c r="AF8" s="135"/>
      <c r="AG8" s="134"/>
      <c r="AH8" s="131"/>
      <c r="AI8" s="131"/>
      <c r="AJ8" s="95"/>
      <c r="AK8" s="95"/>
      <c r="AL8" s="95"/>
      <c r="AM8" s="95"/>
    </row>
    <row r="9" spans="1:39" ht="26.25" customHeight="1" thickBot="1" x14ac:dyDescent="0.3">
      <c r="A9" s="88" t="s">
        <v>0</v>
      </c>
      <c r="B9" s="186" t="s">
        <v>36</v>
      </c>
      <c r="C9" s="186"/>
      <c r="D9" s="145">
        <f>140*(1+$R$3)</f>
        <v>176.56788421778086</v>
      </c>
      <c r="E9" s="145">
        <f>D9+25</f>
        <v>201.56788421778086</v>
      </c>
      <c r="F9" s="145">
        <f>D9*1.3</f>
        <v>229.53824948311512</v>
      </c>
      <c r="G9" s="145">
        <f>F9+25</f>
        <v>254.53824948311512</v>
      </c>
      <c r="H9" s="146">
        <f>90*(1+$R$3)</f>
        <v>113.50792556857341</v>
      </c>
      <c r="I9" s="146">
        <f>H9+25</f>
        <v>138.5079255685734</v>
      </c>
      <c r="J9" s="146">
        <f>H9*1.3</f>
        <v>147.56030323914544</v>
      </c>
      <c r="K9" s="147">
        <f>J9+25</f>
        <v>172.56030323914544</v>
      </c>
      <c r="M9" s="138"/>
      <c r="N9" s="139"/>
      <c r="O9" s="138"/>
      <c r="P9" s="139"/>
      <c r="Q9" s="140"/>
      <c r="R9" s="139"/>
      <c r="S9" s="138"/>
      <c r="T9" s="139"/>
      <c r="X9" s="134"/>
      <c r="Y9" s="135"/>
      <c r="Z9" s="135"/>
      <c r="AA9" s="135"/>
      <c r="AB9" s="135"/>
      <c r="AC9" s="135"/>
      <c r="AD9" s="135"/>
      <c r="AE9" s="135"/>
      <c r="AF9" s="135"/>
      <c r="AG9" s="134"/>
      <c r="AH9" s="131"/>
      <c r="AI9" s="131"/>
      <c r="AJ9" s="95"/>
      <c r="AK9" s="95"/>
      <c r="AL9" s="95"/>
      <c r="AM9" s="95"/>
    </row>
    <row r="10" spans="1:39" x14ac:dyDescent="0.25">
      <c r="A10" s="89"/>
      <c r="B10" s="90"/>
      <c r="C10" s="89"/>
      <c r="D10" s="132"/>
      <c r="E10" s="132"/>
      <c r="F10" s="132"/>
      <c r="G10" s="132"/>
      <c r="H10" s="132"/>
      <c r="I10" s="132"/>
      <c r="J10" s="132"/>
      <c r="K10" s="132"/>
      <c r="M10" s="133"/>
      <c r="N10" s="148"/>
      <c r="O10" s="148"/>
      <c r="P10" s="133"/>
      <c r="Q10" s="133"/>
      <c r="R10" s="133"/>
      <c r="S10" s="133"/>
      <c r="T10" s="133"/>
      <c r="X10" s="131"/>
      <c r="Y10" s="131"/>
      <c r="Z10" s="131"/>
      <c r="AA10" s="131"/>
      <c r="AB10" s="131"/>
      <c r="AC10" s="131"/>
      <c r="AD10" s="131"/>
      <c r="AE10" s="131"/>
    </row>
    <row r="11" spans="1:39" x14ac:dyDescent="0.25">
      <c r="A11" s="91"/>
      <c r="B11" s="187" t="s">
        <v>71</v>
      </c>
      <c r="C11" s="188"/>
      <c r="D11" s="92" t="s">
        <v>72</v>
      </c>
      <c r="E11" s="92"/>
      <c r="F11" s="92"/>
      <c r="G11" s="92"/>
      <c r="H11" s="93"/>
      <c r="I11" s="93"/>
      <c r="J11" s="93"/>
    </row>
    <row r="12" spans="1:39" x14ac:dyDescent="0.25">
      <c r="A12" s="91"/>
      <c r="B12" s="94"/>
      <c r="C12" s="93"/>
      <c r="D12" s="93"/>
      <c r="E12" s="93"/>
      <c r="F12" s="93"/>
      <c r="G12" s="93"/>
      <c r="H12" s="93"/>
      <c r="I12" s="93"/>
      <c r="J12" s="93"/>
    </row>
    <row r="13" spans="1:39" x14ac:dyDescent="0.25">
      <c r="A13" s="189" t="s">
        <v>78</v>
      </c>
      <c r="B13" s="189"/>
      <c r="C13" s="189"/>
      <c r="D13" s="189"/>
      <c r="E13" s="189"/>
      <c r="F13" s="189"/>
      <c r="G13" s="189"/>
      <c r="H13" s="189"/>
      <c r="I13" s="189"/>
      <c r="J13" s="189"/>
    </row>
    <row r="14" spans="1:39" x14ac:dyDescent="0.25">
      <c r="A14" s="149"/>
      <c r="B14" s="149"/>
      <c r="C14" s="149"/>
      <c r="D14" s="149"/>
      <c r="E14" s="149"/>
      <c r="F14" s="149"/>
      <c r="G14" s="149"/>
      <c r="H14" s="149"/>
      <c r="I14" s="149"/>
      <c r="J14" s="149"/>
    </row>
    <row r="15" spans="1:39" ht="43.5" customHeight="1" x14ac:dyDescent="0.25">
      <c r="A15" s="190" t="s">
        <v>79</v>
      </c>
      <c r="B15" s="190"/>
      <c r="C15" s="190"/>
      <c r="D15" s="190"/>
      <c r="E15" s="190"/>
      <c r="F15" s="190"/>
      <c r="G15" s="190"/>
      <c r="H15" s="190"/>
      <c r="I15" s="190"/>
      <c r="J15" s="190"/>
    </row>
    <row r="16" spans="1:39" x14ac:dyDescent="0.25">
      <c r="A16" s="93"/>
      <c r="B16" s="93"/>
      <c r="C16" s="93"/>
      <c r="D16" s="93"/>
      <c r="E16" s="93"/>
      <c r="F16" s="93"/>
      <c r="G16" s="93"/>
      <c r="H16" s="93"/>
      <c r="I16" s="93"/>
      <c r="J16" s="93"/>
    </row>
    <row r="17" spans="1:10" x14ac:dyDescent="0.25">
      <c r="A17" s="93"/>
      <c r="B17" s="93"/>
      <c r="C17" s="93"/>
      <c r="D17" s="93"/>
      <c r="E17" s="93"/>
      <c r="F17" s="93"/>
      <c r="G17" s="93"/>
      <c r="H17" s="93"/>
      <c r="I17" s="93"/>
      <c r="J17" s="93"/>
    </row>
    <row r="18" spans="1:10" x14ac:dyDescent="0.25">
      <c r="A18" s="93"/>
      <c r="B18" s="93"/>
      <c r="C18" s="93"/>
      <c r="D18" s="93"/>
      <c r="E18" s="93"/>
      <c r="F18" s="93"/>
      <c r="G18" s="93"/>
      <c r="H18" s="93"/>
      <c r="I18" s="93"/>
      <c r="J18" s="93"/>
    </row>
    <row r="19" spans="1:10" x14ac:dyDescent="0.25">
      <c r="A19" s="93"/>
      <c r="B19" s="93"/>
      <c r="C19" s="93"/>
      <c r="D19" s="93"/>
      <c r="E19" s="93"/>
      <c r="F19" s="93"/>
      <c r="G19" s="93"/>
      <c r="H19" s="93"/>
      <c r="I19" s="93"/>
      <c r="J19" s="93"/>
    </row>
    <row r="20" spans="1:10" x14ac:dyDescent="0.25">
      <c r="A20" s="93"/>
      <c r="B20" s="93"/>
      <c r="C20" s="93"/>
      <c r="D20" s="93"/>
      <c r="E20" s="93"/>
      <c r="F20" s="93"/>
      <c r="G20" s="93"/>
      <c r="H20" s="93"/>
      <c r="I20" s="93"/>
      <c r="J20" s="93"/>
    </row>
  </sheetData>
  <sheetProtection sheet="1" objects="1" scenarios="1"/>
  <mergeCells count="11">
    <mergeCell ref="B8:C8"/>
    <mergeCell ref="B9:C9"/>
    <mergeCell ref="B11:C11"/>
    <mergeCell ref="A13:J13"/>
    <mergeCell ref="A15:J15"/>
    <mergeCell ref="B7:C7"/>
    <mergeCell ref="A2:J2"/>
    <mergeCell ref="D4:G4"/>
    <mergeCell ref="H4:K4"/>
    <mergeCell ref="B5:C5"/>
    <mergeCell ref="B6:C6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BD246"/>
  <sheetViews>
    <sheetView topLeftCell="A10" zoomScale="80" zoomScaleNormal="80" workbookViewId="0">
      <selection activeCell="H26" sqref="H26:J26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1.28515625" style="6" customWidth="1"/>
    <col min="4" max="4" width="8.42578125" style="6" customWidth="1"/>
    <col min="5" max="5" width="10.42578125" style="6" customWidth="1"/>
    <col min="6" max="6" width="5.42578125" style="6" customWidth="1"/>
    <col min="7" max="7" width="9.85546875" style="6" customWidth="1"/>
    <col min="8" max="8" width="5.85546875" style="6" customWidth="1"/>
    <col min="9" max="9" width="1.85546875" style="6" customWidth="1"/>
    <col min="10" max="10" width="11.85546875" style="6" customWidth="1"/>
    <col min="11" max="11" width="8.140625" style="6" customWidth="1"/>
    <col min="12" max="12" width="10.85546875" style="6" customWidth="1"/>
    <col min="13" max="13" width="6.5703125" style="6" customWidth="1"/>
    <col min="14" max="14" width="9.5703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68</v>
      </c>
      <c r="E2" s="195"/>
      <c r="F2" s="195"/>
      <c r="G2" s="195"/>
      <c r="H2" s="195"/>
      <c r="I2" s="195"/>
      <c r="J2" s="195"/>
      <c r="K2" s="195"/>
      <c r="L2" s="211">
        <v>45292</v>
      </c>
      <c r="M2" s="212"/>
      <c r="N2" s="21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14"/>
      <c r="M3" s="215"/>
      <c r="N3" s="216"/>
      <c r="O3" s="3"/>
      <c r="P3" s="34"/>
      <c r="Q3" s="4"/>
      <c r="R3" s="220"/>
      <c r="S3" s="220"/>
      <c r="T3" s="220"/>
      <c r="U3" s="34"/>
      <c r="V3" s="34"/>
      <c r="W3" s="34"/>
      <c r="X3" s="34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17"/>
      <c r="M4" s="218"/>
      <c r="N4" s="219"/>
      <c r="O4" s="3"/>
      <c r="P4" s="34"/>
      <c r="Q4" s="4"/>
      <c r="R4" s="34"/>
      <c r="S4" s="34"/>
      <c r="T4" s="34"/>
      <c r="U4" s="34"/>
      <c r="V4" s="34"/>
      <c r="W4" s="34"/>
      <c r="X4" s="34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v>45300</v>
      </c>
      <c r="M5" s="222"/>
      <c r="N5" s="222"/>
      <c r="O5" s="3"/>
      <c r="P5" s="34"/>
      <c r="Q5" s="5"/>
      <c r="R5" s="220"/>
      <c r="S5" s="220"/>
      <c r="T5" s="220"/>
      <c r="U5" s="34"/>
      <c r="V5" s="34"/>
      <c r="W5" s="34"/>
      <c r="X5" s="34"/>
      <c r="Y5" s="5"/>
    </row>
    <row r="6" spans="1:25" ht="19.5" customHeight="1" x14ac:dyDescent="0.35">
      <c r="A6" s="27"/>
      <c r="B6" s="3" t="s">
        <v>73</v>
      </c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34"/>
      <c r="V6" s="34"/>
      <c r="W6" s="34"/>
      <c r="X6" s="34"/>
      <c r="Y6" s="5"/>
    </row>
    <row r="7" spans="1:25" ht="19.5" customHeight="1" thickBot="1" x14ac:dyDescent="0.4">
      <c r="A7" s="111"/>
      <c r="B7" s="3" t="s">
        <v>74</v>
      </c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40"/>
      <c r="V7" s="40"/>
      <c r="W7" s="40"/>
      <c r="X7" s="40"/>
      <c r="Y7" s="5"/>
    </row>
    <row r="8" spans="1:25" ht="18" customHeight="1" thickBot="1" x14ac:dyDescent="0.3">
      <c r="A8" s="8" t="s">
        <v>2</v>
      </c>
      <c r="B8" s="24"/>
      <c r="C8" s="223" t="s">
        <v>84</v>
      </c>
      <c r="D8" s="224"/>
      <c r="E8" s="224"/>
      <c r="F8" s="225"/>
      <c r="G8" s="9"/>
      <c r="H8" s="8" t="s">
        <v>26</v>
      </c>
      <c r="I8" s="8"/>
      <c r="J8" s="8"/>
      <c r="K8" s="223" t="s">
        <v>87</v>
      </c>
      <c r="L8" s="224"/>
      <c r="M8" s="224"/>
      <c r="N8" s="225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223" t="s">
        <v>85</v>
      </c>
      <c r="D10" s="224"/>
      <c r="E10" s="224"/>
      <c r="F10" s="225"/>
      <c r="G10" s="9"/>
      <c r="H10" s="8" t="s">
        <v>25</v>
      </c>
      <c r="I10" s="8"/>
      <c r="J10" s="8"/>
      <c r="K10" s="223" t="s">
        <v>86</v>
      </c>
      <c r="L10" s="224"/>
      <c r="M10" s="224"/>
      <c r="N10" s="225"/>
      <c r="O10" s="26"/>
      <c r="P10" s="26"/>
      <c r="Q10" s="26"/>
      <c r="R10" s="26"/>
      <c r="S10" s="26"/>
      <c r="T10" s="26"/>
      <c r="U10" s="11"/>
    </row>
    <row r="11" spans="1:25" ht="13.5" customHeight="1" x14ac:dyDescent="0.3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3.5" customHeight="1" x14ac:dyDescent="0.3">
      <c r="A12" s="8"/>
      <c r="B12" s="24"/>
      <c r="C12" s="24"/>
      <c r="D12" s="24"/>
      <c r="E12" s="24"/>
      <c r="F12" s="24"/>
      <c r="G12" s="9"/>
      <c r="H12" s="8"/>
      <c r="I12" s="8"/>
      <c r="J12" s="8"/>
      <c r="K12" s="8"/>
      <c r="L12" s="8"/>
      <c r="M12" s="8"/>
      <c r="N12" s="8"/>
      <c r="O12" s="26"/>
      <c r="P12" s="26"/>
      <c r="Q12" s="26"/>
      <c r="R12" s="26"/>
      <c r="S12" s="26"/>
      <c r="T12" s="26"/>
      <c r="U12" s="11"/>
    </row>
    <row r="13" spans="1:25" s="19" customFormat="1" ht="54.75" customHeight="1" x14ac:dyDescent="0.25">
      <c r="A13" s="200" t="s">
        <v>1</v>
      </c>
      <c r="B13" s="201"/>
      <c r="C13" s="202"/>
      <c r="D13" s="203" t="s">
        <v>55</v>
      </c>
      <c r="E13" s="204"/>
      <c r="F13" s="205" t="s">
        <v>54</v>
      </c>
      <c r="G13" s="205"/>
      <c r="H13" s="203" t="s">
        <v>56</v>
      </c>
      <c r="I13" s="206"/>
      <c r="J13" s="207"/>
      <c r="K13" s="203" t="s">
        <v>57</v>
      </c>
      <c r="L13" s="208"/>
      <c r="M13" s="205" t="s">
        <v>53</v>
      </c>
      <c r="N13" s="205"/>
      <c r="O13" s="26"/>
      <c r="P13" s="26"/>
      <c r="Q13" s="26"/>
      <c r="R13" s="26"/>
      <c r="S13" s="26"/>
      <c r="T13" s="26"/>
      <c r="U13" s="20"/>
      <c r="V13" s="20"/>
      <c r="W13" s="20"/>
      <c r="X13" s="21"/>
    </row>
    <row r="14" spans="1:25" s="3" customFormat="1" ht="15.75" x14ac:dyDescent="0.25">
      <c r="A14" s="191">
        <v>45264</v>
      </c>
      <c r="B14" s="192"/>
      <c r="C14" s="193"/>
      <c r="D14" s="209"/>
      <c r="E14" s="209"/>
      <c r="F14" s="210"/>
      <c r="G14" s="210"/>
      <c r="H14" s="210"/>
      <c r="I14" s="210"/>
      <c r="J14" s="210"/>
      <c r="K14" s="210"/>
      <c r="L14" s="210"/>
      <c r="M14" s="226"/>
      <c r="N14" s="227"/>
      <c r="O14" s="26"/>
      <c r="P14" s="26"/>
      <c r="Q14" s="26"/>
      <c r="R14" s="26"/>
      <c r="S14" s="26"/>
      <c r="T14" s="26"/>
      <c r="U14" s="13"/>
      <c r="V14" s="13"/>
      <c r="W14" s="13"/>
      <c r="X14" s="1"/>
    </row>
    <row r="15" spans="1:25" s="3" customFormat="1" ht="15.75" x14ac:dyDescent="0.25">
      <c r="A15" s="191">
        <v>45265</v>
      </c>
      <c r="B15" s="192"/>
      <c r="C15" s="193"/>
      <c r="D15" s="209"/>
      <c r="E15" s="209"/>
      <c r="F15" s="210"/>
      <c r="G15" s="210"/>
      <c r="H15" s="210"/>
      <c r="I15" s="210"/>
      <c r="J15" s="210"/>
      <c r="K15" s="210"/>
      <c r="L15" s="210"/>
      <c r="M15" s="226"/>
      <c r="N15" s="227"/>
      <c r="P15" s="26"/>
      <c r="Q15" s="26"/>
      <c r="R15" s="26"/>
      <c r="S15" s="26"/>
      <c r="T15" s="26"/>
      <c r="U15" s="13"/>
      <c r="V15" s="13"/>
      <c r="W15" s="13"/>
      <c r="X15" s="1"/>
    </row>
    <row r="16" spans="1:25" s="3" customFormat="1" ht="15.75" x14ac:dyDescent="0.25">
      <c r="A16" s="191">
        <v>45266</v>
      </c>
      <c r="B16" s="192"/>
      <c r="C16" s="193"/>
      <c r="D16" s="209"/>
      <c r="E16" s="209"/>
      <c r="F16" s="210"/>
      <c r="G16" s="210"/>
      <c r="H16" s="210"/>
      <c r="I16" s="210"/>
      <c r="J16" s="210"/>
      <c r="K16" s="210"/>
      <c r="L16" s="210"/>
      <c r="M16" s="226"/>
      <c r="N16" s="227"/>
      <c r="P16" s="26"/>
      <c r="Q16" s="26"/>
      <c r="R16" s="26"/>
      <c r="S16" s="26"/>
      <c r="T16" s="26"/>
      <c r="U16" s="26"/>
      <c r="V16" s="13"/>
      <c r="W16" s="13"/>
      <c r="X16" s="1"/>
    </row>
    <row r="17" spans="1:24" s="3" customFormat="1" x14ac:dyDescent="0.25">
      <c r="A17" s="191">
        <v>45267</v>
      </c>
      <c r="B17" s="192"/>
      <c r="C17" s="193"/>
      <c r="D17" s="209"/>
      <c r="E17" s="209"/>
      <c r="F17" s="210"/>
      <c r="G17" s="210"/>
      <c r="H17" s="210"/>
      <c r="I17" s="210"/>
      <c r="J17" s="210"/>
      <c r="K17" s="210"/>
      <c r="L17" s="210"/>
      <c r="M17" s="226"/>
      <c r="N17" s="227"/>
      <c r="P17" s="12"/>
      <c r="Q17" s="12"/>
      <c r="R17" s="12"/>
      <c r="S17" s="12"/>
      <c r="T17" s="13"/>
      <c r="U17" s="13"/>
      <c r="V17" s="13"/>
      <c r="W17" s="13"/>
      <c r="X17" s="1"/>
    </row>
    <row r="18" spans="1:24" s="3" customFormat="1" x14ac:dyDescent="0.25">
      <c r="A18" s="191">
        <v>45268</v>
      </c>
      <c r="B18" s="192"/>
      <c r="C18" s="193"/>
      <c r="D18" s="209"/>
      <c r="E18" s="209"/>
      <c r="F18" s="210"/>
      <c r="G18" s="210"/>
      <c r="H18" s="226"/>
      <c r="I18" s="228"/>
      <c r="J18" s="227"/>
      <c r="K18" s="210"/>
      <c r="L18" s="210"/>
      <c r="M18" s="226"/>
      <c r="N18" s="227"/>
      <c r="P18" s="12"/>
      <c r="Q18" s="12"/>
      <c r="R18" s="12"/>
      <c r="S18" s="12"/>
      <c r="T18" s="13"/>
      <c r="U18" s="13"/>
      <c r="V18" s="13"/>
      <c r="W18" s="13"/>
      <c r="X18" s="1"/>
    </row>
    <row r="19" spans="1:24" s="3" customFormat="1" x14ac:dyDescent="0.25">
      <c r="A19" s="191">
        <v>45269</v>
      </c>
      <c r="B19" s="192"/>
      <c r="C19" s="193"/>
      <c r="D19" s="209"/>
      <c r="E19" s="209"/>
      <c r="F19" s="210"/>
      <c r="G19" s="210"/>
      <c r="H19" s="210"/>
      <c r="I19" s="210"/>
      <c r="J19" s="210"/>
      <c r="K19" s="210"/>
      <c r="L19" s="210"/>
      <c r="M19" s="226"/>
      <c r="N19" s="227"/>
      <c r="P19" s="12"/>
      <c r="Q19" s="12"/>
      <c r="R19" s="12"/>
      <c r="S19" s="12"/>
      <c r="T19" s="13"/>
      <c r="U19" s="13"/>
      <c r="V19" s="13"/>
      <c r="W19" s="13"/>
      <c r="X19" s="1"/>
    </row>
    <row r="20" spans="1:24" s="3" customFormat="1" x14ac:dyDescent="0.25">
      <c r="A20" s="191">
        <v>45270</v>
      </c>
      <c r="B20" s="192"/>
      <c r="C20" s="193"/>
      <c r="D20" s="209"/>
      <c r="E20" s="209"/>
      <c r="F20" s="210"/>
      <c r="G20" s="210"/>
      <c r="H20" s="210"/>
      <c r="I20" s="210"/>
      <c r="J20" s="210"/>
      <c r="K20" s="210"/>
      <c r="L20" s="210"/>
      <c r="M20" s="226"/>
      <c r="N20" s="227"/>
      <c r="P20" s="12"/>
      <c r="Q20" s="12"/>
      <c r="R20" s="12"/>
      <c r="S20" s="12"/>
      <c r="T20" s="13"/>
      <c r="U20" s="13"/>
      <c r="V20" s="13"/>
      <c r="W20" s="13"/>
      <c r="X20" s="1"/>
    </row>
    <row r="21" spans="1:24" s="3" customFormat="1" x14ac:dyDescent="0.25">
      <c r="A21" s="191">
        <v>45271</v>
      </c>
      <c r="B21" s="192"/>
      <c r="C21" s="193"/>
      <c r="D21" s="209"/>
      <c r="E21" s="209"/>
      <c r="F21" s="210"/>
      <c r="G21" s="210"/>
      <c r="H21" s="210"/>
      <c r="I21" s="210"/>
      <c r="J21" s="210"/>
      <c r="K21" s="210"/>
      <c r="L21" s="210"/>
      <c r="M21" s="226"/>
      <c r="N21" s="227"/>
      <c r="P21" s="12"/>
      <c r="Q21" s="12"/>
      <c r="R21" s="12"/>
      <c r="S21" s="12"/>
      <c r="T21" s="13"/>
      <c r="U21" s="13"/>
      <c r="V21" s="13"/>
      <c r="W21" s="13"/>
      <c r="X21" s="1"/>
    </row>
    <row r="22" spans="1:24" s="3" customFormat="1" x14ac:dyDescent="0.25">
      <c r="A22" s="191">
        <v>45272</v>
      </c>
      <c r="B22" s="192"/>
      <c r="C22" s="193"/>
      <c r="D22" s="209"/>
      <c r="E22" s="209"/>
      <c r="F22" s="210"/>
      <c r="G22" s="210"/>
      <c r="H22" s="210"/>
      <c r="I22" s="210"/>
      <c r="J22" s="210"/>
      <c r="K22" s="210"/>
      <c r="L22" s="210"/>
      <c r="M22" s="226"/>
      <c r="N22" s="227"/>
      <c r="P22" s="12"/>
      <c r="Q22" s="12"/>
      <c r="R22" s="12"/>
      <c r="S22" s="12"/>
      <c r="T22" s="13"/>
      <c r="U22" s="13"/>
      <c r="V22" s="13"/>
      <c r="W22" s="13"/>
      <c r="X22" s="1"/>
    </row>
    <row r="23" spans="1:24" s="3" customFormat="1" x14ac:dyDescent="0.25">
      <c r="A23" s="191">
        <v>45273</v>
      </c>
      <c r="B23" s="192"/>
      <c r="C23" s="193"/>
      <c r="D23" s="209"/>
      <c r="E23" s="209"/>
      <c r="F23" s="210"/>
      <c r="G23" s="210"/>
      <c r="H23" s="210"/>
      <c r="I23" s="210"/>
      <c r="J23" s="210"/>
      <c r="K23" s="210"/>
      <c r="L23" s="210"/>
      <c r="M23" s="226"/>
      <c r="N23" s="227"/>
      <c r="P23" s="12"/>
      <c r="Q23" s="12"/>
      <c r="R23" s="12"/>
      <c r="S23" s="12"/>
      <c r="T23" s="13"/>
      <c r="U23" s="13"/>
      <c r="V23" s="13"/>
      <c r="W23" s="13"/>
      <c r="X23" s="1"/>
    </row>
    <row r="24" spans="1:24" s="3" customFormat="1" x14ac:dyDescent="0.25">
      <c r="A24" s="191">
        <v>45274</v>
      </c>
      <c r="B24" s="192"/>
      <c r="C24" s="193"/>
      <c r="D24" s="209"/>
      <c r="E24" s="209"/>
      <c r="F24" s="210"/>
      <c r="G24" s="210"/>
      <c r="H24" s="210"/>
      <c r="I24" s="210"/>
      <c r="J24" s="210"/>
      <c r="K24" s="210"/>
      <c r="L24" s="210"/>
      <c r="M24" s="226"/>
      <c r="N24" s="227"/>
      <c r="P24" s="12"/>
      <c r="Q24" s="15"/>
      <c r="R24" s="15"/>
      <c r="S24" s="15"/>
      <c r="T24" s="13"/>
      <c r="U24" s="13"/>
      <c r="V24" s="13"/>
      <c r="W24" s="13"/>
      <c r="X24" s="1"/>
    </row>
    <row r="25" spans="1:24" s="3" customFormat="1" x14ac:dyDescent="0.25">
      <c r="A25" s="191">
        <v>45275</v>
      </c>
      <c r="B25" s="192"/>
      <c r="C25" s="193"/>
      <c r="D25" s="209"/>
      <c r="E25" s="209"/>
      <c r="F25" s="210"/>
      <c r="G25" s="210"/>
      <c r="H25" s="210"/>
      <c r="I25" s="210"/>
      <c r="J25" s="210"/>
      <c r="K25" s="210"/>
      <c r="L25" s="210"/>
      <c r="M25" s="226"/>
      <c r="N25" s="227"/>
      <c r="P25" s="12"/>
      <c r="Q25" s="15"/>
      <c r="R25" s="15"/>
      <c r="S25" s="15"/>
      <c r="T25" s="13"/>
      <c r="U25" s="13"/>
      <c r="V25" s="13"/>
      <c r="W25" s="13"/>
      <c r="X25" s="1"/>
    </row>
    <row r="26" spans="1:24" s="3" customFormat="1" x14ac:dyDescent="0.25">
      <c r="A26" s="191">
        <v>45276</v>
      </c>
      <c r="B26" s="192"/>
      <c r="C26" s="193"/>
      <c r="D26" s="209"/>
      <c r="E26" s="209"/>
      <c r="F26" s="210"/>
      <c r="G26" s="210"/>
      <c r="H26" s="210"/>
      <c r="I26" s="210"/>
      <c r="J26" s="210"/>
      <c r="K26" s="210"/>
      <c r="L26" s="210"/>
      <c r="M26" s="226"/>
      <c r="N26" s="227"/>
      <c r="P26" s="12"/>
      <c r="Q26" s="15"/>
      <c r="R26" s="15"/>
      <c r="S26" s="15"/>
      <c r="T26" s="13"/>
      <c r="U26" s="13"/>
      <c r="V26" s="13"/>
      <c r="W26" s="13"/>
      <c r="X26" s="1"/>
    </row>
    <row r="27" spans="1:24" s="3" customFormat="1" x14ac:dyDescent="0.25">
      <c r="A27" s="191">
        <v>45277</v>
      </c>
      <c r="B27" s="192"/>
      <c r="C27" s="193"/>
      <c r="D27" s="209"/>
      <c r="E27" s="209"/>
      <c r="F27" s="210"/>
      <c r="G27" s="210"/>
      <c r="H27" s="210"/>
      <c r="I27" s="210"/>
      <c r="J27" s="210"/>
      <c r="K27" s="210"/>
      <c r="L27" s="210"/>
      <c r="M27" s="226"/>
      <c r="N27" s="227"/>
      <c r="O27" s="1"/>
      <c r="P27" s="12"/>
      <c r="Q27" s="15"/>
      <c r="R27" s="15"/>
      <c r="S27" s="15"/>
      <c r="T27" s="13"/>
      <c r="U27" s="13"/>
      <c r="V27" s="13"/>
      <c r="W27" s="13"/>
      <c r="X27" s="1"/>
    </row>
    <row r="28" spans="1:24" s="3" customFormat="1" x14ac:dyDescent="0.25">
      <c r="A28" s="191">
        <v>45278</v>
      </c>
      <c r="B28" s="192"/>
      <c r="C28" s="193"/>
      <c r="D28" s="209"/>
      <c r="E28" s="209"/>
      <c r="F28" s="210"/>
      <c r="G28" s="210"/>
      <c r="H28" s="210"/>
      <c r="I28" s="210"/>
      <c r="J28" s="210"/>
      <c r="K28" s="210"/>
      <c r="L28" s="210"/>
      <c r="M28" s="226"/>
      <c r="N28" s="227"/>
      <c r="P28" s="12"/>
      <c r="Q28" s="15"/>
      <c r="R28" s="15"/>
      <c r="S28" s="15"/>
      <c r="T28" s="13"/>
      <c r="U28" s="13"/>
      <c r="V28" s="13"/>
      <c r="W28" s="13"/>
      <c r="X28" s="1"/>
    </row>
    <row r="29" spans="1:24" s="3" customFormat="1" x14ac:dyDescent="0.25">
      <c r="A29" s="191">
        <v>45279</v>
      </c>
      <c r="B29" s="192"/>
      <c r="C29" s="193"/>
      <c r="D29" s="209"/>
      <c r="E29" s="209"/>
      <c r="F29" s="210"/>
      <c r="G29" s="210"/>
      <c r="H29" s="210"/>
      <c r="I29" s="210"/>
      <c r="J29" s="210"/>
      <c r="K29" s="210"/>
      <c r="L29" s="210"/>
      <c r="M29" s="226"/>
      <c r="N29" s="227"/>
      <c r="P29" s="12"/>
      <c r="Q29" s="15"/>
      <c r="R29" s="15"/>
      <c r="S29" s="15"/>
      <c r="T29" s="13"/>
      <c r="U29" s="13"/>
      <c r="V29" s="13"/>
      <c r="W29" s="13"/>
      <c r="X29" s="1"/>
    </row>
    <row r="30" spans="1:24" s="3" customFormat="1" x14ac:dyDescent="0.25">
      <c r="A30" s="191">
        <v>45280</v>
      </c>
      <c r="B30" s="192"/>
      <c r="C30" s="193"/>
      <c r="D30" s="209"/>
      <c r="E30" s="209"/>
      <c r="F30" s="210"/>
      <c r="G30" s="210"/>
      <c r="H30" s="210"/>
      <c r="I30" s="210"/>
      <c r="J30" s="210"/>
      <c r="K30" s="210"/>
      <c r="L30" s="210"/>
      <c r="M30" s="226"/>
      <c r="N30" s="227"/>
      <c r="P30" s="12"/>
      <c r="Q30" s="15"/>
      <c r="R30" s="15"/>
      <c r="S30" s="15"/>
      <c r="T30" s="13"/>
      <c r="U30" s="13"/>
      <c r="V30" s="13"/>
      <c r="W30" s="13"/>
      <c r="X30" s="1"/>
    </row>
    <row r="31" spans="1:24" s="3" customFormat="1" x14ac:dyDescent="0.25">
      <c r="A31" s="191">
        <v>45281</v>
      </c>
      <c r="B31" s="192"/>
      <c r="C31" s="193"/>
      <c r="D31" s="209"/>
      <c r="E31" s="209"/>
      <c r="F31" s="210"/>
      <c r="G31" s="210"/>
      <c r="H31" s="210"/>
      <c r="I31" s="210"/>
      <c r="J31" s="210"/>
      <c r="K31" s="210"/>
      <c r="L31" s="210"/>
      <c r="M31" s="226"/>
      <c r="N31" s="227"/>
      <c r="P31" s="12"/>
      <c r="Q31" s="15"/>
      <c r="R31" s="15"/>
      <c r="S31" s="15"/>
      <c r="T31" s="13"/>
      <c r="U31" s="13"/>
      <c r="V31" s="13"/>
      <c r="W31" s="13"/>
      <c r="X31" s="1"/>
    </row>
    <row r="32" spans="1:24" s="3" customFormat="1" x14ac:dyDescent="0.25">
      <c r="A32" s="191">
        <v>45282</v>
      </c>
      <c r="B32" s="192"/>
      <c r="C32" s="193"/>
      <c r="D32" s="209"/>
      <c r="E32" s="209"/>
      <c r="F32" s="210"/>
      <c r="G32" s="210"/>
      <c r="H32" s="210"/>
      <c r="I32" s="210"/>
      <c r="J32" s="210"/>
      <c r="K32" s="210"/>
      <c r="L32" s="210"/>
      <c r="M32" s="226"/>
      <c r="N32" s="227"/>
      <c r="P32" s="12"/>
      <c r="Q32" s="15"/>
      <c r="R32" s="15"/>
      <c r="S32" s="15"/>
      <c r="T32" s="13"/>
      <c r="U32" s="13"/>
      <c r="V32" s="13"/>
      <c r="W32" s="13"/>
      <c r="X32" s="1"/>
    </row>
    <row r="33" spans="1:24" s="3" customFormat="1" x14ac:dyDescent="0.25">
      <c r="A33" s="191">
        <v>45283</v>
      </c>
      <c r="B33" s="192"/>
      <c r="C33" s="193"/>
      <c r="D33" s="209"/>
      <c r="E33" s="209"/>
      <c r="F33" s="210"/>
      <c r="G33" s="210"/>
      <c r="H33" s="210"/>
      <c r="I33" s="210"/>
      <c r="J33" s="210"/>
      <c r="K33" s="210"/>
      <c r="L33" s="210"/>
      <c r="M33" s="226"/>
      <c r="N33" s="227"/>
      <c r="P33" s="12"/>
      <c r="Q33" s="15"/>
      <c r="R33" s="15"/>
      <c r="S33" s="15"/>
      <c r="T33" s="13"/>
      <c r="U33" s="13"/>
      <c r="V33" s="13"/>
      <c r="W33" s="13"/>
      <c r="X33" s="1"/>
    </row>
    <row r="34" spans="1:24" s="3" customFormat="1" x14ac:dyDescent="0.25">
      <c r="A34" s="191">
        <v>45284</v>
      </c>
      <c r="B34" s="192"/>
      <c r="C34" s="193"/>
      <c r="D34" s="209"/>
      <c r="E34" s="209"/>
      <c r="F34" s="210"/>
      <c r="G34" s="210"/>
      <c r="H34" s="210"/>
      <c r="I34" s="210"/>
      <c r="J34" s="210"/>
      <c r="K34" s="210"/>
      <c r="L34" s="210"/>
      <c r="M34" s="226"/>
      <c r="N34" s="227"/>
      <c r="P34" s="12"/>
      <c r="Q34" s="15"/>
      <c r="R34" s="15"/>
      <c r="S34" s="15"/>
      <c r="T34" s="13"/>
      <c r="U34" s="13"/>
      <c r="V34" s="13"/>
      <c r="W34" s="13"/>
      <c r="X34" s="1"/>
    </row>
    <row r="35" spans="1:24" s="3" customFormat="1" x14ac:dyDescent="0.25">
      <c r="A35" s="191">
        <v>45285</v>
      </c>
      <c r="B35" s="192"/>
      <c r="C35" s="193"/>
      <c r="D35" s="229"/>
      <c r="E35" s="230"/>
      <c r="F35" s="226"/>
      <c r="G35" s="227"/>
      <c r="H35" s="97"/>
      <c r="I35" s="98"/>
      <c r="J35" s="99"/>
      <c r="K35" s="226"/>
      <c r="L35" s="227"/>
      <c r="M35" s="97"/>
      <c r="N35" s="99"/>
      <c r="P35" s="12"/>
      <c r="Q35" s="15"/>
      <c r="R35" s="15"/>
      <c r="S35" s="15"/>
      <c r="T35" s="13"/>
      <c r="U35" s="13"/>
      <c r="V35" s="13"/>
      <c r="W35" s="13"/>
      <c r="X35" s="1"/>
    </row>
    <row r="36" spans="1:24" s="3" customFormat="1" x14ac:dyDescent="0.25">
      <c r="A36" s="191">
        <v>45286</v>
      </c>
      <c r="B36" s="192"/>
      <c r="C36" s="193"/>
      <c r="D36" s="229"/>
      <c r="E36" s="230"/>
      <c r="F36" s="226"/>
      <c r="G36" s="227"/>
      <c r="H36" s="97"/>
      <c r="I36" s="98"/>
      <c r="J36" s="99"/>
      <c r="K36" s="226"/>
      <c r="L36" s="227"/>
      <c r="M36" s="97"/>
      <c r="N36" s="99"/>
      <c r="P36" s="12"/>
      <c r="Q36" s="15"/>
      <c r="R36" s="15"/>
      <c r="S36" s="15"/>
      <c r="T36" s="13"/>
      <c r="U36" s="13"/>
      <c r="V36" s="13"/>
      <c r="W36" s="13"/>
      <c r="X36" s="1"/>
    </row>
    <row r="37" spans="1:24" s="3" customFormat="1" x14ac:dyDescent="0.25">
      <c r="A37" s="191">
        <v>45287</v>
      </c>
      <c r="B37" s="192"/>
      <c r="C37" s="193"/>
      <c r="D37" s="229"/>
      <c r="E37" s="230"/>
      <c r="F37" s="226"/>
      <c r="G37" s="227"/>
      <c r="H37" s="97"/>
      <c r="I37" s="98"/>
      <c r="J37" s="99"/>
      <c r="K37" s="226"/>
      <c r="L37" s="227"/>
      <c r="M37" s="97"/>
      <c r="N37" s="99"/>
      <c r="P37" s="12"/>
      <c r="Q37" s="15"/>
      <c r="R37" s="15"/>
      <c r="S37" s="15"/>
      <c r="T37" s="13"/>
      <c r="U37" s="13"/>
      <c r="V37" s="13"/>
      <c r="W37" s="13"/>
      <c r="X37" s="1"/>
    </row>
    <row r="38" spans="1:24" s="3" customFormat="1" x14ac:dyDescent="0.25">
      <c r="A38" s="191">
        <v>45288</v>
      </c>
      <c r="B38" s="192"/>
      <c r="C38" s="193"/>
      <c r="D38" s="229"/>
      <c r="E38" s="230"/>
      <c r="F38" s="226"/>
      <c r="G38" s="227"/>
      <c r="H38" s="97"/>
      <c r="I38" s="98"/>
      <c r="J38" s="99"/>
      <c r="K38" s="226"/>
      <c r="L38" s="227"/>
      <c r="M38" s="97"/>
      <c r="N38" s="99"/>
      <c r="P38" s="12"/>
      <c r="Q38" s="15"/>
      <c r="R38" s="15"/>
      <c r="S38" s="15"/>
      <c r="T38" s="13"/>
      <c r="U38" s="13"/>
      <c r="V38" s="13"/>
      <c r="W38" s="13"/>
      <c r="X38" s="1"/>
    </row>
    <row r="39" spans="1:24" s="3" customFormat="1" x14ac:dyDescent="0.25">
      <c r="A39" s="191">
        <v>45289</v>
      </c>
      <c r="B39" s="192"/>
      <c r="C39" s="193"/>
      <c r="D39" s="229"/>
      <c r="E39" s="230"/>
      <c r="F39" s="226"/>
      <c r="G39" s="227"/>
      <c r="H39" s="97"/>
      <c r="I39" s="98"/>
      <c r="J39" s="99"/>
      <c r="K39" s="226"/>
      <c r="L39" s="227"/>
      <c r="M39" s="97"/>
      <c r="N39" s="99"/>
      <c r="P39" s="12"/>
      <c r="Q39" s="15"/>
      <c r="R39" s="15"/>
      <c r="S39" s="15"/>
      <c r="T39" s="13"/>
      <c r="U39" s="13"/>
      <c r="V39" s="13"/>
      <c r="W39" s="13"/>
      <c r="X39" s="1"/>
    </row>
    <row r="40" spans="1:24" s="3" customFormat="1" x14ac:dyDescent="0.25">
      <c r="A40" s="191">
        <v>45290</v>
      </c>
      <c r="B40" s="192"/>
      <c r="C40" s="193"/>
      <c r="D40" s="229"/>
      <c r="E40" s="230"/>
      <c r="F40" s="226"/>
      <c r="G40" s="227"/>
      <c r="H40" s="97"/>
      <c r="I40" s="98"/>
      <c r="J40" s="99"/>
      <c r="K40" s="226"/>
      <c r="L40" s="227"/>
      <c r="M40" s="97"/>
      <c r="N40" s="99"/>
      <c r="P40" s="12"/>
      <c r="Q40" s="15"/>
      <c r="R40" s="15"/>
      <c r="S40" s="15"/>
      <c r="T40" s="13"/>
      <c r="U40" s="13"/>
      <c r="V40" s="13"/>
      <c r="W40" s="13"/>
      <c r="X40" s="1"/>
    </row>
    <row r="41" spans="1:24" s="3" customFormat="1" x14ac:dyDescent="0.25">
      <c r="A41" s="191">
        <v>45291</v>
      </c>
      <c r="B41" s="192"/>
      <c r="C41" s="193"/>
      <c r="D41" s="229"/>
      <c r="E41" s="230"/>
      <c r="F41" s="226"/>
      <c r="G41" s="227"/>
      <c r="H41" s="97"/>
      <c r="I41" s="98"/>
      <c r="J41" s="99"/>
      <c r="K41" s="226"/>
      <c r="L41" s="227"/>
      <c r="M41" s="97"/>
      <c r="N41" s="99"/>
      <c r="P41" s="12"/>
      <c r="Q41" s="15"/>
      <c r="R41" s="15"/>
      <c r="S41" s="15"/>
      <c r="T41" s="13"/>
      <c r="U41" s="13"/>
      <c r="V41" s="13"/>
      <c r="W41" s="13"/>
      <c r="X41" s="1"/>
    </row>
    <row r="42" spans="1:24" s="3" customFormat="1" x14ac:dyDescent="0.25">
      <c r="A42" s="191">
        <v>45292</v>
      </c>
      <c r="B42" s="192"/>
      <c r="C42" s="193"/>
      <c r="D42" s="209"/>
      <c r="E42" s="209"/>
      <c r="F42" s="210"/>
      <c r="G42" s="210"/>
      <c r="H42" s="226"/>
      <c r="I42" s="228"/>
      <c r="J42" s="227"/>
      <c r="K42" s="210"/>
      <c r="L42" s="210"/>
      <c r="M42" s="226"/>
      <c r="N42" s="227"/>
      <c r="P42" s="12"/>
      <c r="Q42" s="15"/>
      <c r="R42" s="15"/>
      <c r="S42" s="15"/>
      <c r="T42" s="13"/>
      <c r="U42" s="13"/>
      <c r="V42" s="13"/>
      <c r="W42" s="13"/>
      <c r="X42" s="1"/>
    </row>
    <row r="43" spans="1:24" s="3" customFormat="1" x14ac:dyDescent="0.25">
      <c r="A43" s="191">
        <v>45293</v>
      </c>
      <c r="B43" s="192"/>
      <c r="C43" s="193"/>
      <c r="D43" s="209"/>
      <c r="E43" s="209"/>
      <c r="F43" s="210"/>
      <c r="G43" s="210"/>
      <c r="H43" s="210"/>
      <c r="I43" s="210"/>
      <c r="J43" s="210"/>
      <c r="K43" s="210"/>
      <c r="L43" s="210"/>
      <c r="M43" s="226"/>
      <c r="N43" s="227"/>
      <c r="P43" s="12"/>
      <c r="Q43" s="15"/>
      <c r="R43" s="15"/>
      <c r="S43" s="15"/>
      <c r="T43" s="13"/>
      <c r="U43" s="13"/>
      <c r="V43" s="13"/>
      <c r="W43" s="13"/>
      <c r="X43" s="1"/>
    </row>
    <row r="44" spans="1:24" s="3" customFormat="1" x14ac:dyDescent="0.25">
      <c r="A44" s="191">
        <v>45294</v>
      </c>
      <c r="B44" s="192"/>
      <c r="C44" s="193"/>
      <c r="D44" s="209"/>
      <c r="E44" s="209"/>
      <c r="F44" s="210"/>
      <c r="G44" s="210"/>
      <c r="H44" s="210"/>
      <c r="I44" s="210"/>
      <c r="J44" s="210"/>
      <c r="K44" s="210"/>
      <c r="L44" s="210"/>
      <c r="M44" s="226"/>
      <c r="N44" s="227"/>
      <c r="P44" s="12"/>
      <c r="Q44" s="15"/>
      <c r="R44" s="15"/>
      <c r="S44" s="15"/>
      <c r="T44" s="13"/>
      <c r="U44" s="13"/>
      <c r="V44" s="13"/>
      <c r="W44" s="13"/>
      <c r="X44" s="1"/>
    </row>
    <row r="45" spans="1:24" s="3" customFormat="1" x14ac:dyDescent="0.25">
      <c r="A45" s="191">
        <v>45295</v>
      </c>
      <c r="B45" s="192"/>
      <c r="C45" s="193"/>
      <c r="D45" s="209"/>
      <c r="E45" s="209"/>
      <c r="F45" s="210"/>
      <c r="G45" s="210"/>
      <c r="H45" s="210"/>
      <c r="I45" s="210"/>
      <c r="J45" s="210"/>
      <c r="K45" s="210"/>
      <c r="L45" s="210"/>
      <c r="M45" s="226"/>
      <c r="N45" s="227"/>
      <c r="P45" s="12"/>
      <c r="Q45" s="15"/>
      <c r="R45" s="15"/>
      <c r="S45" s="15"/>
      <c r="T45" s="13"/>
      <c r="U45" s="13"/>
      <c r="V45" s="13"/>
      <c r="W45" s="13"/>
      <c r="X45" s="1"/>
    </row>
    <row r="46" spans="1:24" s="3" customFormat="1" x14ac:dyDescent="0.25">
      <c r="A46" s="191">
        <v>45296</v>
      </c>
      <c r="B46" s="192"/>
      <c r="C46" s="193"/>
      <c r="D46" s="209"/>
      <c r="E46" s="209"/>
      <c r="F46" s="210"/>
      <c r="G46" s="210"/>
      <c r="H46" s="210"/>
      <c r="I46" s="210"/>
      <c r="J46" s="210"/>
      <c r="K46" s="210"/>
      <c r="L46" s="210"/>
      <c r="M46" s="226"/>
      <c r="N46" s="227"/>
      <c r="P46" s="12"/>
      <c r="Q46" s="15"/>
      <c r="R46" s="15"/>
      <c r="S46" s="15"/>
      <c r="T46" s="13"/>
      <c r="U46" s="13"/>
      <c r="V46" s="13"/>
      <c r="W46" s="13"/>
      <c r="X46" s="1"/>
    </row>
    <row r="47" spans="1:24" s="3" customFormat="1" x14ac:dyDescent="0.25">
      <c r="A47" s="191">
        <v>45297</v>
      </c>
      <c r="B47" s="192"/>
      <c r="C47" s="193"/>
      <c r="D47" s="209"/>
      <c r="E47" s="209"/>
      <c r="F47" s="210"/>
      <c r="G47" s="210"/>
      <c r="H47" s="210"/>
      <c r="I47" s="210"/>
      <c r="J47" s="210"/>
      <c r="K47" s="210"/>
      <c r="L47" s="210"/>
      <c r="M47" s="226"/>
      <c r="N47" s="227"/>
      <c r="P47" s="12"/>
      <c r="Q47" s="15"/>
      <c r="R47" s="15"/>
      <c r="S47" s="15"/>
      <c r="T47" s="13"/>
      <c r="U47" s="13"/>
      <c r="V47" s="13"/>
      <c r="W47" s="13"/>
      <c r="X47" s="1"/>
    </row>
    <row r="48" spans="1:24" s="3" customFormat="1" x14ac:dyDescent="0.25">
      <c r="A48" s="191">
        <v>45298</v>
      </c>
      <c r="B48" s="192"/>
      <c r="C48" s="193"/>
      <c r="D48" s="209"/>
      <c r="E48" s="209"/>
      <c r="F48" s="210"/>
      <c r="G48" s="210"/>
      <c r="H48" s="210"/>
      <c r="I48" s="210"/>
      <c r="J48" s="210"/>
      <c r="K48" s="210"/>
      <c r="L48" s="210"/>
      <c r="M48" s="226"/>
      <c r="N48" s="227"/>
      <c r="P48" s="12"/>
      <c r="Q48" s="15"/>
      <c r="R48" s="15"/>
      <c r="S48" s="15"/>
      <c r="T48" s="13"/>
      <c r="U48" s="13"/>
      <c r="V48" s="13"/>
      <c r="W48" s="13"/>
      <c r="X48" s="1"/>
    </row>
    <row r="49" spans="1:25" s="3" customFormat="1" ht="15.75" x14ac:dyDescent="0.25">
      <c r="A49" s="231" t="s">
        <v>21</v>
      </c>
      <c r="B49" s="232"/>
      <c r="C49" s="233"/>
      <c r="D49" s="234">
        <f>+COUNTA(D14:E48)</f>
        <v>0</v>
      </c>
      <c r="E49" s="235"/>
      <c r="F49" s="236">
        <f>+COUNTA(F14:G48)</f>
        <v>0</v>
      </c>
      <c r="G49" s="237"/>
      <c r="H49" s="210"/>
      <c r="I49" s="210"/>
      <c r="J49" s="210"/>
      <c r="K49" s="210"/>
      <c r="L49" s="210"/>
      <c r="M49" s="226"/>
      <c r="N49" s="227"/>
      <c r="O49" s="12"/>
      <c r="P49" s="12"/>
      <c r="Q49" s="12"/>
      <c r="R49" s="12"/>
      <c r="S49" s="12"/>
      <c r="T49" s="13"/>
      <c r="U49" s="13"/>
      <c r="V49" s="13"/>
      <c r="W49" s="13"/>
      <c r="X49" s="1"/>
    </row>
    <row r="50" spans="1:25" s="3" customFormat="1" x14ac:dyDescent="0.25">
      <c r="A50" s="12"/>
      <c r="B50" s="12"/>
      <c r="C50" s="12"/>
      <c r="D50" s="238" t="s">
        <v>38</v>
      </c>
      <c r="E50" s="239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3"/>
      <c r="U50" s="13"/>
      <c r="V50" s="13"/>
      <c r="W50" s="13"/>
      <c r="X50" s="1"/>
    </row>
    <row r="51" spans="1:25" s="3" customFormat="1" x14ac:dyDescent="0.25">
      <c r="K51" s="12"/>
      <c r="L51" s="12"/>
      <c r="M51" s="12"/>
      <c r="N51" s="12"/>
      <c r="O51" s="12"/>
      <c r="P51" s="12"/>
      <c r="U51" s="1"/>
      <c r="V51" s="1"/>
      <c r="W51" s="1"/>
      <c r="X51" s="1"/>
      <c r="Y51" s="1"/>
    </row>
    <row r="52" spans="1:25" s="3" customFormat="1" x14ac:dyDescent="0.25">
      <c r="A52" s="29" t="s">
        <v>20</v>
      </c>
      <c r="B52" s="30"/>
      <c r="C52" s="29"/>
      <c r="D52" s="29"/>
      <c r="E52" s="16"/>
      <c r="H52" s="18"/>
      <c r="P52" s="12"/>
      <c r="U52" s="1"/>
      <c r="V52" s="1"/>
      <c r="W52" s="1"/>
      <c r="X52" s="1"/>
      <c r="Y52" s="1"/>
    </row>
    <row r="53" spans="1:25" s="3" customFormat="1" x14ac:dyDescent="0.25">
      <c r="A53" s="29" t="s">
        <v>7</v>
      </c>
      <c r="B53" s="30"/>
      <c r="C53" s="31">
        <f ca="1">TODAY()</f>
        <v>45320</v>
      </c>
      <c r="D53" s="29"/>
      <c r="E53" s="16"/>
      <c r="J53" s="28" t="s">
        <v>22</v>
      </c>
      <c r="P53" s="12"/>
      <c r="U53" s="1"/>
      <c r="V53" s="1"/>
      <c r="W53" s="1"/>
      <c r="X53" s="1"/>
      <c r="Y53" s="1"/>
    </row>
    <row r="54" spans="1:25" s="3" customFormat="1" x14ac:dyDescent="0.25">
      <c r="A54" s="28"/>
      <c r="B54" s="240" t="s">
        <v>47</v>
      </c>
      <c r="C54" s="240"/>
      <c r="D54" s="240"/>
      <c r="E54" s="240"/>
      <c r="F54" s="240"/>
      <c r="J54" s="240" t="s">
        <v>48</v>
      </c>
      <c r="K54" s="240"/>
      <c r="L54" s="240"/>
      <c r="M54" s="240"/>
      <c r="N54" s="240"/>
      <c r="U54" s="1"/>
      <c r="V54" s="1"/>
      <c r="W54" s="1"/>
      <c r="X54" s="1"/>
      <c r="Y54" s="1"/>
    </row>
    <row r="55" spans="1:25" s="3" customFormat="1" x14ac:dyDescent="0.25">
      <c r="B55" s="240"/>
      <c r="C55" s="240"/>
      <c r="D55" s="240"/>
      <c r="E55" s="240"/>
      <c r="F55" s="240"/>
      <c r="J55" s="240"/>
      <c r="K55" s="240"/>
      <c r="L55" s="240"/>
      <c r="M55" s="240"/>
      <c r="N55" s="240"/>
      <c r="U55" s="1"/>
      <c r="V55" s="1"/>
      <c r="W55" s="1"/>
      <c r="X55" s="1"/>
      <c r="Y55" s="1"/>
    </row>
    <row r="56" spans="1:25" s="3" customFormat="1" x14ac:dyDescent="0.25">
      <c r="B56" s="240"/>
      <c r="C56" s="240"/>
      <c r="D56" s="240"/>
      <c r="E56" s="240"/>
      <c r="F56" s="240"/>
      <c r="J56" s="240"/>
      <c r="K56" s="240"/>
      <c r="L56" s="240"/>
      <c r="M56" s="240"/>
      <c r="N56" s="240"/>
      <c r="U56" s="1"/>
      <c r="V56" s="1"/>
      <c r="W56" s="1"/>
      <c r="X56" s="1"/>
      <c r="Y56" s="1"/>
    </row>
    <row r="57" spans="1:25" s="3" customFormat="1" x14ac:dyDescent="0.25">
      <c r="B57" s="240"/>
      <c r="C57" s="240"/>
      <c r="D57" s="240"/>
      <c r="E57" s="240"/>
      <c r="F57" s="240"/>
      <c r="J57" s="240"/>
      <c r="K57" s="240"/>
      <c r="L57" s="240"/>
      <c r="M57" s="240"/>
      <c r="N57" s="240"/>
      <c r="U57" s="1"/>
      <c r="V57" s="1"/>
      <c r="W57" s="1"/>
      <c r="X57" s="1"/>
      <c r="Y57" s="1"/>
    </row>
    <row r="58" spans="1:25" s="3" customFormat="1" x14ac:dyDescent="0.25">
      <c r="B58" s="240"/>
      <c r="C58" s="240"/>
      <c r="D58" s="240"/>
      <c r="E58" s="240"/>
      <c r="F58" s="240"/>
      <c r="J58" s="240"/>
      <c r="K58" s="240"/>
      <c r="L58" s="240"/>
      <c r="M58" s="240"/>
      <c r="N58" s="240"/>
      <c r="U58" s="1"/>
      <c r="V58" s="1"/>
      <c r="W58" s="1"/>
      <c r="X58" s="1"/>
      <c r="Y58" s="1"/>
    </row>
    <row r="59" spans="1:25" s="3" customFormat="1" x14ac:dyDescent="0.25">
      <c r="B59" s="240"/>
      <c r="C59" s="240"/>
      <c r="D59" s="240"/>
      <c r="E59" s="240"/>
      <c r="F59" s="240"/>
      <c r="J59" s="240"/>
      <c r="K59" s="240"/>
      <c r="L59" s="240"/>
      <c r="M59" s="240"/>
      <c r="N59" s="240"/>
      <c r="U59" s="1"/>
      <c r="V59" s="1"/>
      <c r="W59" s="1"/>
      <c r="X59" s="1"/>
      <c r="Y59" s="1"/>
    </row>
    <row r="60" spans="1:25" s="3" customFormat="1" x14ac:dyDescent="0.25">
      <c r="A60" s="3" t="s">
        <v>46</v>
      </c>
      <c r="B60" s="23"/>
      <c r="J60" s="3" t="s">
        <v>39</v>
      </c>
      <c r="U60" s="1"/>
      <c r="V60" s="1"/>
      <c r="W60" s="1"/>
      <c r="X60" s="1"/>
      <c r="Y60" s="1"/>
    </row>
    <row r="61" spans="1:25" s="3" customFormat="1" x14ac:dyDescent="0.25">
      <c r="B61" s="23"/>
      <c r="U61" s="1"/>
      <c r="V61" s="1"/>
      <c r="W61" s="1"/>
      <c r="X61" s="1"/>
      <c r="Y61" s="1"/>
    </row>
    <row r="62" spans="1:25" s="3" customFormat="1" x14ac:dyDescent="0.25">
      <c r="B62" s="23"/>
      <c r="U62" s="1"/>
      <c r="V62" s="1"/>
      <c r="W62" s="1"/>
      <c r="X62" s="1"/>
      <c r="Y62" s="1"/>
    </row>
    <row r="63" spans="1:25" s="3" customFormat="1" x14ac:dyDescent="0.25">
      <c r="A63" s="29"/>
      <c r="B63" s="23"/>
      <c r="D63" s="29"/>
      <c r="U63" s="1"/>
      <c r="V63" s="1"/>
      <c r="W63" s="1"/>
      <c r="X63" s="1"/>
      <c r="Y63" s="1"/>
    </row>
    <row r="64" spans="1:25" s="3" customFormat="1" x14ac:dyDescent="0.25">
      <c r="U64" s="1"/>
      <c r="V64" s="1"/>
      <c r="W64" s="1"/>
      <c r="X64" s="1"/>
      <c r="Y64" s="1"/>
    </row>
    <row r="65" spans="2:25" s="3" customFormat="1" x14ac:dyDescent="0.25">
      <c r="B65" s="23"/>
      <c r="U65" s="1"/>
      <c r="V65" s="1"/>
      <c r="W65" s="1"/>
      <c r="X65" s="1"/>
      <c r="Y65" s="1"/>
    </row>
    <row r="66" spans="2:25" s="3" customFormat="1" x14ac:dyDescent="0.25">
      <c r="B66" s="23"/>
      <c r="U66" s="1"/>
      <c r="V66" s="1"/>
      <c r="W66" s="1"/>
      <c r="X66" s="1"/>
      <c r="Y66" s="1"/>
    </row>
    <row r="67" spans="2:25" s="3" customFormat="1" x14ac:dyDescent="0.25">
      <c r="B67" s="23"/>
      <c r="U67" s="1"/>
      <c r="V67" s="1"/>
      <c r="W67" s="1"/>
      <c r="X67" s="1"/>
      <c r="Y67" s="1"/>
    </row>
    <row r="68" spans="2:25" s="3" customFormat="1" x14ac:dyDescent="0.25">
      <c r="B68" s="23"/>
      <c r="U68" s="1"/>
      <c r="V68" s="1"/>
      <c r="W68" s="1"/>
      <c r="X68" s="1"/>
      <c r="Y68" s="1"/>
    </row>
    <row r="69" spans="2:25" s="3" customFormat="1" x14ac:dyDescent="0.25">
      <c r="B69" s="23"/>
      <c r="U69" s="1"/>
      <c r="V69" s="1"/>
      <c r="W69" s="1"/>
      <c r="X69" s="1"/>
      <c r="Y69" s="1"/>
    </row>
    <row r="70" spans="2:25" s="3" customFormat="1" x14ac:dyDescent="0.25">
      <c r="B70" s="23"/>
      <c r="U70" s="1"/>
      <c r="V70" s="1"/>
      <c r="W70" s="1"/>
      <c r="X70" s="1"/>
      <c r="Y70" s="1"/>
    </row>
    <row r="71" spans="2:25" s="3" customFormat="1" x14ac:dyDescent="0.25">
      <c r="B71" s="23"/>
      <c r="U71" s="1"/>
      <c r="V71" s="1"/>
      <c r="W71" s="1"/>
      <c r="X71" s="1"/>
      <c r="Y71" s="1"/>
    </row>
    <row r="72" spans="2:25" s="3" customFormat="1" x14ac:dyDescent="0.25">
      <c r="B72" s="23"/>
      <c r="U72" s="1"/>
      <c r="V72" s="1"/>
      <c r="W72" s="1"/>
      <c r="X72" s="1"/>
      <c r="Y72" s="1"/>
    </row>
    <row r="73" spans="2:25" s="3" customFormat="1" x14ac:dyDescent="0.25">
      <c r="B73" s="23"/>
      <c r="U73" s="1"/>
      <c r="V73" s="1"/>
      <c r="W73" s="1"/>
      <c r="X73" s="1"/>
      <c r="Y73" s="1"/>
    </row>
    <row r="74" spans="2:25" s="3" customFormat="1" x14ac:dyDescent="0.25">
      <c r="B74" s="23"/>
      <c r="U74" s="1"/>
      <c r="V74" s="1"/>
      <c r="W74" s="1"/>
      <c r="X74" s="1"/>
      <c r="Y74" s="1"/>
    </row>
    <row r="75" spans="2:25" s="3" customFormat="1" x14ac:dyDescent="0.25">
      <c r="B75" s="23"/>
      <c r="U75" s="1"/>
      <c r="V75" s="1"/>
      <c r="W75" s="1"/>
      <c r="X75" s="1"/>
      <c r="Y75" s="1"/>
    </row>
    <row r="76" spans="2:25" s="3" customFormat="1" x14ac:dyDescent="0.25">
      <c r="B76" s="23"/>
      <c r="U76" s="1"/>
      <c r="V76" s="1"/>
      <c r="W76" s="1"/>
      <c r="X76" s="1"/>
      <c r="Y76" s="1"/>
    </row>
    <row r="77" spans="2:25" s="3" customFormat="1" x14ac:dyDescent="0.25">
      <c r="B77" s="23"/>
      <c r="U77" s="1"/>
      <c r="V77" s="1"/>
      <c r="W77" s="1"/>
      <c r="X77" s="1"/>
      <c r="Y77" s="1"/>
    </row>
    <row r="78" spans="2:25" s="3" customFormat="1" x14ac:dyDescent="0.25">
      <c r="B78" s="23"/>
      <c r="U78" s="1"/>
      <c r="V78" s="1"/>
      <c r="W78" s="1"/>
      <c r="X78" s="1"/>
      <c r="Y78" s="1"/>
    </row>
    <row r="79" spans="2:25" s="3" customFormat="1" x14ac:dyDescent="0.25">
      <c r="B79" s="23"/>
      <c r="U79" s="1"/>
      <c r="V79" s="1"/>
      <c r="W79" s="1"/>
      <c r="X79" s="1"/>
      <c r="Y79" s="1"/>
    </row>
    <row r="80" spans="2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2:25" s="3" customFormat="1" x14ac:dyDescent="0.25">
      <c r="B225" s="23"/>
      <c r="U225" s="1"/>
      <c r="V225" s="1"/>
      <c r="W225" s="1"/>
      <c r="X225" s="1"/>
      <c r="Y225" s="1"/>
    </row>
    <row r="226" spans="2:25" s="3" customFormat="1" x14ac:dyDescent="0.25">
      <c r="B226" s="23"/>
      <c r="U226" s="1"/>
      <c r="V226" s="1"/>
      <c r="W226" s="1"/>
      <c r="X226" s="1"/>
      <c r="Y226" s="1"/>
    </row>
    <row r="227" spans="2:25" s="3" customFormat="1" x14ac:dyDescent="0.25">
      <c r="B227" s="23"/>
      <c r="U227" s="1"/>
      <c r="V227" s="1"/>
      <c r="W227" s="1"/>
      <c r="X227" s="1"/>
      <c r="Y227" s="1"/>
    </row>
    <row r="228" spans="2:25" s="3" customFormat="1" x14ac:dyDescent="0.25">
      <c r="B228" s="23"/>
      <c r="U228" s="1"/>
      <c r="V228" s="1"/>
      <c r="W228" s="1"/>
      <c r="X228" s="1"/>
      <c r="Y228" s="1"/>
    </row>
    <row r="229" spans="2:25" s="3" customFormat="1" x14ac:dyDescent="0.25">
      <c r="B229" s="23"/>
      <c r="U229" s="1"/>
      <c r="V229" s="1"/>
      <c r="W229" s="1"/>
      <c r="X229" s="1"/>
      <c r="Y229" s="1"/>
    </row>
    <row r="230" spans="2:25" s="3" customFormat="1" x14ac:dyDescent="0.25">
      <c r="B230" s="23"/>
      <c r="U230" s="1"/>
      <c r="V230" s="1"/>
      <c r="W230" s="1"/>
      <c r="X230" s="1"/>
      <c r="Y230" s="1"/>
    </row>
    <row r="231" spans="2:25" s="3" customFormat="1" x14ac:dyDescent="0.25">
      <c r="B231" s="23"/>
      <c r="U231" s="1"/>
      <c r="V231" s="1"/>
      <c r="W231" s="1"/>
      <c r="X231" s="1"/>
      <c r="Y231" s="1"/>
    </row>
    <row r="232" spans="2:25" s="3" customFormat="1" x14ac:dyDescent="0.25">
      <c r="B232" s="23"/>
      <c r="U232" s="1"/>
      <c r="V232" s="1"/>
      <c r="W232" s="1"/>
      <c r="X232" s="1"/>
      <c r="Y232" s="1"/>
    </row>
    <row r="233" spans="2:25" s="3" customFormat="1" x14ac:dyDescent="0.25">
      <c r="B233" s="23"/>
      <c r="U233" s="1"/>
      <c r="V233" s="1"/>
      <c r="W233" s="1"/>
      <c r="X233" s="1"/>
      <c r="Y233" s="1"/>
    </row>
    <row r="234" spans="2:25" s="3" customFormat="1" x14ac:dyDescent="0.25">
      <c r="B234" s="23"/>
      <c r="U234" s="1"/>
      <c r="V234" s="1"/>
      <c r="W234" s="1"/>
      <c r="X234" s="1"/>
      <c r="Y234" s="1"/>
    </row>
    <row r="235" spans="2:25" s="3" customFormat="1" x14ac:dyDescent="0.25">
      <c r="B235" s="23"/>
      <c r="U235" s="1"/>
      <c r="V235" s="1"/>
      <c r="W235" s="1"/>
      <c r="X235" s="1"/>
      <c r="Y235" s="1"/>
    </row>
    <row r="236" spans="2:25" s="3" customFormat="1" x14ac:dyDescent="0.25">
      <c r="B236" s="23"/>
      <c r="U236" s="1"/>
      <c r="V236" s="1"/>
      <c r="W236" s="1"/>
      <c r="X236" s="1"/>
      <c r="Y236" s="1"/>
    </row>
    <row r="237" spans="2:25" s="3" customFormat="1" x14ac:dyDescent="0.25">
      <c r="B237" s="23"/>
      <c r="K237" s="6"/>
      <c r="L237" s="6"/>
      <c r="M237" s="6"/>
      <c r="N237" s="6"/>
      <c r="U237" s="1"/>
      <c r="V237" s="1"/>
      <c r="W237" s="1"/>
      <c r="X237" s="1"/>
      <c r="Y237" s="1"/>
    </row>
    <row r="238" spans="2:25" s="3" customFormat="1" x14ac:dyDescent="0.25">
      <c r="B238" s="23"/>
      <c r="K238" s="6"/>
      <c r="L238" s="6"/>
      <c r="M238" s="6"/>
      <c r="N238" s="6"/>
      <c r="U238" s="1"/>
      <c r="V238" s="1"/>
      <c r="W238" s="1"/>
      <c r="X238" s="1"/>
      <c r="Y238" s="1"/>
    </row>
    <row r="239" spans="2:25" s="3" customFormat="1" x14ac:dyDescent="0.25">
      <c r="B239" s="23"/>
      <c r="K239" s="6"/>
      <c r="L239" s="6"/>
      <c r="M239" s="6"/>
      <c r="N239" s="6"/>
      <c r="U239" s="1"/>
      <c r="V239" s="1"/>
      <c r="W239" s="1"/>
      <c r="X239" s="1"/>
      <c r="Y239" s="1"/>
    </row>
    <row r="240" spans="2:25" s="3" customFormat="1" x14ac:dyDescent="0.25">
      <c r="B240" s="23"/>
      <c r="J240" s="6"/>
      <c r="K240" s="6"/>
      <c r="L240" s="6"/>
      <c r="M240" s="6"/>
      <c r="N240" s="6"/>
      <c r="U240" s="1"/>
      <c r="V240" s="1"/>
      <c r="W240" s="1"/>
      <c r="X240" s="1"/>
      <c r="Y240" s="1"/>
    </row>
    <row r="241" spans="1:25" s="3" customFormat="1" x14ac:dyDescent="0.25">
      <c r="B241" s="23"/>
      <c r="J241" s="6"/>
      <c r="K241" s="6"/>
      <c r="L241" s="6"/>
      <c r="M241" s="6"/>
      <c r="N241" s="6"/>
      <c r="U241" s="1"/>
      <c r="V241" s="1"/>
      <c r="W241" s="1"/>
      <c r="X241" s="1"/>
      <c r="Y241" s="1"/>
    </row>
    <row r="242" spans="1:25" s="3" customFormat="1" x14ac:dyDescent="0.25">
      <c r="B242" s="23"/>
      <c r="J242" s="6"/>
      <c r="K242" s="6"/>
      <c r="L242" s="6"/>
      <c r="M242" s="6"/>
      <c r="N242" s="6"/>
      <c r="U242" s="1"/>
      <c r="V242" s="1"/>
      <c r="W242" s="1"/>
      <c r="X242" s="1"/>
      <c r="Y242" s="1"/>
    </row>
    <row r="243" spans="1:25" s="3" customFormat="1" x14ac:dyDescent="0.25">
      <c r="B243" s="23"/>
      <c r="J243" s="6"/>
      <c r="K243" s="6"/>
      <c r="L243" s="6"/>
      <c r="M243" s="6"/>
      <c r="N243" s="6"/>
      <c r="U243" s="1"/>
      <c r="V243" s="1"/>
      <c r="W243" s="1"/>
      <c r="X243" s="1"/>
      <c r="Y243" s="1"/>
    </row>
    <row r="244" spans="1:25" s="3" customFormat="1" x14ac:dyDescent="0.25">
      <c r="B244" s="23"/>
      <c r="J244" s="6"/>
      <c r="K244" s="6"/>
      <c r="L244" s="6"/>
      <c r="M244" s="6"/>
      <c r="N244" s="6"/>
      <c r="O244" s="6"/>
      <c r="U244" s="1"/>
      <c r="V244" s="1"/>
      <c r="W244" s="1"/>
      <c r="X244" s="1"/>
      <c r="Y244" s="1"/>
    </row>
    <row r="245" spans="1:25" s="3" customFormat="1" x14ac:dyDescent="0.25">
      <c r="B245" s="23"/>
      <c r="J245" s="6"/>
      <c r="K245" s="6"/>
      <c r="L245" s="6"/>
      <c r="M245" s="6"/>
      <c r="N245" s="6"/>
      <c r="O245" s="6"/>
      <c r="U245" s="1"/>
      <c r="V245" s="1"/>
      <c r="W245" s="1"/>
      <c r="X245" s="1"/>
      <c r="Y245" s="1"/>
    </row>
    <row r="246" spans="1:25" s="3" customFormat="1" x14ac:dyDescent="0.25">
      <c r="A246" s="6"/>
      <c r="B246" s="25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Q246" s="6"/>
      <c r="R246" s="6"/>
      <c r="S246" s="6"/>
      <c r="U246" s="1"/>
      <c r="V246" s="1"/>
      <c r="W246" s="1"/>
      <c r="X246" s="1"/>
      <c r="Y246" s="1"/>
    </row>
  </sheetData>
  <sheetProtection sheet="1" objects="1" scenarios="1"/>
  <mergeCells count="221">
    <mergeCell ref="D43:E43"/>
    <mergeCell ref="F43:G43"/>
    <mergeCell ref="H43:J43"/>
    <mergeCell ref="K43:L43"/>
    <mergeCell ref="M43:N43"/>
    <mergeCell ref="H46:J46"/>
    <mergeCell ref="K46:L46"/>
    <mergeCell ref="M46:N46"/>
    <mergeCell ref="D45:E45"/>
    <mergeCell ref="F45:G45"/>
    <mergeCell ref="H45:J45"/>
    <mergeCell ref="K45:L45"/>
    <mergeCell ref="M45:N45"/>
    <mergeCell ref="D44:E44"/>
    <mergeCell ref="F44:G44"/>
    <mergeCell ref="H44:J44"/>
    <mergeCell ref="K44:L44"/>
    <mergeCell ref="M44:N44"/>
    <mergeCell ref="A49:C49"/>
    <mergeCell ref="D49:E49"/>
    <mergeCell ref="F49:G49"/>
    <mergeCell ref="D50:E50"/>
    <mergeCell ref="B54:F59"/>
    <mergeCell ref="J54:N59"/>
    <mergeCell ref="H49:J49"/>
    <mergeCell ref="K49:L49"/>
    <mergeCell ref="M49:N49"/>
    <mergeCell ref="A37:C37"/>
    <mergeCell ref="A38:C38"/>
    <mergeCell ref="A39:C39"/>
    <mergeCell ref="A40:C40"/>
    <mergeCell ref="M42:N42"/>
    <mergeCell ref="D48:E48"/>
    <mergeCell ref="F48:G48"/>
    <mergeCell ref="H48:J48"/>
    <mergeCell ref="K48:L48"/>
    <mergeCell ref="M48:N48"/>
    <mergeCell ref="D41:E41"/>
    <mergeCell ref="F41:G41"/>
    <mergeCell ref="K41:L41"/>
    <mergeCell ref="D42:E42"/>
    <mergeCell ref="F42:G42"/>
    <mergeCell ref="H42:J42"/>
    <mergeCell ref="K42:L42"/>
    <mergeCell ref="D47:E47"/>
    <mergeCell ref="F47:G47"/>
    <mergeCell ref="H47:J47"/>
    <mergeCell ref="K47:L47"/>
    <mergeCell ref="M47:N47"/>
    <mergeCell ref="D46:E46"/>
    <mergeCell ref="F46:G46"/>
    <mergeCell ref="D39:E39"/>
    <mergeCell ref="F39:G39"/>
    <mergeCell ref="K39:L39"/>
    <mergeCell ref="D40:E40"/>
    <mergeCell ref="F40:G40"/>
    <mergeCell ref="K40:L40"/>
    <mergeCell ref="D37:E37"/>
    <mergeCell ref="F37:G37"/>
    <mergeCell ref="K37:L37"/>
    <mergeCell ref="D38:E38"/>
    <mergeCell ref="F38:G38"/>
    <mergeCell ref="K38:L38"/>
    <mergeCell ref="A32:C32"/>
    <mergeCell ref="A33:C33"/>
    <mergeCell ref="A34:C34"/>
    <mergeCell ref="D35:E35"/>
    <mergeCell ref="F35:G35"/>
    <mergeCell ref="K35:L35"/>
    <mergeCell ref="D36:E36"/>
    <mergeCell ref="F36:G36"/>
    <mergeCell ref="K36:L36"/>
    <mergeCell ref="D34:E34"/>
    <mergeCell ref="F34:G34"/>
    <mergeCell ref="H34:J34"/>
    <mergeCell ref="K34:L34"/>
    <mergeCell ref="A35:C35"/>
    <mergeCell ref="A36:C36"/>
    <mergeCell ref="M34:N34"/>
    <mergeCell ref="D33:E33"/>
    <mergeCell ref="F33:G33"/>
    <mergeCell ref="H33:J33"/>
    <mergeCell ref="K33:L33"/>
    <mergeCell ref="M33:N33"/>
    <mergeCell ref="D32:E32"/>
    <mergeCell ref="F32:G32"/>
    <mergeCell ref="H32:J32"/>
    <mergeCell ref="K32:L32"/>
    <mergeCell ref="M32:N32"/>
    <mergeCell ref="A28:C28"/>
    <mergeCell ref="A29:C29"/>
    <mergeCell ref="D31:E31"/>
    <mergeCell ref="F31:G31"/>
    <mergeCell ref="H31:J31"/>
    <mergeCell ref="K31:L31"/>
    <mergeCell ref="M31:N31"/>
    <mergeCell ref="D30:E30"/>
    <mergeCell ref="F30:G30"/>
    <mergeCell ref="H30:J30"/>
    <mergeCell ref="K30:L30"/>
    <mergeCell ref="M30:N30"/>
    <mergeCell ref="A30:C30"/>
    <mergeCell ref="A31:C31"/>
    <mergeCell ref="D29:E29"/>
    <mergeCell ref="F29:G29"/>
    <mergeCell ref="H29:J29"/>
    <mergeCell ref="K29:L29"/>
    <mergeCell ref="M29:N29"/>
    <mergeCell ref="D28:E28"/>
    <mergeCell ref="F28:G28"/>
    <mergeCell ref="H28:J28"/>
    <mergeCell ref="K28:L28"/>
    <mergeCell ref="M28:N28"/>
    <mergeCell ref="A24:C24"/>
    <mergeCell ref="A25:C25"/>
    <mergeCell ref="D27:E27"/>
    <mergeCell ref="F27:G27"/>
    <mergeCell ref="H27:J27"/>
    <mergeCell ref="K27:L27"/>
    <mergeCell ref="M27:N27"/>
    <mergeCell ref="D26:E26"/>
    <mergeCell ref="F26:G26"/>
    <mergeCell ref="H26:J26"/>
    <mergeCell ref="K26:L26"/>
    <mergeCell ref="M26:N26"/>
    <mergeCell ref="A26:C26"/>
    <mergeCell ref="A27:C27"/>
    <mergeCell ref="D25:E25"/>
    <mergeCell ref="F25:G25"/>
    <mergeCell ref="H25:J25"/>
    <mergeCell ref="K25:L25"/>
    <mergeCell ref="M25:N25"/>
    <mergeCell ref="D24:E24"/>
    <mergeCell ref="F24:G24"/>
    <mergeCell ref="H24:J24"/>
    <mergeCell ref="K24:L24"/>
    <mergeCell ref="M24:N24"/>
    <mergeCell ref="M21:N21"/>
    <mergeCell ref="D20:E20"/>
    <mergeCell ref="F20:G20"/>
    <mergeCell ref="H20:J20"/>
    <mergeCell ref="K20:L20"/>
    <mergeCell ref="M20:N20"/>
    <mergeCell ref="A20:C20"/>
    <mergeCell ref="A21:C21"/>
    <mergeCell ref="D23:E23"/>
    <mergeCell ref="F23:G23"/>
    <mergeCell ref="H23:J23"/>
    <mergeCell ref="K23:L23"/>
    <mergeCell ref="M23:N23"/>
    <mergeCell ref="D22:E22"/>
    <mergeCell ref="F22:G22"/>
    <mergeCell ref="H22:J22"/>
    <mergeCell ref="K22:L22"/>
    <mergeCell ref="M22:N22"/>
    <mergeCell ref="A22:C22"/>
    <mergeCell ref="A23:C23"/>
    <mergeCell ref="M17:N17"/>
    <mergeCell ref="D16:E16"/>
    <mergeCell ref="F16:G16"/>
    <mergeCell ref="H16:J16"/>
    <mergeCell ref="K16:L16"/>
    <mergeCell ref="M16:N16"/>
    <mergeCell ref="A16:C16"/>
    <mergeCell ref="A17:C17"/>
    <mergeCell ref="D19:E19"/>
    <mergeCell ref="F19:G19"/>
    <mergeCell ref="H19:J19"/>
    <mergeCell ref="K19:L19"/>
    <mergeCell ref="M19:N19"/>
    <mergeCell ref="D18:E18"/>
    <mergeCell ref="F18:G18"/>
    <mergeCell ref="H18:J18"/>
    <mergeCell ref="K18:L18"/>
    <mergeCell ref="M18:N18"/>
    <mergeCell ref="A18:C18"/>
    <mergeCell ref="A19:C19"/>
    <mergeCell ref="M13:N13"/>
    <mergeCell ref="D15:E15"/>
    <mergeCell ref="F15:G15"/>
    <mergeCell ref="H15:J15"/>
    <mergeCell ref="K15:L15"/>
    <mergeCell ref="M15:N15"/>
    <mergeCell ref="D14:E14"/>
    <mergeCell ref="F14:G14"/>
    <mergeCell ref="H14:J14"/>
    <mergeCell ref="K14:L14"/>
    <mergeCell ref="M14:N14"/>
    <mergeCell ref="L2:N4"/>
    <mergeCell ref="R3:T3"/>
    <mergeCell ref="B5:K5"/>
    <mergeCell ref="L5:N5"/>
    <mergeCell ref="R5:T5"/>
    <mergeCell ref="C8:F8"/>
    <mergeCell ref="K8:N8"/>
    <mergeCell ref="C10:F10"/>
    <mergeCell ref="K10:N10"/>
    <mergeCell ref="A41:C41"/>
    <mergeCell ref="A42:C42"/>
    <mergeCell ref="A43:C43"/>
    <mergeCell ref="A44:C44"/>
    <mergeCell ref="A45:C45"/>
    <mergeCell ref="A46:C46"/>
    <mergeCell ref="A47:C47"/>
    <mergeCell ref="A48:C48"/>
    <mergeCell ref="D2:K4"/>
    <mergeCell ref="A13:C13"/>
    <mergeCell ref="D13:E13"/>
    <mergeCell ref="F13:G13"/>
    <mergeCell ref="H13:J13"/>
    <mergeCell ref="K13:L13"/>
    <mergeCell ref="A14:C14"/>
    <mergeCell ref="A15:C15"/>
    <mergeCell ref="D17:E17"/>
    <mergeCell ref="F17:G17"/>
    <mergeCell ref="H17:J17"/>
    <mergeCell ref="K17:L17"/>
    <mergeCell ref="D21:E21"/>
    <mergeCell ref="F21:G21"/>
    <mergeCell ref="H21:J21"/>
    <mergeCell ref="K21:L21"/>
  </mergeCells>
  <conditionalFormatting sqref="D14:D42 D48:D49">
    <cfRule type="expression" dxfId="137" priority="11">
      <formula>#REF!="Non"</formula>
    </cfRule>
    <cfRule type="expression" dxfId="136" priority="12">
      <formula>#REF!="Oui"</formula>
    </cfRule>
  </conditionalFormatting>
  <conditionalFormatting sqref="D47">
    <cfRule type="expression" dxfId="135" priority="9">
      <formula>#REF!="Non"</formula>
    </cfRule>
    <cfRule type="expression" dxfId="134" priority="10">
      <formula>#REF!="Oui"</formula>
    </cfRule>
  </conditionalFormatting>
  <conditionalFormatting sqref="D46">
    <cfRule type="expression" dxfId="133" priority="7">
      <formula>#REF!="Non"</formula>
    </cfRule>
    <cfRule type="expression" dxfId="132" priority="8">
      <formula>#REF!="Oui"</formula>
    </cfRule>
  </conditionalFormatting>
  <conditionalFormatting sqref="D45">
    <cfRule type="expression" dxfId="131" priority="5">
      <formula>#REF!="Non"</formula>
    </cfRule>
    <cfRule type="expression" dxfId="130" priority="6">
      <formula>#REF!="Oui"</formula>
    </cfRule>
  </conditionalFormatting>
  <conditionalFormatting sqref="D44">
    <cfRule type="expression" dxfId="129" priority="3">
      <formula>#REF!="Non"</formula>
    </cfRule>
    <cfRule type="expression" dxfId="128" priority="4">
      <formula>#REF!="Oui"</formula>
    </cfRule>
  </conditionalFormatting>
  <conditionalFormatting sqref="D43">
    <cfRule type="expression" dxfId="127" priority="1">
      <formula>#REF!="Non"</formula>
    </cfRule>
    <cfRule type="expression" dxfId="126" priority="2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BD251"/>
  <sheetViews>
    <sheetView topLeftCell="A25" zoomScale="80" zoomScaleNormal="80" workbookViewId="0">
      <selection activeCell="T24" sqref="T24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1.42578125" style="6" customWidth="1"/>
    <col min="4" max="4" width="8.42578125" style="6" customWidth="1"/>
    <col min="5" max="5" width="6.42578125" style="6" customWidth="1"/>
    <col min="6" max="6" width="5.42578125" style="6" customWidth="1"/>
    <col min="7" max="7" width="8" style="6" customWidth="1"/>
    <col min="8" max="8" width="5.85546875" style="6" customWidth="1"/>
    <col min="9" max="9" width="9.42578125" style="6" customWidth="1"/>
    <col min="10" max="10" width="14.42578125" style="6" customWidth="1"/>
    <col min="11" max="12" width="8.140625" style="6" customWidth="1"/>
    <col min="13" max="13" width="8" style="6" customWidth="1"/>
    <col min="14" max="14" width="10.42578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67</v>
      </c>
      <c r="E2" s="195"/>
      <c r="F2" s="195"/>
      <c r="G2" s="195"/>
      <c r="H2" s="195"/>
      <c r="I2" s="195"/>
      <c r="J2" s="195"/>
      <c r="K2" s="195"/>
      <c r="L2" s="251">
        <f>'Niveau 1 Janv'!L2:N4</f>
        <v>45292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4"/>
      <c r="Q3" s="4"/>
      <c r="R3" s="220"/>
      <c r="S3" s="220"/>
      <c r="T3" s="220"/>
      <c r="U3" s="34"/>
      <c r="V3" s="34"/>
      <c r="W3" s="34"/>
      <c r="X3" s="34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4"/>
      <c r="Q4" s="4"/>
      <c r="R4" s="34"/>
      <c r="S4" s="34"/>
      <c r="T4" s="34"/>
      <c r="U4" s="34"/>
      <c r="V4" s="34"/>
      <c r="W4" s="34"/>
      <c r="X4" s="34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f>+'Niveau 1 Janv'!L5:N5</f>
        <v>45300</v>
      </c>
      <c r="M5" s="222"/>
      <c r="N5" s="222"/>
      <c r="O5" s="3"/>
      <c r="P5" s="34"/>
      <c r="Q5" s="5"/>
      <c r="R5" s="220"/>
      <c r="S5" s="220"/>
      <c r="T5" s="220"/>
      <c r="U5" s="34"/>
      <c r="V5" s="34"/>
      <c r="W5" s="34"/>
      <c r="X5" s="34"/>
      <c r="Y5" s="5"/>
    </row>
    <row r="6" spans="1:25" ht="19.5" customHeight="1" x14ac:dyDescent="0.35">
      <c r="A6" s="27"/>
      <c r="B6" s="3" t="s">
        <v>73</v>
      </c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40"/>
      <c r="V6" s="40"/>
      <c r="W6" s="40"/>
      <c r="X6" s="40"/>
      <c r="Y6" s="5"/>
    </row>
    <row r="7" spans="1:25" ht="19.5" customHeight="1" thickBot="1" x14ac:dyDescent="0.4">
      <c r="A7" s="111"/>
      <c r="B7" s="3" t="s">
        <v>74</v>
      </c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40"/>
      <c r="V7" s="40"/>
      <c r="W7" s="40"/>
      <c r="X7" s="40"/>
      <c r="Y7" s="5"/>
    </row>
    <row r="8" spans="1:25" ht="18" customHeight="1" thickBot="1" x14ac:dyDescent="0.3">
      <c r="A8" s="8" t="s">
        <v>2</v>
      </c>
      <c r="B8" s="24"/>
      <c r="C8" s="223"/>
      <c r="D8" s="224"/>
      <c r="E8" s="224"/>
      <c r="F8" s="225"/>
      <c r="G8" s="9"/>
      <c r="H8" s="8" t="s">
        <v>26</v>
      </c>
      <c r="I8" s="8"/>
      <c r="J8" s="8"/>
      <c r="K8" s="223"/>
      <c r="L8" s="224"/>
      <c r="M8" s="224"/>
      <c r="N8" s="225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223"/>
      <c r="D10" s="224"/>
      <c r="E10" s="224"/>
      <c r="F10" s="225"/>
      <c r="G10" s="9"/>
      <c r="H10" s="8" t="s">
        <v>25</v>
      </c>
      <c r="I10" s="8"/>
      <c r="J10" s="8"/>
      <c r="K10" s="223"/>
      <c r="L10" s="224"/>
      <c r="M10" s="224"/>
      <c r="N10" s="225"/>
      <c r="O10" s="26"/>
      <c r="P10" s="26"/>
      <c r="Q10" s="26"/>
      <c r="R10" s="26"/>
      <c r="S10" s="26"/>
      <c r="T10" s="26"/>
      <c r="U10" s="11"/>
    </row>
    <row r="11" spans="1:25" ht="18" customHeight="1" thickBot="1" x14ac:dyDescent="0.35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8" customHeight="1" thickBot="1" x14ac:dyDescent="0.35">
      <c r="A12" s="8" t="s">
        <v>49</v>
      </c>
      <c r="B12" s="24"/>
      <c r="C12" s="223"/>
      <c r="D12" s="224"/>
      <c r="E12" s="224"/>
      <c r="F12" s="225"/>
      <c r="G12" s="24"/>
      <c r="H12" s="8" t="s">
        <v>52</v>
      </c>
      <c r="I12" s="8"/>
      <c r="J12" s="24"/>
      <c r="K12" s="395"/>
      <c r="L12" s="242"/>
      <c r="M12" s="8" t="s">
        <v>59</v>
      </c>
      <c r="N12" s="24"/>
      <c r="O12" s="26"/>
      <c r="P12" s="26"/>
      <c r="Q12" s="26"/>
      <c r="R12" s="26"/>
      <c r="S12" s="26"/>
      <c r="T12" s="26"/>
      <c r="U12" s="11"/>
    </row>
    <row r="13" spans="1:25" ht="18" customHeight="1" thickBot="1" x14ac:dyDescent="0.35">
      <c r="A13" s="8"/>
      <c r="B13" s="24"/>
      <c r="C13" s="24"/>
      <c r="D13" s="24"/>
      <c r="E13" s="24"/>
      <c r="F13" s="24"/>
      <c r="G13" s="24"/>
      <c r="H13" s="8" t="s">
        <v>51</v>
      </c>
      <c r="I13" s="8"/>
      <c r="J13" s="24"/>
      <c r="K13" s="396"/>
      <c r="L13" s="261"/>
      <c r="M13" s="32" t="s">
        <v>60</v>
      </c>
      <c r="N13" s="24"/>
      <c r="O13" s="26"/>
      <c r="P13" s="26"/>
      <c r="Q13" s="26"/>
      <c r="R13" s="26"/>
      <c r="S13" s="26"/>
      <c r="T13" s="26"/>
      <c r="U13" s="11"/>
    </row>
    <row r="14" spans="1:25" ht="13.5" customHeight="1" thickBot="1" x14ac:dyDescent="0.35">
      <c r="A14" s="8"/>
      <c r="B14" s="24"/>
      <c r="C14" s="24"/>
      <c r="D14" s="24"/>
      <c r="E14" s="24"/>
      <c r="F14" s="24"/>
      <c r="G14" s="9"/>
      <c r="H14" s="8"/>
      <c r="I14" s="8"/>
      <c r="J14" s="8"/>
      <c r="K14" s="8"/>
      <c r="L14" s="8"/>
      <c r="M14" s="8"/>
      <c r="N14" s="8"/>
      <c r="O14" s="26"/>
      <c r="P14" s="26"/>
      <c r="Q14" s="26"/>
      <c r="R14" s="26"/>
      <c r="S14" s="26"/>
      <c r="T14" s="26"/>
      <c r="U14" s="11"/>
    </row>
    <row r="15" spans="1:25" ht="22.5" customHeight="1" thickBot="1" x14ac:dyDescent="0.35">
      <c r="A15" s="8"/>
      <c r="B15" s="24"/>
      <c r="C15" s="10"/>
      <c r="D15" s="10"/>
      <c r="E15" s="10"/>
      <c r="F15" s="262" t="s">
        <v>28</v>
      </c>
      <c r="G15" s="263"/>
      <c r="H15" s="263"/>
      <c r="I15" s="263"/>
      <c r="J15" s="263"/>
      <c r="K15" s="263"/>
      <c r="L15" s="263"/>
      <c r="M15" s="263"/>
      <c r="N15" s="264"/>
      <c r="O15" s="26"/>
      <c r="P15" s="26"/>
      <c r="Q15" s="26"/>
      <c r="R15" s="26"/>
      <c r="S15" s="26"/>
      <c r="T15" s="26"/>
      <c r="U15" s="11"/>
    </row>
    <row r="16" spans="1:25" s="19" customFormat="1" ht="54.75" customHeight="1" x14ac:dyDescent="0.25">
      <c r="A16" s="200" t="s">
        <v>1</v>
      </c>
      <c r="B16" s="201"/>
      <c r="C16" s="202"/>
      <c r="D16" s="203" t="s">
        <v>58</v>
      </c>
      <c r="E16" s="204"/>
      <c r="F16" s="265" t="s">
        <v>29</v>
      </c>
      <c r="G16" s="265"/>
      <c r="H16" s="266" t="s">
        <v>61</v>
      </c>
      <c r="I16" s="267"/>
      <c r="J16" s="35" t="s">
        <v>63</v>
      </c>
      <c r="K16" s="268" t="s">
        <v>64</v>
      </c>
      <c r="L16" s="269"/>
      <c r="M16" s="266" t="s">
        <v>30</v>
      </c>
      <c r="N16" s="267"/>
      <c r="O16" s="26"/>
      <c r="P16" s="26"/>
      <c r="Q16" s="26"/>
      <c r="R16" s="26"/>
      <c r="S16" s="26"/>
      <c r="T16" s="26"/>
      <c r="U16" s="20"/>
      <c r="V16" s="20"/>
      <c r="W16" s="20"/>
      <c r="X16" s="21"/>
    </row>
    <row r="17" spans="1:24" s="3" customFormat="1" ht="15.75" x14ac:dyDescent="0.25">
      <c r="A17" s="191">
        <v>45264</v>
      </c>
      <c r="B17" s="192"/>
      <c r="C17" s="193"/>
      <c r="D17" s="243"/>
      <c r="E17" s="243"/>
      <c r="F17" s="244"/>
      <c r="G17" s="245"/>
      <c r="H17" s="246"/>
      <c r="I17" s="247"/>
      <c r="J17" s="100"/>
      <c r="K17" s="248"/>
      <c r="L17" s="248"/>
      <c r="M17" s="249">
        <f t="shared" ref="M17" si="0">+K17-J17</f>
        <v>0</v>
      </c>
      <c r="N17" s="250"/>
      <c r="O17" s="26"/>
      <c r="P17" s="26"/>
      <c r="Q17" s="26"/>
      <c r="R17" s="26"/>
      <c r="S17" s="26"/>
      <c r="T17" s="26"/>
      <c r="U17" s="13"/>
      <c r="V17" s="13"/>
      <c r="W17" s="13"/>
      <c r="X17" s="1"/>
    </row>
    <row r="18" spans="1:24" s="3" customFormat="1" ht="15.75" x14ac:dyDescent="0.25">
      <c r="A18" s="191">
        <v>45265</v>
      </c>
      <c r="B18" s="192"/>
      <c r="C18" s="193"/>
      <c r="D18" s="243"/>
      <c r="E18" s="243"/>
      <c r="F18" s="244"/>
      <c r="G18" s="245"/>
      <c r="H18" s="246"/>
      <c r="I18" s="247"/>
      <c r="J18" s="100"/>
      <c r="K18" s="248"/>
      <c r="L18" s="248"/>
      <c r="M18" s="249">
        <f t="shared" ref="M18:M51" si="1">+K18-J18</f>
        <v>0</v>
      </c>
      <c r="N18" s="250"/>
      <c r="P18" s="26"/>
      <c r="Q18" s="26"/>
      <c r="R18" s="26"/>
      <c r="S18" s="26"/>
      <c r="T18" s="26"/>
      <c r="U18" s="13"/>
      <c r="V18" s="13"/>
      <c r="W18" s="13"/>
      <c r="X18" s="1"/>
    </row>
    <row r="19" spans="1:24" s="3" customFormat="1" ht="15.75" x14ac:dyDescent="0.25">
      <c r="A19" s="191">
        <v>45266</v>
      </c>
      <c r="B19" s="192"/>
      <c r="C19" s="193"/>
      <c r="D19" s="243"/>
      <c r="E19" s="243"/>
      <c r="F19" s="244"/>
      <c r="G19" s="245"/>
      <c r="H19" s="246"/>
      <c r="I19" s="247"/>
      <c r="J19" s="100"/>
      <c r="K19" s="248"/>
      <c r="L19" s="248"/>
      <c r="M19" s="249">
        <f t="shared" si="1"/>
        <v>0</v>
      </c>
      <c r="N19" s="250"/>
      <c r="P19" s="26"/>
      <c r="Q19" s="26"/>
      <c r="R19" s="26"/>
      <c r="S19" s="26"/>
      <c r="T19" s="26"/>
      <c r="U19" s="26"/>
      <c r="V19" s="13"/>
      <c r="W19" s="13"/>
      <c r="X19" s="1"/>
    </row>
    <row r="20" spans="1:24" s="3" customFormat="1" x14ac:dyDescent="0.25">
      <c r="A20" s="191">
        <v>45267</v>
      </c>
      <c r="B20" s="192"/>
      <c r="C20" s="193"/>
      <c r="D20" s="243"/>
      <c r="E20" s="243"/>
      <c r="F20" s="244"/>
      <c r="G20" s="245"/>
      <c r="H20" s="246"/>
      <c r="I20" s="247"/>
      <c r="J20" s="100"/>
      <c r="K20" s="248"/>
      <c r="L20" s="248"/>
      <c r="M20" s="249">
        <f t="shared" si="1"/>
        <v>0</v>
      </c>
      <c r="N20" s="250"/>
      <c r="P20" s="12"/>
      <c r="Q20" s="12"/>
      <c r="R20" s="12"/>
      <c r="S20" s="12"/>
      <c r="T20" s="13"/>
      <c r="U20" s="13"/>
      <c r="V20" s="13"/>
      <c r="W20" s="13"/>
      <c r="X20" s="1"/>
    </row>
    <row r="21" spans="1:24" s="3" customFormat="1" x14ac:dyDescent="0.25">
      <c r="A21" s="191">
        <v>45268</v>
      </c>
      <c r="B21" s="192"/>
      <c r="C21" s="193"/>
      <c r="D21" s="243"/>
      <c r="E21" s="243"/>
      <c r="F21" s="244"/>
      <c r="G21" s="245"/>
      <c r="H21" s="246"/>
      <c r="I21" s="247"/>
      <c r="J21" s="100"/>
      <c r="K21" s="248"/>
      <c r="L21" s="248"/>
      <c r="M21" s="249">
        <f t="shared" si="1"/>
        <v>0</v>
      </c>
      <c r="N21" s="250"/>
      <c r="P21" s="12"/>
      <c r="Q21" s="12"/>
      <c r="R21" s="12"/>
      <c r="S21" s="12"/>
      <c r="T21" s="13"/>
      <c r="U21" s="13"/>
      <c r="V21" s="13"/>
      <c r="W21" s="13"/>
      <c r="X21" s="1"/>
    </row>
    <row r="22" spans="1:24" s="3" customFormat="1" x14ac:dyDescent="0.25">
      <c r="A22" s="191">
        <v>45269</v>
      </c>
      <c r="B22" s="192"/>
      <c r="C22" s="193"/>
      <c r="D22" s="243"/>
      <c r="E22" s="243"/>
      <c r="F22" s="244"/>
      <c r="G22" s="245"/>
      <c r="H22" s="246"/>
      <c r="I22" s="247"/>
      <c r="J22" s="100"/>
      <c r="K22" s="248"/>
      <c r="L22" s="248"/>
      <c r="M22" s="249">
        <f t="shared" si="1"/>
        <v>0</v>
      </c>
      <c r="N22" s="250"/>
      <c r="P22" s="12"/>
      <c r="Q22" s="12"/>
      <c r="R22" s="12"/>
      <c r="S22" s="12"/>
      <c r="T22" s="13"/>
      <c r="U22" s="13"/>
      <c r="V22" s="13"/>
      <c r="W22" s="13"/>
      <c r="X22" s="1"/>
    </row>
    <row r="23" spans="1:24" s="3" customFormat="1" x14ac:dyDescent="0.25">
      <c r="A23" s="191">
        <v>45270</v>
      </c>
      <c r="B23" s="192"/>
      <c r="C23" s="193"/>
      <c r="D23" s="243"/>
      <c r="E23" s="243"/>
      <c r="F23" s="244"/>
      <c r="G23" s="245"/>
      <c r="H23" s="246"/>
      <c r="I23" s="247"/>
      <c r="J23" s="100"/>
      <c r="K23" s="248"/>
      <c r="L23" s="248"/>
      <c r="M23" s="249">
        <f t="shared" si="1"/>
        <v>0</v>
      </c>
      <c r="N23" s="250"/>
      <c r="P23" s="12"/>
      <c r="Q23" s="12"/>
      <c r="R23" s="12"/>
      <c r="S23" s="12"/>
      <c r="T23" s="13"/>
      <c r="U23" s="13"/>
      <c r="V23" s="13"/>
      <c r="W23" s="13"/>
      <c r="X23" s="1"/>
    </row>
    <row r="24" spans="1:24" s="3" customFormat="1" x14ac:dyDescent="0.25">
      <c r="A24" s="191">
        <v>45271</v>
      </c>
      <c r="B24" s="192"/>
      <c r="C24" s="193"/>
      <c r="D24" s="243"/>
      <c r="E24" s="243"/>
      <c r="F24" s="244"/>
      <c r="G24" s="245"/>
      <c r="H24" s="246"/>
      <c r="I24" s="247"/>
      <c r="J24" s="100"/>
      <c r="K24" s="248"/>
      <c r="L24" s="248"/>
      <c r="M24" s="249">
        <f t="shared" si="1"/>
        <v>0</v>
      </c>
      <c r="N24" s="250"/>
      <c r="P24" s="12"/>
      <c r="Q24" s="12"/>
      <c r="R24" s="12"/>
      <c r="S24" s="12"/>
      <c r="T24" s="13"/>
      <c r="U24" s="13"/>
      <c r="V24" s="13"/>
      <c r="W24" s="13"/>
      <c r="X24" s="1"/>
    </row>
    <row r="25" spans="1:24" s="3" customFormat="1" x14ac:dyDescent="0.25">
      <c r="A25" s="191">
        <v>45272</v>
      </c>
      <c r="B25" s="192"/>
      <c r="C25" s="193"/>
      <c r="D25" s="243"/>
      <c r="E25" s="243"/>
      <c r="F25" s="244"/>
      <c r="G25" s="245"/>
      <c r="H25" s="246"/>
      <c r="I25" s="247"/>
      <c r="J25" s="100"/>
      <c r="K25" s="248"/>
      <c r="L25" s="248"/>
      <c r="M25" s="249">
        <f t="shared" si="1"/>
        <v>0</v>
      </c>
      <c r="N25" s="250"/>
      <c r="P25" s="12"/>
      <c r="Q25" s="12"/>
      <c r="R25" s="12"/>
      <c r="S25" s="12"/>
      <c r="T25" s="13"/>
      <c r="U25" s="13"/>
      <c r="V25" s="13"/>
      <c r="W25" s="13"/>
      <c r="X25" s="1"/>
    </row>
    <row r="26" spans="1:24" s="3" customFormat="1" x14ac:dyDescent="0.25">
      <c r="A26" s="191">
        <v>45273</v>
      </c>
      <c r="B26" s="192"/>
      <c r="C26" s="193"/>
      <c r="D26" s="243"/>
      <c r="E26" s="243"/>
      <c r="F26" s="244"/>
      <c r="G26" s="245"/>
      <c r="H26" s="246"/>
      <c r="I26" s="247"/>
      <c r="J26" s="100"/>
      <c r="K26" s="248"/>
      <c r="L26" s="248"/>
      <c r="M26" s="249">
        <f t="shared" si="1"/>
        <v>0</v>
      </c>
      <c r="N26" s="250"/>
      <c r="P26" s="12"/>
      <c r="Q26" s="12"/>
      <c r="R26" s="12"/>
      <c r="S26" s="12"/>
      <c r="T26" s="13"/>
      <c r="U26" s="13"/>
      <c r="V26" s="13"/>
      <c r="W26" s="13"/>
      <c r="X26" s="1"/>
    </row>
    <row r="27" spans="1:24" s="3" customFormat="1" x14ac:dyDescent="0.25">
      <c r="A27" s="191">
        <v>45274</v>
      </c>
      <c r="B27" s="192"/>
      <c r="C27" s="193"/>
      <c r="D27" s="243"/>
      <c r="E27" s="243"/>
      <c r="F27" s="244"/>
      <c r="G27" s="245"/>
      <c r="H27" s="246"/>
      <c r="I27" s="247"/>
      <c r="J27" s="100"/>
      <c r="K27" s="248"/>
      <c r="L27" s="248"/>
      <c r="M27" s="249">
        <f t="shared" si="1"/>
        <v>0</v>
      </c>
      <c r="N27" s="250"/>
      <c r="P27" s="12"/>
      <c r="Q27" s="15"/>
      <c r="R27" s="15"/>
      <c r="S27" s="15"/>
      <c r="T27" s="13"/>
      <c r="U27" s="13"/>
      <c r="V27" s="13"/>
      <c r="W27" s="13"/>
      <c r="X27" s="1"/>
    </row>
    <row r="28" spans="1:24" s="3" customFormat="1" x14ac:dyDescent="0.25">
      <c r="A28" s="191">
        <v>45275</v>
      </c>
      <c r="B28" s="192"/>
      <c r="C28" s="193"/>
      <c r="D28" s="243"/>
      <c r="E28" s="243"/>
      <c r="F28" s="244"/>
      <c r="G28" s="245"/>
      <c r="H28" s="246"/>
      <c r="I28" s="247"/>
      <c r="J28" s="100"/>
      <c r="K28" s="248"/>
      <c r="L28" s="248"/>
      <c r="M28" s="249">
        <f t="shared" si="1"/>
        <v>0</v>
      </c>
      <c r="N28" s="250"/>
      <c r="P28" s="12"/>
      <c r="Q28" s="15"/>
      <c r="R28" s="15"/>
      <c r="S28" s="15"/>
      <c r="T28" s="13"/>
      <c r="U28" s="13"/>
      <c r="V28" s="13"/>
      <c r="W28" s="13"/>
      <c r="X28" s="1"/>
    </row>
    <row r="29" spans="1:24" s="3" customFormat="1" x14ac:dyDescent="0.25">
      <c r="A29" s="191">
        <v>45276</v>
      </c>
      <c r="B29" s="192"/>
      <c r="C29" s="193"/>
      <c r="D29" s="243"/>
      <c r="E29" s="243"/>
      <c r="F29" s="244"/>
      <c r="G29" s="245"/>
      <c r="H29" s="246"/>
      <c r="I29" s="247"/>
      <c r="J29" s="100"/>
      <c r="K29" s="248"/>
      <c r="L29" s="248"/>
      <c r="M29" s="249">
        <f t="shared" si="1"/>
        <v>0</v>
      </c>
      <c r="N29" s="250"/>
      <c r="P29" s="12"/>
      <c r="Q29" s="15"/>
      <c r="R29" s="15"/>
      <c r="S29" s="15"/>
      <c r="T29" s="13"/>
      <c r="U29" s="13"/>
      <c r="V29" s="13"/>
      <c r="W29" s="13"/>
      <c r="X29" s="1"/>
    </row>
    <row r="30" spans="1:24" s="3" customFormat="1" x14ac:dyDescent="0.25">
      <c r="A30" s="191">
        <v>45277</v>
      </c>
      <c r="B30" s="192"/>
      <c r="C30" s="193"/>
      <c r="D30" s="243"/>
      <c r="E30" s="243"/>
      <c r="F30" s="244"/>
      <c r="G30" s="245"/>
      <c r="H30" s="246"/>
      <c r="I30" s="247"/>
      <c r="J30" s="100"/>
      <c r="K30" s="248"/>
      <c r="L30" s="248"/>
      <c r="M30" s="249">
        <f t="shared" si="1"/>
        <v>0</v>
      </c>
      <c r="N30" s="250"/>
      <c r="O30" s="1"/>
      <c r="P30" s="12"/>
      <c r="Q30" s="15"/>
      <c r="R30" s="15"/>
      <c r="S30" s="15"/>
      <c r="T30" s="13"/>
      <c r="U30" s="13"/>
      <c r="V30" s="13"/>
      <c r="W30" s="13"/>
      <c r="X30" s="1"/>
    </row>
    <row r="31" spans="1:24" s="3" customFormat="1" x14ac:dyDescent="0.25">
      <c r="A31" s="191">
        <v>45278</v>
      </c>
      <c r="B31" s="192"/>
      <c r="C31" s="193"/>
      <c r="D31" s="270"/>
      <c r="E31" s="271"/>
      <c r="F31" s="101"/>
      <c r="G31" s="102"/>
      <c r="H31" s="103"/>
      <c r="I31" s="104"/>
      <c r="J31" s="100"/>
      <c r="K31" s="249"/>
      <c r="L31" s="250"/>
      <c r="M31" s="249">
        <f t="shared" si="1"/>
        <v>0</v>
      </c>
      <c r="N31" s="250"/>
      <c r="O31" s="1"/>
      <c r="P31" s="12"/>
      <c r="Q31" s="15"/>
      <c r="R31" s="15"/>
      <c r="S31" s="15"/>
      <c r="T31" s="13"/>
      <c r="U31" s="13"/>
      <c r="V31" s="13"/>
      <c r="W31" s="13"/>
      <c r="X31" s="1"/>
    </row>
    <row r="32" spans="1:24" s="3" customFormat="1" x14ac:dyDescent="0.25">
      <c r="A32" s="191">
        <v>45279</v>
      </c>
      <c r="B32" s="192"/>
      <c r="C32" s="193"/>
      <c r="D32" s="270"/>
      <c r="E32" s="271"/>
      <c r="F32" s="101"/>
      <c r="G32" s="102"/>
      <c r="H32" s="103"/>
      <c r="I32" s="104"/>
      <c r="J32" s="100"/>
      <c r="K32" s="249"/>
      <c r="L32" s="250"/>
      <c r="M32" s="249">
        <f t="shared" si="1"/>
        <v>0</v>
      </c>
      <c r="N32" s="250"/>
      <c r="O32" s="1"/>
      <c r="P32" s="12"/>
      <c r="Q32" s="15"/>
      <c r="R32" s="15"/>
      <c r="S32" s="15"/>
      <c r="T32" s="13"/>
      <c r="U32" s="13"/>
      <c r="V32" s="13"/>
      <c r="W32" s="13"/>
      <c r="X32" s="1"/>
    </row>
    <row r="33" spans="1:24" s="3" customFormat="1" x14ac:dyDescent="0.25">
      <c r="A33" s="191">
        <v>45280</v>
      </c>
      <c r="B33" s="192"/>
      <c r="C33" s="193"/>
      <c r="D33" s="270"/>
      <c r="E33" s="271"/>
      <c r="F33" s="101"/>
      <c r="G33" s="102"/>
      <c r="H33" s="103"/>
      <c r="I33" s="104"/>
      <c r="J33" s="100"/>
      <c r="K33" s="249"/>
      <c r="L33" s="250"/>
      <c r="M33" s="249">
        <f t="shared" si="1"/>
        <v>0</v>
      </c>
      <c r="N33" s="250"/>
      <c r="O33" s="1"/>
      <c r="P33" s="12"/>
      <c r="Q33" s="15"/>
      <c r="R33" s="15"/>
      <c r="S33" s="15"/>
      <c r="T33" s="13"/>
      <c r="U33" s="13"/>
      <c r="V33" s="13"/>
      <c r="W33" s="13"/>
      <c r="X33" s="1"/>
    </row>
    <row r="34" spans="1:24" s="3" customFormat="1" x14ac:dyDescent="0.25">
      <c r="A34" s="191">
        <v>45281</v>
      </c>
      <c r="B34" s="192"/>
      <c r="C34" s="193"/>
      <c r="D34" s="270"/>
      <c r="E34" s="271"/>
      <c r="F34" s="101"/>
      <c r="G34" s="102"/>
      <c r="H34" s="103"/>
      <c r="I34" s="104"/>
      <c r="J34" s="100"/>
      <c r="K34" s="249"/>
      <c r="L34" s="250"/>
      <c r="M34" s="249">
        <f t="shared" si="1"/>
        <v>0</v>
      </c>
      <c r="N34" s="250"/>
      <c r="O34" s="1"/>
      <c r="P34" s="12"/>
      <c r="Q34" s="15"/>
      <c r="R34" s="15"/>
      <c r="S34" s="15"/>
      <c r="T34" s="13"/>
      <c r="U34" s="13"/>
      <c r="V34" s="13"/>
      <c r="W34" s="13"/>
      <c r="X34" s="1"/>
    </row>
    <row r="35" spans="1:24" s="3" customFormat="1" x14ac:dyDescent="0.25">
      <c r="A35" s="191">
        <v>45282</v>
      </c>
      <c r="B35" s="192"/>
      <c r="C35" s="193"/>
      <c r="D35" s="270"/>
      <c r="E35" s="271"/>
      <c r="F35" s="101"/>
      <c r="G35" s="102"/>
      <c r="H35" s="103"/>
      <c r="I35" s="104"/>
      <c r="J35" s="100"/>
      <c r="K35" s="249"/>
      <c r="L35" s="250"/>
      <c r="M35" s="249">
        <f t="shared" si="1"/>
        <v>0</v>
      </c>
      <c r="N35" s="250"/>
      <c r="O35" s="1"/>
      <c r="P35" s="12"/>
      <c r="Q35" s="15"/>
      <c r="R35" s="15"/>
      <c r="S35" s="15"/>
      <c r="T35" s="13"/>
      <c r="U35" s="13"/>
      <c r="V35" s="13"/>
      <c r="W35" s="13"/>
      <c r="X35" s="1"/>
    </row>
    <row r="36" spans="1:24" s="3" customFormat="1" x14ac:dyDescent="0.25">
      <c r="A36" s="191">
        <v>45283</v>
      </c>
      <c r="B36" s="192"/>
      <c r="C36" s="193"/>
      <c r="D36" s="270"/>
      <c r="E36" s="271"/>
      <c r="F36" s="101"/>
      <c r="G36" s="102"/>
      <c r="H36" s="103"/>
      <c r="I36" s="104"/>
      <c r="J36" s="100"/>
      <c r="K36" s="249"/>
      <c r="L36" s="250"/>
      <c r="M36" s="249">
        <f t="shared" si="1"/>
        <v>0</v>
      </c>
      <c r="N36" s="250"/>
      <c r="O36" s="1"/>
      <c r="P36" s="12"/>
      <c r="Q36" s="15"/>
      <c r="R36" s="15"/>
      <c r="S36" s="15"/>
      <c r="T36" s="13"/>
      <c r="U36" s="13"/>
      <c r="V36" s="13"/>
      <c r="W36" s="13"/>
      <c r="X36" s="1"/>
    </row>
    <row r="37" spans="1:24" s="3" customFormat="1" x14ac:dyDescent="0.25">
      <c r="A37" s="191">
        <v>45284</v>
      </c>
      <c r="B37" s="192"/>
      <c r="C37" s="193"/>
      <c r="D37" s="270"/>
      <c r="E37" s="271"/>
      <c r="F37" s="101"/>
      <c r="G37" s="102"/>
      <c r="H37" s="103"/>
      <c r="I37" s="104"/>
      <c r="J37" s="100"/>
      <c r="K37" s="249"/>
      <c r="L37" s="250"/>
      <c r="M37" s="249">
        <f t="shared" si="1"/>
        <v>0</v>
      </c>
      <c r="N37" s="250"/>
      <c r="O37" s="1"/>
      <c r="P37" s="12"/>
      <c r="Q37" s="15"/>
      <c r="R37" s="15"/>
      <c r="S37" s="15"/>
      <c r="T37" s="13"/>
      <c r="U37" s="13"/>
      <c r="V37" s="13"/>
      <c r="W37" s="13"/>
      <c r="X37" s="1"/>
    </row>
    <row r="38" spans="1:24" s="3" customFormat="1" x14ac:dyDescent="0.25">
      <c r="A38" s="191">
        <v>45285</v>
      </c>
      <c r="B38" s="192"/>
      <c r="C38" s="193"/>
      <c r="D38" s="243"/>
      <c r="E38" s="243"/>
      <c r="F38" s="244"/>
      <c r="G38" s="245"/>
      <c r="H38" s="246"/>
      <c r="I38" s="247"/>
      <c r="J38" s="100"/>
      <c r="K38" s="248"/>
      <c r="L38" s="248"/>
      <c r="M38" s="249">
        <f t="shared" si="1"/>
        <v>0</v>
      </c>
      <c r="N38" s="250"/>
      <c r="P38" s="12"/>
      <c r="Q38" s="15"/>
      <c r="R38" s="15"/>
      <c r="S38" s="15"/>
      <c r="T38" s="13"/>
      <c r="U38" s="13"/>
      <c r="V38" s="13"/>
      <c r="W38" s="13"/>
      <c r="X38" s="1"/>
    </row>
    <row r="39" spans="1:24" s="3" customFormat="1" x14ac:dyDescent="0.25">
      <c r="A39" s="191">
        <v>45286</v>
      </c>
      <c r="B39" s="192"/>
      <c r="C39" s="193"/>
      <c r="D39" s="243"/>
      <c r="E39" s="243"/>
      <c r="F39" s="244"/>
      <c r="G39" s="245"/>
      <c r="H39" s="246"/>
      <c r="I39" s="247"/>
      <c r="J39" s="100"/>
      <c r="K39" s="248"/>
      <c r="L39" s="248"/>
      <c r="M39" s="249">
        <f t="shared" si="1"/>
        <v>0</v>
      </c>
      <c r="N39" s="250"/>
      <c r="P39" s="12"/>
      <c r="Q39" s="15"/>
      <c r="R39" s="15"/>
      <c r="S39" s="15"/>
      <c r="T39" s="13"/>
      <c r="U39" s="13"/>
      <c r="V39" s="13"/>
      <c r="W39" s="13"/>
      <c r="X39" s="1"/>
    </row>
    <row r="40" spans="1:24" s="3" customFormat="1" x14ac:dyDescent="0.25">
      <c r="A40" s="191">
        <v>45287</v>
      </c>
      <c r="B40" s="192"/>
      <c r="C40" s="193"/>
      <c r="D40" s="243"/>
      <c r="E40" s="243"/>
      <c r="F40" s="244"/>
      <c r="G40" s="245"/>
      <c r="H40" s="246"/>
      <c r="I40" s="247"/>
      <c r="J40" s="100"/>
      <c r="K40" s="248"/>
      <c r="L40" s="248"/>
      <c r="M40" s="249">
        <f t="shared" si="1"/>
        <v>0</v>
      </c>
      <c r="N40" s="250"/>
      <c r="P40" s="12"/>
      <c r="Q40" s="15"/>
      <c r="R40" s="15"/>
      <c r="S40" s="15"/>
      <c r="T40" s="13"/>
      <c r="U40" s="13"/>
      <c r="V40" s="13"/>
      <c r="W40" s="13"/>
      <c r="X40" s="1"/>
    </row>
    <row r="41" spans="1:24" s="3" customFormat="1" x14ac:dyDescent="0.25">
      <c r="A41" s="191">
        <v>45288</v>
      </c>
      <c r="B41" s="192"/>
      <c r="C41" s="193"/>
      <c r="D41" s="243"/>
      <c r="E41" s="243"/>
      <c r="F41" s="244"/>
      <c r="G41" s="245"/>
      <c r="H41" s="246"/>
      <c r="I41" s="247"/>
      <c r="J41" s="100"/>
      <c r="K41" s="248"/>
      <c r="L41" s="248"/>
      <c r="M41" s="249">
        <f t="shared" si="1"/>
        <v>0</v>
      </c>
      <c r="N41" s="250"/>
      <c r="P41" s="12"/>
      <c r="Q41" s="15"/>
      <c r="R41" s="15"/>
      <c r="S41" s="15"/>
      <c r="T41" s="13"/>
      <c r="U41" s="13"/>
      <c r="V41" s="13"/>
      <c r="W41" s="13"/>
      <c r="X41" s="1"/>
    </row>
    <row r="42" spans="1:24" s="3" customFormat="1" x14ac:dyDescent="0.25">
      <c r="A42" s="191">
        <v>45289</v>
      </c>
      <c r="B42" s="192"/>
      <c r="C42" s="193"/>
      <c r="D42" s="243"/>
      <c r="E42" s="243"/>
      <c r="F42" s="244"/>
      <c r="G42" s="245"/>
      <c r="H42" s="246"/>
      <c r="I42" s="247"/>
      <c r="J42" s="100"/>
      <c r="K42" s="248"/>
      <c r="L42" s="248"/>
      <c r="M42" s="249">
        <f t="shared" si="1"/>
        <v>0</v>
      </c>
      <c r="N42" s="250"/>
      <c r="P42" s="12"/>
      <c r="Q42" s="15"/>
      <c r="R42" s="15"/>
      <c r="S42" s="15"/>
      <c r="T42" s="13"/>
      <c r="U42" s="13"/>
      <c r="V42" s="13"/>
      <c r="W42" s="13"/>
      <c r="X42" s="1"/>
    </row>
    <row r="43" spans="1:24" s="3" customFormat="1" x14ac:dyDescent="0.25">
      <c r="A43" s="191">
        <v>45290</v>
      </c>
      <c r="B43" s="192"/>
      <c r="C43" s="193"/>
      <c r="D43" s="243"/>
      <c r="E43" s="243"/>
      <c r="F43" s="244"/>
      <c r="G43" s="245"/>
      <c r="H43" s="246"/>
      <c r="I43" s="247"/>
      <c r="J43" s="100"/>
      <c r="K43" s="248"/>
      <c r="L43" s="248"/>
      <c r="M43" s="249">
        <f t="shared" si="1"/>
        <v>0</v>
      </c>
      <c r="N43" s="250"/>
      <c r="P43" s="12"/>
      <c r="Q43" s="15"/>
      <c r="R43" s="15"/>
      <c r="S43" s="15"/>
      <c r="T43" s="13"/>
      <c r="U43" s="13"/>
      <c r="V43" s="13"/>
      <c r="W43" s="13"/>
      <c r="X43" s="1"/>
    </row>
    <row r="44" spans="1:24" s="3" customFormat="1" x14ac:dyDescent="0.25">
      <c r="A44" s="191">
        <v>45291</v>
      </c>
      <c r="B44" s="192"/>
      <c r="C44" s="193"/>
      <c r="D44" s="243"/>
      <c r="E44" s="243"/>
      <c r="F44" s="244"/>
      <c r="G44" s="245"/>
      <c r="H44" s="246"/>
      <c r="I44" s="247"/>
      <c r="J44" s="100"/>
      <c r="K44" s="248"/>
      <c r="L44" s="248"/>
      <c r="M44" s="249">
        <f t="shared" si="1"/>
        <v>0</v>
      </c>
      <c r="N44" s="250"/>
      <c r="P44" s="12"/>
      <c r="Q44" s="15"/>
      <c r="R44" s="15"/>
      <c r="S44" s="15"/>
      <c r="T44" s="13"/>
      <c r="U44" s="13"/>
      <c r="V44" s="13"/>
      <c r="W44" s="13"/>
      <c r="X44" s="1"/>
    </row>
    <row r="45" spans="1:24" s="3" customFormat="1" x14ac:dyDescent="0.25">
      <c r="A45" s="191">
        <v>45292</v>
      </c>
      <c r="B45" s="192"/>
      <c r="C45" s="193"/>
      <c r="D45" s="243"/>
      <c r="E45" s="243"/>
      <c r="F45" s="244"/>
      <c r="G45" s="245"/>
      <c r="H45" s="246"/>
      <c r="I45" s="247"/>
      <c r="J45" s="100"/>
      <c r="K45" s="248"/>
      <c r="L45" s="248"/>
      <c r="M45" s="249">
        <f t="shared" si="1"/>
        <v>0</v>
      </c>
      <c r="N45" s="250"/>
      <c r="P45" s="12"/>
      <c r="Q45" s="15"/>
      <c r="R45" s="15"/>
      <c r="S45" s="15"/>
      <c r="T45" s="13"/>
      <c r="U45" s="13"/>
      <c r="V45" s="13"/>
      <c r="W45" s="13"/>
      <c r="X45" s="1"/>
    </row>
    <row r="46" spans="1:24" s="3" customFormat="1" x14ac:dyDescent="0.25">
      <c r="A46" s="191">
        <v>45293</v>
      </c>
      <c r="B46" s="192"/>
      <c r="C46" s="193"/>
      <c r="D46" s="243"/>
      <c r="E46" s="243"/>
      <c r="F46" s="244"/>
      <c r="G46" s="245"/>
      <c r="H46" s="246"/>
      <c r="I46" s="247"/>
      <c r="J46" s="100"/>
      <c r="K46" s="248"/>
      <c r="L46" s="248"/>
      <c r="M46" s="249">
        <f t="shared" si="1"/>
        <v>0</v>
      </c>
      <c r="N46" s="250"/>
      <c r="P46" s="12"/>
      <c r="Q46" s="15"/>
      <c r="R46" s="15"/>
      <c r="S46" s="15"/>
      <c r="T46" s="13"/>
      <c r="U46" s="13"/>
      <c r="V46" s="13"/>
      <c r="W46" s="13"/>
      <c r="X46" s="1"/>
    </row>
    <row r="47" spans="1:24" s="3" customFormat="1" x14ac:dyDescent="0.25">
      <c r="A47" s="191">
        <v>45294</v>
      </c>
      <c r="B47" s="192"/>
      <c r="C47" s="193"/>
      <c r="D47" s="243"/>
      <c r="E47" s="243"/>
      <c r="F47" s="244"/>
      <c r="G47" s="245"/>
      <c r="H47" s="246"/>
      <c r="I47" s="247"/>
      <c r="J47" s="100"/>
      <c r="K47" s="248"/>
      <c r="L47" s="248"/>
      <c r="M47" s="249">
        <f t="shared" si="1"/>
        <v>0</v>
      </c>
      <c r="N47" s="250"/>
      <c r="P47" s="12"/>
      <c r="Q47" s="15"/>
      <c r="R47" s="15"/>
      <c r="S47" s="15"/>
      <c r="T47" s="13"/>
      <c r="U47" s="13"/>
      <c r="V47" s="13"/>
      <c r="W47" s="13"/>
      <c r="X47" s="1"/>
    </row>
    <row r="48" spans="1:24" s="3" customFormat="1" x14ac:dyDescent="0.25">
      <c r="A48" s="191">
        <v>45295</v>
      </c>
      <c r="B48" s="192"/>
      <c r="C48" s="193"/>
      <c r="D48" s="243"/>
      <c r="E48" s="243"/>
      <c r="F48" s="244"/>
      <c r="G48" s="245"/>
      <c r="H48" s="246"/>
      <c r="I48" s="247"/>
      <c r="J48" s="100"/>
      <c r="K48" s="248"/>
      <c r="L48" s="248"/>
      <c r="M48" s="249">
        <f t="shared" si="1"/>
        <v>0</v>
      </c>
      <c r="N48" s="250"/>
      <c r="P48" s="12"/>
      <c r="Q48" s="15"/>
      <c r="R48" s="15"/>
      <c r="S48" s="15"/>
      <c r="T48" s="13"/>
      <c r="U48" s="13"/>
      <c r="V48" s="13"/>
      <c r="W48" s="13"/>
      <c r="X48" s="1"/>
    </row>
    <row r="49" spans="1:25" s="3" customFormat="1" x14ac:dyDescent="0.25">
      <c r="A49" s="191">
        <v>45296</v>
      </c>
      <c r="B49" s="192"/>
      <c r="C49" s="193"/>
      <c r="D49" s="243"/>
      <c r="E49" s="243"/>
      <c r="F49" s="244"/>
      <c r="G49" s="245"/>
      <c r="H49" s="246"/>
      <c r="I49" s="247"/>
      <c r="J49" s="100"/>
      <c r="K49" s="248"/>
      <c r="L49" s="248"/>
      <c r="M49" s="249">
        <f t="shared" si="1"/>
        <v>0</v>
      </c>
      <c r="N49" s="250"/>
      <c r="P49" s="12"/>
      <c r="Q49" s="15"/>
      <c r="R49" s="15"/>
      <c r="S49" s="15"/>
      <c r="T49" s="13"/>
      <c r="U49" s="13"/>
      <c r="V49" s="13"/>
      <c r="W49" s="13"/>
      <c r="X49" s="1"/>
    </row>
    <row r="50" spans="1:25" s="3" customFormat="1" x14ac:dyDescent="0.25">
      <c r="A50" s="191">
        <v>45297</v>
      </c>
      <c r="B50" s="192"/>
      <c r="C50" s="193"/>
      <c r="D50" s="243"/>
      <c r="E50" s="243"/>
      <c r="F50" s="244"/>
      <c r="G50" s="245"/>
      <c r="H50" s="246"/>
      <c r="I50" s="247"/>
      <c r="J50" s="100"/>
      <c r="K50" s="248"/>
      <c r="L50" s="248"/>
      <c r="M50" s="249">
        <f t="shared" si="1"/>
        <v>0</v>
      </c>
      <c r="N50" s="250"/>
      <c r="P50" s="12"/>
      <c r="Q50" s="15"/>
      <c r="R50" s="15"/>
      <c r="S50" s="15"/>
      <c r="T50" s="13"/>
      <c r="U50" s="13"/>
      <c r="V50" s="13"/>
      <c r="W50" s="13"/>
      <c r="X50" s="1"/>
    </row>
    <row r="51" spans="1:25" s="3" customFormat="1" x14ac:dyDescent="0.25">
      <c r="A51" s="191">
        <v>45298</v>
      </c>
      <c r="B51" s="192"/>
      <c r="C51" s="193"/>
      <c r="D51" s="243"/>
      <c r="E51" s="243"/>
      <c r="F51" s="244"/>
      <c r="G51" s="245"/>
      <c r="H51" s="246"/>
      <c r="I51" s="247"/>
      <c r="J51" s="100"/>
      <c r="K51" s="248"/>
      <c r="L51" s="248"/>
      <c r="M51" s="249">
        <f t="shared" si="1"/>
        <v>0</v>
      </c>
      <c r="N51" s="250"/>
      <c r="P51" s="12"/>
      <c r="Q51" s="15"/>
      <c r="R51" s="15"/>
      <c r="S51" s="15"/>
      <c r="T51" s="13"/>
      <c r="U51" s="13"/>
      <c r="V51" s="13"/>
      <c r="W51" s="13"/>
      <c r="X51" s="1"/>
    </row>
    <row r="52" spans="1:25" s="3" customFormat="1" ht="15.75" x14ac:dyDescent="0.25">
      <c r="A52" s="231" t="s">
        <v>21</v>
      </c>
      <c r="B52" s="232"/>
      <c r="C52" s="233"/>
      <c r="D52" s="278">
        <f>+COUNTA(D17:E51)</f>
        <v>0</v>
      </c>
      <c r="E52" s="279"/>
      <c r="F52" s="280">
        <f>+COUNTA(F17:G51)</f>
        <v>0</v>
      </c>
      <c r="G52" s="281"/>
      <c r="H52" s="282">
        <f>SUM(H17:I51)</f>
        <v>0</v>
      </c>
      <c r="I52" s="282"/>
      <c r="J52" s="107"/>
      <c r="K52" s="283"/>
      <c r="L52" s="283"/>
      <c r="M52" s="284">
        <f>+SUM(M17:O51)</f>
        <v>0</v>
      </c>
      <c r="N52" s="285"/>
      <c r="P52" s="12"/>
      <c r="Q52" s="12"/>
      <c r="R52" s="12"/>
      <c r="S52" s="12"/>
      <c r="T52" s="13"/>
      <c r="U52" s="13"/>
      <c r="V52" s="13"/>
      <c r="W52" s="13"/>
      <c r="X52" s="1"/>
    </row>
    <row r="53" spans="1:25" s="3" customFormat="1" x14ac:dyDescent="0.25">
      <c r="A53" s="12"/>
      <c r="B53" s="12"/>
      <c r="C53" s="12"/>
      <c r="D53" s="272" t="s">
        <v>65</v>
      </c>
      <c r="E53" s="273"/>
      <c r="F53" s="274" t="s">
        <v>24</v>
      </c>
      <c r="G53" s="274"/>
      <c r="H53" s="275" t="s">
        <v>62</v>
      </c>
      <c r="I53" s="275"/>
      <c r="K53" s="12"/>
      <c r="L53" s="12"/>
      <c r="M53" s="276" t="s">
        <v>66</v>
      </c>
      <c r="N53" s="277"/>
      <c r="O53" s="12"/>
      <c r="P53" s="12"/>
      <c r="Q53" s="12"/>
      <c r="R53" s="12"/>
      <c r="S53" s="12"/>
      <c r="T53" s="13"/>
      <c r="U53" s="13"/>
      <c r="V53" s="13"/>
      <c r="W53" s="13"/>
      <c r="X53" s="1"/>
    </row>
    <row r="54" spans="1:25" s="3" customFormat="1" x14ac:dyDescent="0.25">
      <c r="K54" s="12"/>
      <c r="L54" s="12"/>
      <c r="M54" s="12"/>
      <c r="N54" s="12"/>
      <c r="O54" s="12"/>
      <c r="P54" s="12"/>
      <c r="U54" s="1"/>
      <c r="V54" s="1"/>
      <c r="W54" s="1"/>
      <c r="X54" s="1"/>
      <c r="Y54" s="1"/>
    </row>
    <row r="55" spans="1:25" s="3" customFormat="1" x14ac:dyDescent="0.25">
      <c r="A55" s="28" t="s">
        <v>23</v>
      </c>
      <c r="J55" s="28" t="s">
        <v>27</v>
      </c>
      <c r="N55" s="39"/>
      <c r="P55" s="12"/>
      <c r="U55" s="1"/>
      <c r="V55" s="1"/>
      <c r="W55" s="1"/>
      <c r="X55" s="1"/>
      <c r="Y55" s="1"/>
    </row>
    <row r="56" spans="1:25" s="3" customFormat="1" x14ac:dyDescent="0.25">
      <c r="J56" s="28" t="s">
        <v>31</v>
      </c>
      <c r="N56" s="39"/>
      <c r="P56" s="12"/>
      <c r="U56" s="1"/>
      <c r="V56" s="1"/>
      <c r="W56" s="1"/>
      <c r="X56" s="1"/>
      <c r="Y56" s="1"/>
    </row>
    <row r="57" spans="1:25" s="3" customFormat="1" x14ac:dyDescent="0.25">
      <c r="A57" s="29" t="s">
        <v>20</v>
      </c>
      <c r="B57" s="30"/>
      <c r="C57" s="29"/>
      <c r="D57" s="29"/>
      <c r="E57" s="16"/>
      <c r="H57" s="18"/>
      <c r="P57" s="12"/>
      <c r="U57" s="1"/>
      <c r="V57" s="1"/>
      <c r="W57" s="1"/>
      <c r="X57" s="1"/>
      <c r="Y57" s="1"/>
    </row>
    <row r="58" spans="1:25" s="3" customFormat="1" x14ac:dyDescent="0.25">
      <c r="A58" s="29" t="s">
        <v>7</v>
      </c>
      <c r="B58" s="30"/>
      <c r="C58" s="31">
        <f ca="1">TODAY()</f>
        <v>45320</v>
      </c>
      <c r="D58" s="29"/>
      <c r="E58" s="16"/>
      <c r="J58" s="28" t="s">
        <v>22</v>
      </c>
      <c r="P58" s="12"/>
      <c r="U58" s="1"/>
      <c r="V58" s="1"/>
      <c r="W58" s="1"/>
      <c r="X58" s="1"/>
      <c r="Y58" s="1"/>
    </row>
    <row r="59" spans="1:25" s="3" customFormat="1" x14ac:dyDescent="0.25">
      <c r="A59" s="28"/>
      <c r="B59" s="240" t="s">
        <v>47</v>
      </c>
      <c r="C59" s="240"/>
      <c r="D59" s="240"/>
      <c r="E59" s="240"/>
      <c r="F59" s="240"/>
      <c r="J59" s="240" t="s">
        <v>48</v>
      </c>
      <c r="K59" s="240"/>
      <c r="L59" s="240"/>
      <c r="M59" s="240"/>
      <c r="N59" s="240"/>
      <c r="U59" s="1"/>
      <c r="V59" s="1"/>
      <c r="W59" s="1"/>
      <c r="X59" s="1"/>
      <c r="Y59" s="1"/>
    </row>
    <row r="60" spans="1:25" s="3" customFormat="1" x14ac:dyDescent="0.25">
      <c r="B60" s="240"/>
      <c r="C60" s="240"/>
      <c r="D60" s="240"/>
      <c r="E60" s="240"/>
      <c r="F60" s="240"/>
      <c r="J60" s="240"/>
      <c r="K60" s="240"/>
      <c r="L60" s="240"/>
      <c r="M60" s="240"/>
      <c r="N60" s="240"/>
      <c r="U60" s="1"/>
      <c r="V60" s="1"/>
      <c r="W60" s="1"/>
      <c r="X60" s="1"/>
      <c r="Y60" s="1"/>
    </row>
    <row r="61" spans="1:25" s="3" customFormat="1" x14ac:dyDescent="0.25">
      <c r="B61" s="240"/>
      <c r="C61" s="240"/>
      <c r="D61" s="240"/>
      <c r="E61" s="240"/>
      <c r="F61" s="240"/>
      <c r="J61" s="240"/>
      <c r="K61" s="240"/>
      <c r="L61" s="240"/>
      <c r="M61" s="240"/>
      <c r="N61" s="240"/>
      <c r="U61" s="1"/>
      <c r="V61" s="1"/>
      <c r="W61" s="1"/>
      <c r="X61" s="1"/>
      <c r="Y61" s="1"/>
    </row>
    <row r="62" spans="1:25" s="3" customFormat="1" x14ac:dyDescent="0.25">
      <c r="B62" s="240"/>
      <c r="C62" s="240"/>
      <c r="D62" s="240"/>
      <c r="E62" s="240"/>
      <c r="F62" s="240"/>
      <c r="J62" s="240"/>
      <c r="K62" s="240"/>
      <c r="L62" s="240"/>
      <c r="M62" s="240"/>
      <c r="N62" s="240"/>
      <c r="U62" s="1"/>
      <c r="V62" s="1"/>
      <c r="W62" s="1"/>
      <c r="X62" s="1"/>
      <c r="Y62" s="1"/>
    </row>
    <row r="63" spans="1:25" s="3" customFormat="1" x14ac:dyDescent="0.25">
      <c r="B63" s="240"/>
      <c r="C63" s="240"/>
      <c r="D63" s="240"/>
      <c r="E63" s="240"/>
      <c r="F63" s="240"/>
      <c r="J63" s="240"/>
      <c r="K63" s="240"/>
      <c r="L63" s="240"/>
      <c r="M63" s="240"/>
      <c r="N63" s="240"/>
      <c r="U63" s="1"/>
      <c r="V63" s="1"/>
      <c r="W63" s="1"/>
      <c r="X63" s="1"/>
      <c r="Y63" s="1"/>
    </row>
    <row r="64" spans="1:25" s="3" customFormat="1" x14ac:dyDescent="0.25">
      <c r="B64" s="240"/>
      <c r="C64" s="240"/>
      <c r="D64" s="240"/>
      <c r="E64" s="240"/>
      <c r="F64" s="240"/>
      <c r="J64" s="240"/>
      <c r="K64" s="240"/>
      <c r="L64" s="240"/>
      <c r="M64" s="240"/>
      <c r="N64" s="240"/>
      <c r="U64" s="1"/>
      <c r="V64" s="1"/>
      <c r="W64" s="1"/>
      <c r="X64" s="1"/>
      <c r="Y64" s="1"/>
    </row>
    <row r="65" spans="1:25" s="3" customFormat="1" x14ac:dyDescent="0.25">
      <c r="A65" s="3" t="s">
        <v>46</v>
      </c>
      <c r="B65" s="23"/>
      <c r="J65" s="3" t="s">
        <v>39</v>
      </c>
      <c r="U65" s="1"/>
      <c r="V65" s="1"/>
      <c r="W65" s="1"/>
      <c r="X65" s="1"/>
      <c r="Y65" s="1"/>
    </row>
    <row r="66" spans="1:25" s="3" customFormat="1" x14ac:dyDescent="0.25">
      <c r="B66" s="23"/>
      <c r="U66" s="1"/>
      <c r="V66" s="1"/>
      <c r="W66" s="1"/>
      <c r="X66" s="1"/>
      <c r="Y66" s="1"/>
    </row>
    <row r="67" spans="1:25" s="3" customFormat="1" x14ac:dyDescent="0.25">
      <c r="B67" s="23"/>
      <c r="U67" s="1"/>
      <c r="V67" s="1"/>
      <c r="W67" s="1"/>
      <c r="X67" s="1"/>
      <c r="Y67" s="1"/>
    </row>
    <row r="68" spans="1:25" s="3" customFormat="1" x14ac:dyDescent="0.25">
      <c r="A68" s="29"/>
      <c r="B68" s="23"/>
      <c r="D68" s="29"/>
      <c r="U68" s="1"/>
      <c r="V68" s="1"/>
      <c r="W68" s="1"/>
      <c r="X68" s="1"/>
      <c r="Y68" s="1"/>
    </row>
    <row r="69" spans="1:25" s="3" customFormat="1" x14ac:dyDescent="0.25">
      <c r="U69" s="1"/>
      <c r="V69" s="1"/>
      <c r="W69" s="1"/>
      <c r="X69" s="1"/>
      <c r="Y69" s="1"/>
    </row>
    <row r="70" spans="1:25" s="3" customFormat="1" x14ac:dyDescent="0.25">
      <c r="B70" s="23"/>
      <c r="U70" s="1"/>
      <c r="V70" s="1"/>
      <c r="W70" s="1"/>
      <c r="X70" s="1"/>
      <c r="Y70" s="1"/>
    </row>
    <row r="71" spans="1:25" s="3" customFormat="1" x14ac:dyDescent="0.25">
      <c r="B71" s="23"/>
      <c r="U71" s="1"/>
      <c r="V71" s="1"/>
      <c r="W71" s="1"/>
      <c r="X71" s="1"/>
      <c r="Y71" s="1"/>
    </row>
    <row r="72" spans="1:25" s="3" customFormat="1" x14ac:dyDescent="0.25">
      <c r="B72" s="23"/>
      <c r="U72" s="1"/>
      <c r="V72" s="1"/>
      <c r="W72" s="1"/>
      <c r="X72" s="1"/>
      <c r="Y72" s="1"/>
    </row>
    <row r="73" spans="1:25" s="3" customFormat="1" x14ac:dyDescent="0.25">
      <c r="B73" s="23"/>
      <c r="U73" s="1"/>
      <c r="V73" s="1"/>
      <c r="W73" s="1"/>
      <c r="X73" s="1"/>
      <c r="Y73" s="1"/>
    </row>
    <row r="74" spans="1:25" s="3" customFormat="1" x14ac:dyDescent="0.25">
      <c r="B74" s="23"/>
      <c r="U74" s="1"/>
      <c r="V74" s="1"/>
      <c r="W74" s="1"/>
      <c r="X74" s="1"/>
      <c r="Y74" s="1"/>
    </row>
    <row r="75" spans="1:25" s="3" customFormat="1" x14ac:dyDescent="0.25">
      <c r="B75" s="23"/>
      <c r="U75" s="1"/>
      <c r="V75" s="1"/>
      <c r="W75" s="1"/>
      <c r="X75" s="1"/>
      <c r="Y75" s="1"/>
    </row>
    <row r="76" spans="1:25" s="3" customFormat="1" x14ac:dyDescent="0.25">
      <c r="B76" s="23"/>
      <c r="U76" s="1"/>
      <c r="V76" s="1"/>
      <c r="W76" s="1"/>
      <c r="X76" s="1"/>
      <c r="Y76" s="1"/>
    </row>
    <row r="77" spans="1:25" s="3" customFormat="1" x14ac:dyDescent="0.25">
      <c r="B77" s="23"/>
      <c r="U77" s="1"/>
      <c r="V77" s="1"/>
      <c r="W77" s="1"/>
      <c r="X77" s="1"/>
      <c r="Y77" s="1"/>
    </row>
    <row r="78" spans="1:25" s="3" customFormat="1" x14ac:dyDescent="0.25">
      <c r="B78" s="23"/>
      <c r="U78" s="1"/>
      <c r="V78" s="1"/>
      <c r="W78" s="1"/>
      <c r="X78" s="1"/>
      <c r="Y78" s="1"/>
    </row>
    <row r="79" spans="1:25" s="3" customFormat="1" x14ac:dyDescent="0.25">
      <c r="B79" s="23"/>
      <c r="U79" s="1"/>
      <c r="V79" s="1"/>
      <c r="W79" s="1"/>
      <c r="X79" s="1"/>
      <c r="Y79" s="1"/>
    </row>
    <row r="80" spans="1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2:25" s="3" customFormat="1" x14ac:dyDescent="0.25">
      <c r="B225" s="23"/>
      <c r="U225" s="1"/>
      <c r="V225" s="1"/>
      <c r="W225" s="1"/>
      <c r="X225" s="1"/>
      <c r="Y225" s="1"/>
    </row>
    <row r="226" spans="2:25" s="3" customFormat="1" x14ac:dyDescent="0.25">
      <c r="B226" s="23"/>
      <c r="U226" s="1"/>
      <c r="V226" s="1"/>
      <c r="W226" s="1"/>
      <c r="X226" s="1"/>
      <c r="Y226" s="1"/>
    </row>
    <row r="227" spans="2:25" s="3" customFormat="1" x14ac:dyDescent="0.25">
      <c r="B227" s="23"/>
      <c r="U227" s="1"/>
      <c r="V227" s="1"/>
      <c r="W227" s="1"/>
      <c r="X227" s="1"/>
      <c r="Y227" s="1"/>
    </row>
    <row r="228" spans="2:25" s="3" customFormat="1" x14ac:dyDescent="0.25">
      <c r="B228" s="23"/>
      <c r="U228" s="1"/>
      <c r="V228" s="1"/>
      <c r="W228" s="1"/>
      <c r="X228" s="1"/>
      <c r="Y228" s="1"/>
    </row>
    <row r="229" spans="2:25" s="3" customFormat="1" x14ac:dyDescent="0.25">
      <c r="B229" s="23"/>
      <c r="U229" s="1"/>
      <c r="V229" s="1"/>
      <c r="W229" s="1"/>
      <c r="X229" s="1"/>
      <c r="Y229" s="1"/>
    </row>
    <row r="230" spans="2:25" s="3" customFormat="1" x14ac:dyDescent="0.25">
      <c r="B230" s="23"/>
      <c r="U230" s="1"/>
      <c r="V230" s="1"/>
      <c r="W230" s="1"/>
      <c r="X230" s="1"/>
      <c r="Y230" s="1"/>
    </row>
    <row r="231" spans="2:25" s="3" customFormat="1" x14ac:dyDescent="0.25">
      <c r="B231" s="23"/>
      <c r="U231" s="1"/>
      <c r="V231" s="1"/>
      <c r="W231" s="1"/>
      <c r="X231" s="1"/>
      <c r="Y231" s="1"/>
    </row>
    <row r="232" spans="2:25" s="3" customFormat="1" x14ac:dyDescent="0.25">
      <c r="B232" s="23"/>
      <c r="U232" s="1"/>
      <c r="V232" s="1"/>
      <c r="W232" s="1"/>
      <c r="X232" s="1"/>
      <c r="Y232" s="1"/>
    </row>
    <row r="233" spans="2:25" s="3" customFormat="1" x14ac:dyDescent="0.25">
      <c r="B233" s="23"/>
      <c r="U233" s="1"/>
      <c r="V233" s="1"/>
      <c r="W233" s="1"/>
      <c r="X233" s="1"/>
      <c r="Y233" s="1"/>
    </row>
    <row r="234" spans="2:25" s="3" customFormat="1" x14ac:dyDescent="0.25">
      <c r="B234" s="23"/>
      <c r="U234" s="1"/>
      <c r="V234" s="1"/>
      <c r="W234" s="1"/>
      <c r="X234" s="1"/>
      <c r="Y234" s="1"/>
    </row>
    <row r="235" spans="2:25" s="3" customFormat="1" x14ac:dyDescent="0.25">
      <c r="B235" s="23"/>
      <c r="U235" s="1"/>
      <c r="V235" s="1"/>
      <c r="W235" s="1"/>
      <c r="X235" s="1"/>
      <c r="Y235" s="1"/>
    </row>
    <row r="236" spans="2:25" s="3" customFormat="1" x14ac:dyDescent="0.25">
      <c r="B236" s="23"/>
      <c r="U236" s="1"/>
      <c r="V236" s="1"/>
      <c r="W236" s="1"/>
      <c r="X236" s="1"/>
      <c r="Y236" s="1"/>
    </row>
    <row r="237" spans="2:25" s="3" customFormat="1" x14ac:dyDescent="0.25">
      <c r="B237" s="23"/>
      <c r="U237" s="1"/>
      <c r="V237" s="1"/>
      <c r="W237" s="1"/>
      <c r="X237" s="1"/>
      <c r="Y237" s="1"/>
    </row>
    <row r="238" spans="2:25" s="3" customFormat="1" x14ac:dyDescent="0.25">
      <c r="B238" s="23"/>
      <c r="U238" s="1"/>
      <c r="V238" s="1"/>
      <c r="W238" s="1"/>
      <c r="X238" s="1"/>
      <c r="Y238" s="1"/>
    </row>
    <row r="239" spans="2:25" s="3" customFormat="1" x14ac:dyDescent="0.25">
      <c r="B239" s="23"/>
      <c r="U239" s="1"/>
      <c r="V239" s="1"/>
      <c r="W239" s="1"/>
      <c r="X239" s="1"/>
      <c r="Y239" s="1"/>
    </row>
    <row r="240" spans="2:25" s="3" customFormat="1" x14ac:dyDescent="0.25">
      <c r="B240" s="23"/>
      <c r="U240" s="1"/>
      <c r="V240" s="1"/>
      <c r="W240" s="1"/>
      <c r="X240" s="1"/>
      <c r="Y240" s="1"/>
    </row>
    <row r="241" spans="1:25" s="3" customFormat="1" x14ac:dyDescent="0.25">
      <c r="B241" s="23"/>
      <c r="U241" s="1"/>
      <c r="V241" s="1"/>
      <c r="W241" s="1"/>
      <c r="X241" s="1"/>
      <c r="Y241" s="1"/>
    </row>
    <row r="242" spans="1:25" s="3" customFormat="1" x14ac:dyDescent="0.25">
      <c r="B242" s="23"/>
      <c r="K242" s="6"/>
      <c r="L242" s="6"/>
      <c r="M242" s="6"/>
      <c r="N242" s="6"/>
      <c r="U242" s="1"/>
      <c r="V242" s="1"/>
      <c r="W242" s="1"/>
      <c r="X242" s="1"/>
      <c r="Y242" s="1"/>
    </row>
    <row r="243" spans="1:25" s="3" customFormat="1" x14ac:dyDescent="0.25">
      <c r="B243" s="23"/>
      <c r="K243" s="6"/>
      <c r="L243" s="6"/>
      <c r="M243" s="6"/>
      <c r="N243" s="6"/>
      <c r="U243" s="1"/>
      <c r="V243" s="1"/>
      <c r="W243" s="1"/>
      <c r="X243" s="1"/>
      <c r="Y243" s="1"/>
    </row>
    <row r="244" spans="1:25" s="3" customFormat="1" x14ac:dyDescent="0.25">
      <c r="B244" s="23"/>
      <c r="K244" s="6"/>
      <c r="L244" s="6"/>
      <c r="M244" s="6"/>
      <c r="N244" s="6"/>
      <c r="U244" s="1"/>
      <c r="V244" s="1"/>
      <c r="W244" s="1"/>
      <c r="X244" s="1"/>
      <c r="Y244" s="1"/>
    </row>
    <row r="245" spans="1:25" s="3" customFormat="1" x14ac:dyDescent="0.25">
      <c r="B245" s="23"/>
      <c r="J245" s="6"/>
      <c r="K245" s="6"/>
      <c r="L245" s="6"/>
      <c r="M245" s="6"/>
      <c r="N245" s="6"/>
      <c r="U245" s="1"/>
      <c r="V245" s="1"/>
      <c r="W245" s="1"/>
      <c r="X245" s="1"/>
      <c r="Y245" s="1"/>
    </row>
    <row r="246" spans="1:25" s="3" customFormat="1" x14ac:dyDescent="0.25">
      <c r="B246" s="23"/>
      <c r="J246" s="6"/>
      <c r="K246" s="6"/>
      <c r="L246" s="6"/>
      <c r="M246" s="6"/>
      <c r="N246" s="6"/>
      <c r="U246" s="1"/>
      <c r="V246" s="1"/>
      <c r="W246" s="1"/>
      <c r="X246" s="1"/>
      <c r="Y246" s="1"/>
    </row>
    <row r="247" spans="1:25" s="3" customFormat="1" x14ac:dyDescent="0.25">
      <c r="B247" s="23"/>
      <c r="J247" s="6"/>
      <c r="K247" s="6"/>
      <c r="L247" s="6"/>
      <c r="M247" s="6"/>
      <c r="N247" s="6"/>
      <c r="U247" s="1"/>
      <c r="V247" s="1"/>
      <c r="W247" s="1"/>
      <c r="X247" s="1"/>
      <c r="Y247" s="1"/>
    </row>
    <row r="248" spans="1:25" s="3" customFormat="1" x14ac:dyDescent="0.25">
      <c r="B248" s="23"/>
      <c r="J248" s="6"/>
      <c r="K248" s="6"/>
      <c r="L248" s="6"/>
      <c r="M248" s="6"/>
      <c r="N248" s="6"/>
      <c r="U248" s="1"/>
      <c r="V248" s="1"/>
      <c r="W248" s="1"/>
      <c r="X248" s="1"/>
      <c r="Y248" s="1"/>
    </row>
    <row r="249" spans="1:25" s="3" customFormat="1" x14ac:dyDescent="0.25">
      <c r="B249" s="23"/>
      <c r="J249" s="6"/>
      <c r="K249" s="6"/>
      <c r="L249" s="6"/>
      <c r="M249" s="6"/>
      <c r="N249" s="6"/>
      <c r="O249" s="6"/>
      <c r="U249" s="1"/>
      <c r="V249" s="1"/>
      <c r="W249" s="1"/>
      <c r="X249" s="1"/>
      <c r="Y249" s="1"/>
    </row>
    <row r="250" spans="1:25" s="3" customFormat="1" x14ac:dyDescent="0.25">
      <c r="B250" s="23"/>
      <c r="J250" s="6"/>
      <c r="K250" s="6"/>
      <c r="L250" s="6"/>
      <c r="M250" s="6"/>
      <c r="N250" s="6"/>
      <c r="O250" s="6"/>
      <c r="U250" s="1"/>
      <c r="V250" s="1"/>
      <c r="W250" s="1"/>
      <c r="X250" s="1"/>
      <c r="Y250" s="1"/>
    </row>
    <row r="251" spans="1:25" s="3" customFormat="1" x14ac:dyDescent="0.25">
      <c r="A251" s="6"/>
      <c r="B251" s="25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Q251" s="6"/>
      <c r="R251" s="6"/>
      <c r="S251" s="6"/>
      <c r="U251" s="1"/>
      <c r="V251" s="1"/>
      <c r="W251" s="1"/>
      <c r="X251" s="1"/>
      <c r="Y251" s="1"/>
    </row>
  </sheetData>
  <sheetProtection sheet="1" objects="1" scenarios="1"/>
  <mergeCells count="228">
    <mergeCell ref="M31:N31"/>
    <mergeCell ref="M32:N32"/>
    <mergeCell ref="M33:N33"/>
    <mergeCell ref="M34:N34"/>
    <mergeCell ref="M35:N35"/>
    <mergeCell ref="M36:N36"/>
    <mergeCell ref="M37:N37"/>
    <mergeCell ref="B59:F64"/>
    <mergeCell ref="J59:N64"/>
    <mergeCell ref="A52:C52"/>
    <mergeCell ref="D52:E52"/>
    <mergeCell ref="F52:G52"/>
    <mergeCell ref="H52:I52"/>
    <mergeCell ref="K52:L52"/>
    <mergeCell ref="M52:N52"/>
    <mergeCell ref="D47:E47"/>
    <mergeCell ref="F47:G47"/>
    <mergeCell ref="H47:I47"/>
    <mergeCell ref="K47:L47"/>
    <mergeCell ref="M47:N47"/>
    <mergeCell ref="D48:E48"/>
    <mergeCell ref="F48:G48"/>
    <mergeCell ref="H48:I48"/>
    <mergeCell ref="K48:L48"/>
    <mergeCell ref="M48:N48"/>
    <mergeCell ref="D49:E49"/>
    <mergeCell ref="F49:G49"/>
    <mergeCell ref="H49:I49"/>
    <mergeCell ref="D46:E46"/>
    <mergeCell ref="F46:G46"/>
    <mergeCell ref="H46:I46"/>
    <mergeCell ref="K46:L46"/>
    <mergeCell ref="M46:N46"/>
    <mergeCell ref="D53:E53"/>
    <mergeCell ref="F53:G53"/>
    <mergeCell ref="H53:I53"/>
    <mergeCell ref="M53:N53"/>
    <mergeCell ref="K49:L49"/>
    <mergeCell ref="M49:N49"/>
    <mergeCell ref="D50:E50"/>
    <mergeCell ref="F50:G50"/>
    <mergeCell ref="H50:I50"/>
    <mergeCell ref="K50:L50"/>
    <mergeCell ref="M50:N50"/>
    <mergeCell ref="D51:E51"/>
    <mergeCell ref="F51:G51"/>
    <mergeCell ref="H51:I51"/>
    <mergeCell ref="K51:L51"/>
    <mergeCell ref="M51:N51"/>
    <mergeCell ref="A42:C42"/>
    <mergeCell ref="A43:C43"/>
    <mergeCell ref="D45:E45"/>
    <mergeCell ref="F45:G45"/>
    <mergeCell ref="H45:I45"/>
    <mergeCell ref="K45:L45"/>
    <mergeCell ref="M45:N45"/>
    <mergeCell ref="D44:E44"/>
    <mergeCell ref="F44:G44"/>
    <mergeCell ref="H44:I44"/>
    <mergeCell ref="K44:L44"/>
    <mergeCell ref="M44:N44"/>
    <mergeCell ref="A44:C44"/>
    <mergeCell ref="A45:C45"/>
    <mergeCell ref="D43:E43"/>
    <mergeCell ref="F43:G43"/>
    <mergeCell ref="H43:I43"/>
    <mergeCell ref="K43:L43"/>
    <mergeCell ref="M43:N43"/>
    <mergeCell ref="D42:E42"/>
    <mergeCell ref="F42:G42"/>
    <mergeCell ref="H42:I42"/>
    <mergeCell ref="K42:L42"/>
    <mergeCell ref="M42:N42"/>
    <mergeCell ref="A37:C37"/>
    <mergeCell ref="A38:C38"/>
    <mergeCell ref="A39:C39"/>
    <mergeCell ref="D41:E41"/>
    <mergeCell ref="F41:G41"/>
    <mergeCell ref="H41:I41"/>
    <mergeCell ref="K41:L41"/>
    <mergeCell ref="M41:N41"/>
    <mergeCell ref="D40:E40"/>
    <mergeCell ref="F40:G40"/>
    <mergeCell ref="H40:I40"/>
    <mergeCell ref="K40:L40"/>
    <mergeCell ref="M40:N40"/>
    <mergeCell ref="A40:C40"/>
    <mergeCell ref="A41:C41"/>
    <mergeCell ref="M38:N38"/>
    <mergeCell ref="D39:E39"/>
    <mergeCell ref="F39:G39"/>
    <mergeCell ref="H39:I39"/>
    <mergeCell ref="K39:L39"/>
    <mergeCell ref="M39:N39"/>
    <mergeCell ref="D37:E37"/>
    <mergeCell ref="K37:L37"/>
    <mergeCell ref="D38:E38"/>
    <mergeCell ref="F38:G38"/>
    <mergeCell ref="H38:I38"/>
    <mergeCell ref="K38:L38"/>
    <mergeCell ref="D35:E35"/>
    <mergeCell ref="K35:L35"/>
    <mergeCell ref="D36:E36"/>
    <mergeCell ref="K36:L36"/>
    <mergeCell ref="D33:E33"/>
    <mergeCell ref="K33:L33"/>
    <mergeCell ref="D34:E34"/>
    <mergeCell ref="K34:L34"/>
    <mergeCell ref="A33:C33"/>
    <mergeCell ref="A34:C34"/>
    <mergeCell ref="A35:C35"/>
    <mergeCell ref="A36:C36"/>
    <mergeCell ref="A28:C28"/>
    <mergeCell ref="A29:C29"/>
    <mergeCell ref="A30:C30"/>
    <mergeCell ref="D31:E31"/>
    <mergeCell ref="K31:L31"/>
    <mergeCell ref="D32:E32"/>
    <mergeCell ref="K32:L32"/>
    <mergeCell ref="D30:E30"/>
    <mergeCell ref="F30:G30"/>
    <mergeCell ref="H30:I30"/>
    <mergeCell ref="K30:L30"/>
    <mergeCell ref="A31:C31"/>
    <mergeCell ref="A32:C32"/>
    <mergeCell ref="M30:N30"/>
    <mergeCell ref="D29:E29"/>
    <mergeCell ref="F29:G29"/>
    <mergeCell ref="H29:I29"/>
    <mergeCell ref="K29:L29"/>
    <mergeCell ref="M29:N29"/>
    <mergeCell ref="D28:E28"/>
    <mergeCell ref="F28:G28"/>
    <mergeCell ref="H28:I28"/>
    <mergeCell ref="K28:L28"/>
    <mergeCell ref="M28:N28"/>
    <mergeCell ref="A24:C24"/>
    <mergeCell ref="A25:C25"/>
    <mergeCell ref="D27:E27"/>
    <mergeCell ref="F27:G27"/>
    <mergeCell ref="H27:I27"/>
    <mergeCell ref="K27:L27"/>
    <mergeCell ref="M27:N27"/>
    <mergeCell ref="D26:E26"/>
    <mergeCell ref="F26:G26"/>
    <mergeCell ref="H26:I26"/>
    <mergeCell ref="K26:L26"/>
    <mergeCell ref="M26:N26"/>
    <mergeCell ref="A26:C26"/>
    <mergeCell ref="A27:C27"/>
    <mergeCell ref="D25:E25"/>
    <mergeCell ref="F25:G25"/>
    <mergeCell ref="H25:I25"/>
    <mergeCell ref="K25:L25"/>
    <mergeCell ref="M25:N25"/>
    <mergeCell ref="D24:E24"/>
    <mergeCell ref="F24:G24"/>
    <mergeCell ref="H24:I24"/>
    <mergeCell ref="K24:L24"/>
    <mergeCell ref="M24:N24"/>
    <mergeCell ref="A20:C20"/>
    <mergeCell ref="A21:C21"/>
    <mergeCell ref="D23:E23"/>
    <mergeCell ref="F23:G23"/>
    <mergeCell ref="H23:I23"/>
    <mergeCell ref="K23:L23"/>
    <mergeCell ref="M23:N23"/>
    <mergeCell ref="D22:E22"/>
    <mergeCell ref="F22:G22"/>
    <mergeCell ref="H22:I22"/>
    <mergeCell ref="K22:L22"/>
    <mergeCell ref="M22:N22"/>
    <mergeCell ref="A22:C22"/>
    <mergeCell ref="A23:C23"/>
    <mergeCell ref="D21:E21"/>
    <mergeCell ref="F21:G21"/>
    <mergeCell ref="H21:I21"/>
    <mergeCell ref="K21:L21"/>
    <mergeCell ref="M21:N21"/>
    <mergeCell ref="D20:E20"/>
    <mergeCell ref="F20:G20"/>
    <mergeCell ref="H20:I20"/>
    <mergeCell ref="K20:L20"/>
    <mergeCell ref="M20:N20"/>
    <mergeCell ref="D2:K4"/>
    <mergeCell ref="L2:N4"/>
    <mergeCell ref="R3:T3"/>
    <mergeCell ref="B5:K5"/>
    <mergeCell ref="L5:N5"/>
    <mergeCell ref="R5:T5"/>
    <mergeCell ref="D17:E17"/>
    <mergeCell ref="F17:G17"/>
    <mergeCell ref="H17:I17"/>
    <mergeCell ref="K17:L17"/>
    <mergeCell ref="M17:N17"/>
    <mergeCell ref="K13:L13"/>
    <mergeCell ref="F15:N15"/>
    <mergeCell ref="A16:C16"/>
    <mergeCell ref="D16:E16"/>
    <mergeCell ref="F16:G16"/>
    <mergeCell ref="H16:I16"/>
    <mergeCell ref="K16:L16"/>
    <mergeCell ref="M16:N16"/>
    <mergeCell ref="A17:C17"/>
    <mergeCell ref="A46:C46"/>
    <mergeCell ref="A47:C47"/>
    <mergeCell ref="A48:C48"/>
    <mergeCell ref="A49:C49"/>
    <mergeCell ref="A50:C50"/>
    <mergeCell ref="A51:C51"/>
    <mergeCell ref="C8:F8"/>
    <mergeCell ref="K8:N8"/>
    <mergeCell ref="C10:F10"/>
    <mergeCell ref="K10:N10"/>
    <mergeCell ref="C12:F12"/>
    <mergeCell ref="K12:L12"/>
    <mergeCell ref="D19:E19"/>
    <mergeCell ref="F19:G19"/>
    <mergeCell ref="H19:I19"/>
    <mergeCell ref="K19:L19"/>
    <mergeCell ref="M19:N19"/>
    <mergeCell ref="D18:E18"/>
    <mergeCell ref="F18:G18"/>
    <mergeCell ref="H18:I18"/>
    <mergeCell ref="K18:L18"/>
    <mergeCell ref="M18:N18"/>
    <mergeCell ref="A18:C18"/>
    <mergeCell ref="A19:C19"/>
  </mergeCells>
  <conditionalFormatting sqref="D17:D46 D52">
    <cfRule type="expression" dxfId="125" priority="3">
      <formula>#REF!="Non"</formula>
    </cfRule>
    <cfRule type="expression" dxfId="124" priority="4">
      <formula>#REF!="Oui"</formula>
    </cfRule>
  </conditionalFormatting>
  <conditionalFormatting sqref="D47:D51">
    <cfRule type="expression" dxfId="123" priority="1">
      <formula>#REF!="Non"</formula>
    </cfRule>
    <cfRule type="expression" dxfId="122" priority="2">
      <formula>#REF!="Oui"</formula>
    </cfRule>
  </conditionalFormatting>
  <pageMargins left="0.31496062992125984" right="0.31496062992125984" top="0.35433070866141736" bottom="0.35433070866141736" header="0.31496062992125984" footer="0.31496062992125984"/>
  <pageSetup paperSize="9" scale="7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BD251"/>
  <sheetViews>
    <sheetView topLeftCell="A13" zoomScale="80" zoomScaleNormal="80" workbookViewId="0">
      <selection activeCell="T39" sqref="T39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1.7109375" style="6" customWidth="1"/>
    <col min="4" max="4" width="8.42578125" style="6" customWidth="1"/>
    <col min="5" max="5" width="6.42578125" style="6" customWidth="1"/>
    <col min="6" max="6" width="5.42578125" style="6" customWidth="1"/>
    <col min="7" max="7" width="8" style="6" customWidth="1"/>
    <col min="8" max="8" width="5.85546875" style="6" customWidth="1"/>
    <col min="9" max="9" width="10" style="6" customWidth="1"/>
    <col min="10" max="10" width="14.42578125" style="6" customWidth="1"/>
    <col min="11" max="12" width="8.140625" style="6" customWidth="1"/>
    <col min="13" max="13" width="8" style="6" customWidth="1"/>
    <col min="14" max="14" width="10.42578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69</v>
      </c>
      <c r="E2" s="195"/>
      <c r="F2" s="195"/>
      <c r="G2" s="195"/>
      <c r="H2" s="195"/>
      <c r="I2" s="195"/>
      <c r="J2" s="195"/>
      <c r="K2" s="195"/>
      <c r="L2" s="251">
        <f>'Niveau 1 Janv'!L2:N4</f>
        <v>45292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4"/>
      <c r="Q3" s="4"/>
      <c r="R3" s="220"/>
      <c r="S3" s="220"/>
      <c r="T3" s="220"/>
      <c r="U3" s="34"/>
      <c r="V3" s="34"/>
      <c r="W3" s="34"/>
      <c r="X3" s="34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4"/>
      <c r="Q4" s="4"/>
      <c r="R4" s="34"/>
      <c r="S4" s="34"/>
      <c r="T4" s="34"/>
      <c r="U4" s="34"/>
      <c r="V4" s="34"/>
      <c r="W4" s="34"/>
      <c r="X4" s="34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f>+'Niveau 2 Janv'!L5:N5</f>
        <v>45300</v>
      </c>
      <c r="M5" s="222"/>
      <c r="N5" s="222"/>
      <c r="O5" s="3"/>
      <c r="P5" s="34"/>
      <c r="Q5" s="5"/>
      <c r="R5" s="220"/>
      <c r="S5" s="220"/>
      <c r="T5" s="220"/>
      <c r="U5" s="34"/>
      <c r="V5" s="34"/>
      <c r="W5" s="34"/>
      <c r="X5" s="34"/>
      <c r="Y5" s="5"/>
    </row>
    <row r="6" spans="1:25" ht="19.5" customHeight="1" x14ac:dyDescent="0.35">
      <c r="A6" s="27"/>
      <c r="B6" s="3" t="s">
        <v>73</v>
      </c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40"/>
      <c r="V6" s="40"/>
      <c r="W6" s="40"/>
      <c r="X6" s="40"/>
      <c r="Y6" s="5"/>
    </row>
    <row r="7" spans="1:25" ht="19.5" customHeight="1" thickBot="1" x14ac:dyDescent="0.4">
      <c r="A7" s="111"/>
      <c r="B7" s="3" t="s">
        <v>74</v>
      </c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40"/>
      <c r="V7" s="40"/>
      <c r="W7" s="40"/>
      <c r="X7" s="40"/>
      <c r="Y7" s="5"/>
    </row>
    <row r="8" spans="1:25" ht="18" customHeight="1" thickBot="1" x14ac:dyDescent="0.3">
      <c r="A8" s="8" t="s">
        <v>2</v>
      </c>
      <c r="B8" s="24"/>
      <c r="C8" s="223"/>
      <c r="D8" s="224"/>
      <c r="E8" s="224"/>
      <c r="F8" s="225"/>
      <c r="G8" s="9"/>
      <c r="H8" s="8" t="s">
        <v>26</v>
      </c>
      <c r="I8" s="8"/>
      <c r="J8" s="8"/>
      <c r="K8" s="223"/>
      <c r="L8" s="224"/>
      <c r="M8" s="224"/>
      <c r="N8" s="225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223"/>
      <c r="D10" s="224"/>
      <c r="E10" s="224"/>
      <c r="F10" s="225"/>
      <c r="G10" s="9"/>
      <c r="H10" s="8" t="s">
        <v>25</v>
      </c>
      <c r="I10" s="8"/>
      <c r="J10" s="8"/>
      <c r="K10" s="223"/>
      <c r="L10" s="224"/>
      <c r="M10" s="224"/>
      <c r="N10" s="225"/>
      <c r="O10" s="26"/>
      <c r="P10" s="26"/>
      <c r="Q10" s="26"/>
      <c r="R10" s="26"/>
      <c r="S10" s="26"/>
      <c r="T10" s="26"/>
      <c r="U10" s="11"/>
    </row>
    <row r="11" spans="1:25" ht="18" customHeight="1" thickBot="1" x14ac:dyDescent="0.35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8" customHeight="1" thickBot="1" x14ac:dyDescent="0.35">
      <c r="A12" s="8" t="s">
        <v>49</v>
      </c>
      <c r="B12" s="24"/>
      <c r="C12" s="223" t="s">
        <v>50</v>
      </c>
      <c r="D12" s="224"/>
      <c r="E12" s="224"/>
      <c r="F12" s="225"/>
      <c r="G12" s="24"/>
      <c r="H12" s="8" t="s">
        <v>52</v>
      </c>
      <c r="I12" s="8"/>
      <c r="J12" s="24"/>
      <c r="K12" s="241"/>
      <c r="L12" s="242"/>
      <c r="M12" s="8" t="s">
        <v>59</v>
      </c>
      <c r="N12" s="24"/>
      <c r="O12" s="26"/>
      <c r="P12" s="26"/>
      <c r="Q12" s="26"/>
      <c r="R12" s="26"/>
      <c r="S12" s="26"/>
      <c r="T12" s="26"/>
      <c r="U12" s="11"/>
    </row>
    <row r="13" spans="1:25" ht="18" customHeight="1" thickBot="1" x14ac:dyDescent="0.35">
      <c r="A13" s="8"/>
      <c r="B13" s="24"/>
      <c r="C13" s="24"/>
      <c r="D13" s="24"/>
      <c r="E13" s="24"/>
      <c r="F13" s="24"/>
      <c r="G13" s="24"/>
      <c r="H13" s="8" t="s">
        <v>51</v>
      </c>
      <c r="I13" s="8"/>
      <c r="J13" s="24"/>
      <c r="K13" s="260"/>
      <c r="L13" s="261"/>
      <c r="M13" s="32" t="s">
        <v>60</v>
      </c>
      <c r="N13" s="24"/>
      <c r="O13" s="26"/>
      <c r="P13" s="26"/>
      <c r="Q13" s="26"/>
      <c r="R13" s="26"/>
      <c r="S13" s="26"/>
      <c r="T13" s="26"/>
      <c r="U13" s="11"/>
    </row>
    <row r="14" spans="1:25" ht="13.5" customHeight="1" thickBot="1" x14ac:dyDescent="0.35">
      <c r="A14" s="8" t="s">
        <v>70</v>
      </c>
      <c r="B14" s="24"/>
      <c r="C14" s="24"/>
      <c r="D14" s="24"/>
      <c r="E14" s="24"/>
      <c r="F14" s="24"/>
      <c r="G14" s="9"/>
      <c r="H14" s="8"/>
      <c r="I14" s="8"/>
      <c r="J14" s="8"/>
      <c r="K14" s="8"/>
      <c r="L14" s="8"/>
      <c r="M14" s="8"/>
      <c r="N14" s="8"/>
      <c r="O14" s="26"/>
      <c r="P14" s="26"/>
      <c r="Q14" s="26"/>
      <c r="R14" s="26"/>
      <c r="S14" s="26"/>
      <c r="T14" s="26"/>
      <c r="U14" s="11"/>
    </row>
    <row r="15" spans="1:25" ht="22.5" customHeight="1" thickBot="1" x14ac:dyDescent="0.35">
      <c r="A15" s="8"/>
      <c r="B15" s="24"/>
      <c r="C15" s="10"/>
      <c r="D15" s="10"/>
      <c r="E15" s="10"/>
      <c r="F15" s="262" t="s">
        <v>28</v>
      </c>
      <c r="G15" s="263"/>
      <c r="H15" s="263"/>
      <c r="I15" s="263"/>
      <c r="J15" s="263"/>
      <c r="K15" s="263"/>
      <c r="L15" s="263"/>
      <c r="M15" s="263"/>
      <c r="N15" s="264"/>
      <c r="O15" s="26"/>
      <c r="P15" s="26"/>
      <c r="Q15" s="26"/>
      <c r="R15" s="26"/>
      <c r="S15" s="26"/>
      <c r="T15" s="26"/>
      <c r="U15" s="11"/>
    </row>
    <row r="16" spans="1:25" s="19" customFormat="1" ht="54.75" customHeight="1" x14ac:dyDescent="0.25">
      <c r="A16" s="200" t="s">
        <v>1</v>
      </c>
      <c r="B16" s="201"/>
      <c r="C16" s="202"/>
      <c r="D16" s="203" t="s">
        <v>58</v>
      </c>
      <c r="E16" s="204"/>
      <c r="F16" s="265" t="s">
        <v>29</v>
      </c>
      <c r="G16" s="265"/>
      <c r="H16" s="266" t="s">
        <v>61</v>
      </c>
      <c r="I16" s="267"/>
      <c r="J16" s="35" t="s">
        <v>63</v>
      </c>
      <c r="K16" s="268" t="s">
        <v>64</v>
      </c>
      <c r="L16" s="269"/>
      <c r="M16" s="266" t="s">
        <v>30</v>
      </c>
      <c r="N16" s="267"/>
      <c r="O16" s="26"/>
      <c r="P16" s="26"/>
      <c r="Q16" s="26"/>
      <c r="R16" s="26"/>
      <c r="S16" s="26"/>
      <c r="T16" s="26"/>
      <c r="U16" s="20"/>
      <c r="V16" s="20"/>
      <c r="W16" s="20"/>
      <c r="X16" s="21"/>
    </row>
    <row r="17" spans="1:24" s="3" customFormat="1" ht="15.75" x14ac:dyDescent="0.25">
      <c r="A17" s="191">
        <v>45264</v>
      </c>
      <c r="B17" s="192"/>
      <c r="C17" s="193"/>
      <c r="D17" s="243"/>
      <c r="E17" s="243"/>
      <c r="F17" s="244"/>
      <c r="G17" s="245"/>
      <c r="H17" s="246"/>
      <c r="I17" s="247"/>
      <c r="J17" s="100"/>
      <c r="K17" s="248"/>
      <c r="L17" s="248"/>
      <c r="M17" s="249">
        <f t="shared" ref="M17" si="0">+K17-J17</f>
        <v>0</v>
      </c>
      <c r="N17" s="250"/>
      <c r="O17" s="26"/>
      <c r="P17" s="26"/>
      <c r="Q17" s="26"/>
      <c r="R17" s="26"/>
      <c r="S17" s="26"/>
      <c r="T17" s="26"/>
      <c r="U17" s="13"/>
      <c r="V17" s="13"/>
      <c r="W17" s="13"/>
      <c r="X17" s="1"/>
    </row>
    <row r="18" spans="1:24" s="3" customFormat="1" ht="15.75" x14ac:dyDescent="0.25">
      <c r="A18" s="191">
        <v>45265</v>
      </c>
      <c r="B18" s="192"/>
      <c r="C18" s="193"/>
      <c r="D18" s="243"/>
      <c r="E18" s="243"/>
      <c r="F18" s="244"/>
      <c r="G18" s="245"/>
      <c r="H18" s="246"/>
      <c r="I18" s="247"/>
      <c r="J18" s="100"/>
      <c r="K18" s="248"/>
      <c r="L18" s="248"/>
      <c r="M18" s="249">
        <f t="shared" ref="M18:M51" si="1">+K18-J18</f>
        <v>0</v>
      </c>
      <c r="N18" s="250"/>
      <c r="P18" s="26"/>
      <c r="Q18" s="26"/>
      <c r="R18" s="26"/>
      <c r="S18" s="26"/>
      <c r="T18" s="26"/>
      <c r="U18" s="13"/>
      <c r="V18" s="13"/>
      <c r="W18" s="13"/>
      <c r="X18" s="1"/>
    </row>
    <row r="19" spans="1:24" s="3" customFormat="1" ht="15.75" x14ac:dyDescent="0.25">
      <c r="A19" s="191">
        <v>45266</v>
      </c>
      <c r="B19" s="192"/>
      <c r="C19" s="193"/>
      <c r="D19" s="243"/>
      <c r="E19" s="243"/>
      <c r="F19" s="244"/>
      <c r="G19" s="245"/>
      <c r="H19" s="246"/>
      <c r="I19" s="247"/>
      <c r="J19" s="100"/>
      <c r="K19" s="248"/>
      <c r="L19" s="248"/>
      <c r="M19" s="249">
        <f t="shared" si="1"/>
        <v>0</v>
      </c>
      <c r="N19" s="250"/>
      <c r="P19" s="26"/>
      <c r="Q19" s="26"/>
      <c r="R19" s="26"/>
      <c r="S19" s="26"/>
      <c r="T19" s="26"/>
      <c r="U19" s="26"/>
      <c r="V19" s="13"/>
      <c r="W19" s="13"/>
      <c r="X19" s="1"/>
    </row>
    <row r="20" spans="1:24" s="3" customFormat="1" x14ac:dyDescent="0.25">
      <c r="A20" s="191">
        <v>45267</v>
      </c>
      <c r="B20" s="192"/>
      <c r="C20" s="193"/>
      <c r="D20" s="243"/>
      <c r="E20" s="243"/>
      <c r="F20" s="244"/>
      <c r="G20" s="245"/>
      <c r="H20" s="246"/>
      <c r="I20" s="247"/>
      <c r="J20" s="100"/>
      <c r="K20" s="248"/>
      <c r="L20" s="248"/>
      <c r="M20" s="249">
        <f t="shared" si="1"/>
        <v>0</v>
      </c>
      <c r="N20" s="250"/>
      <c r="P20" s="12"/>
      <c r="Q20" s="12"/>
      <c r="R20" s="12"/>
      <c r="S20" s="12"/>
      <c r="T20" s="13"/>
      <c r="U20" s="13"/>
      <c r="V20" s="13"/>
      <c r="W20" s="13"/>
      <c r="X20" s="1"/>
    </row>
    <row r="21" spans="1:24" s="3" customFormat="1" x14ac:dyDescent="0.25">
      <c r="A21" s="191">
        <v>45268</v>
      </c>
      <c r="B21" s="192"/>
      <c r="C21" s="193"/>
      <c r="D21" s="243"/>
      <c r="E21" s="243"/>
      <c r="F21" s="244"/>
      <c r="G21" s="245"/>
      <c r="H21" s="246"/>
      <c r="I21" s="247"/>
      <c r="J21" s="100"/>
      <c r="K21" s="248"/>
      <c r="L21" s="248"/>
      <c r="M21" s="249">
        <f t="shared" si="1"/>
        <v>0</v>
      </c>
      <c r="N21" s="250"/>
      <c r="P21" s="12"/>
      <c r="Q21" s="12"/>
      <c r="R21" s="12"/>
      <c r="S21" s="12"/>
      <c r="T21" s="13"/>
      <c r="U21" s="13"/>
      <c r="V21" s="13"/>
      <c r="W21" s="13"/>
      <c r="X21" s="1"/>
    </row>
    <row r="22" spans="1:24" s="3" customFormat="1" x14ac:dyDescent="0.25">
      <c r="A22" s="191">
        <v>45269</v>
      </c>
      <c r="B22" s="192"/>
      <c r="C22" s="193"/>
      <c r="D22" s="243"/>
      <c r="E22" s="243"/>
      <c r="F22" s="244"/>
      <c r="G22" s="245"/>
      <c r="H22" s="246"/>
      <c r="I22" s="247"/>
      <c r="J22" s="100"/>
      <c r="K22" s="248"/>
      <c r="L22" s="248"/>
      <c r="M22" s="249">
        <f t="shared" si="1"/>
        <v>0</v>
      </c>
      <c r="N22" s="250"/>
      <c r="P22" s="12"/>
      <c r="Q22" s="12"/>
      <c r="R22" s="12"/>
      <c r="S22" s="12"/>
      <c r="T22" s="13"/>
      <c r="U22" s="13"/>
      <c r="V22" s="13"/>
      <c r="W22" s="13"/>
      <c r="X22" s="1"/>
    </row>
    <row r="23" spans="1:24" s="3" customFormat="1" x14ac:dyDescent="0.25">
      <c r="A23" s="191">
        <v>45270</v>
      </c>
      <c r="B23" s="192"/>
      <c r="C23" s="193"/>
      <c r="D23" s="243"/>
      <c r="E23" s="243"/>
      <c r="F23" s="244"/>
      <c r="G23" s="245"/>
      <c r="H23" s="246"/>
      <c r="I23" s="247"/>
      <c r="J23" s="100"/>
      <c r="K23" s="248"/>
      <c r="L23" s="248"/>
      <c r="M23" s="249">
        <f t="shared" si="1"/>
        <v>0</v>
      </c>
      <c r="N23" s="250"/>
      <c r="P23" s="12"/>
      <c r="Q23" s="12"/>
      <c r="R23" s="12"/>
      <c r="S23" s="12"/>
      <c r="T23" s="13"/>
      <c r="U23" s="13"/>
      <c r="V23" s="13"/>
      <c r="W23" s="13"/>
      <c r="X23" s="1"/>
    </row>
    <row r="24" spans="1:24" s="3" customFormat="1" x14ac:dyDescent="0.25">
      <c r="A24" s="191">
        <v>45271</v>
      </c>
      <c r="B24" s="192"/>
      <c r="C24" s="193"/>
      <c r="D24" s="243"/>
      <c r="E24" s="243"/>
      <c r="F24" s="244"/>
      <c r="G24" s="245"/>
      <c r="H24" s="246"/>
      <c r="I24" s="247"/>
      <c r="J24" s="100"/>
      <c r="K24" s="248"/>
      <c r="L24" s="248"/>
      <c r="M24" s="249">
        <f t="shared" si="1"/>
        <v>0</v>
      </c>
      <c r="N24" s="250"/>
      <c r="P24" s="12"/>
      <c r="Q24" s="12"/>
      <c r="R24" s="12"/>
      <c r="S24" s="12"/>
      <c r="T24" s="13"/>
      <c r="U24" s="13"/>
      <c r="V24" s="13"/>
      <c r="W24" s="13"/>
      <c r="X24" s="1"/>
    </row>
    <row r="25" spans="1:24" s="3" customFormat="1" x14ac:dyDescent="0.25">
      <c r="A25" s="191">
        <v>45272</v>
      </c>
      <c r="B25" s="192"/>
      <c r="C25" s="193"/>
      <c r="D25" s="243"/>
      <c r="E25" s="243"/>
      <c r="F25" s="244"/>
      <c r="G25" s="245"/>
      <c r="H25" s="246"/>
      <c r="I25" s="247"/>
      <c r="J25" s="100"/>
      <c r="K25" s="248"/>
      <c r="L25" s="248"/>
      <c r="M25" s="249">
        <f t="shared" si="1"/>
        <v>0</v>
      </c>
      <c r="N25" s="250"/>
      <c r="P25" s="12"/>
      <c r="Q25" s="12"/>
      <c r="R25" s="12"/>
      <c r="S25" s="12"/>
      <c r="T25" s="13"/>
      <c r="U25" s="13"/>
      <c r="V25" s="13"/>
      <c r="W25" s="13"/>
      <c r="X25" s="1"/>
    </row>
    <row r="26" spans="1:24" s="3" customFormat="1" x14ac:dyDescent="0.25">
      <c r="A26" s="191">
        <v>45273</v>
      </c>
      <c r="B26" s="192"/>
      <c r="C26" s="193"/>
      <c r="D26" s="243"/>
      <c r="E26" s="243"/>
      <c r="F26" s="244"/>
      <c r="G26" s="245"/>
      <c r="H26" s="246"/>
      <c r="I26" s="247"/>
      <c r="J26" s="100"/>
      <c r="K26" s="248"/>
      <c r="L26" s="248"/>
      <c r="M26" s="249">
        <f t="shared" si="1"/>
        <v>0</v>
      </c>
      <c r="N26" s="250"/>
      <c r="P26" s="12"/>
      <c r="Q26" s="12"/>
      <c r="R26" s="12"/>
      <c r="S26" s="12"/>
      <c r="T26" s="13"/>
      <c r="U26" s="13"/>
      <c r="V26" s="13"/>
      <c r="W26" s="13"/>
      <c r="X26" s="1"/>
    </row>
    <row r="27" spans="1:24" s="3" customFormat="1" x14ac:dyDescent="0.25">
      <c r="A27" s="191">
        <v>45274</v>
      </c>
      <c r="B27" s="192"/>
      <c r="C27" s="193"/>
      <c r="D27" s="243"/>
      <c r="E27" s="243"/>
      <c r="F27" s="244"/>
      <c r="G27" s="245"/>
      <c r="H27" s="246"/>
      <c r="I27" s="247"/>
      <c r="J27" s="100"/>
      <c r="K27" s="248"/>
      <c r="L27" s="248"/>
      <c r="M27" s="249">
        <f t="shared" si="1"/>
        <v>0</v>
      </c>
      <c r="N27" s="250"/>
      <c r="P27" s="12"/>
      <c r="Q27" s="15"/>
      <c r="R27" s="15"/>
      <c r="S27" s="15"/>
      <c r="T27" s="13"/>
      <c r="U27" s="13"/>
      <c r="V27" s="13"/>
      <c r="W27" s="13"/>
      <c r="X27" s="1"/>
    </row>
    <row r="28" spans="1:24" s="3" customFormat="1" x14ac:dyDescent="0.25">
      <c r="A28" s="191">
        <v>45275</v>
      </c>
      <c r="B28" s="192"/>
      <c r="C28" s="193"/>
      <c r="D28" s="243"/>
      <c r="E28" s="243"/>
      <c r="F28" s="244"/>
      <c r="G28" s="245"/>
      <c r="H28" s="246"/>
      <c r="I28" s="247"/>
      <c r="J28" s="100"/>
      <c r="K28" s="248"/>
      <c r="L28" s="248"/>
      <c r="M28" s="249">
        <f t="shared" si="1"/>
        <v>0</v>
      </c>
      <c r="N28" s="250"/>
      <c r="P28" s="12"/>
      <c r="Q28" s="15"/>
      <c r="R28" s="15"/>
      <c r="S28" s="15"/>
      <c r="T28" s="13"/>
      <c r="U28" s="13"/>
      <c r="V28" s="13"/>
      <c r="W28" s="13"/>
      <c r="X28" s="1"/>
    </row>
    <row r="29" spans="1:24" s="3" customFormat="1" x14ac:dyDescent="0.25">
      <c r="A29" s="191">
        <v>45276</v>
      </c>
      <c r="B29" s="192"/>
      <c r="C29" s="193"/>
      <c r="D29" s="243"/>
      <c r="E29" s="243"/>
      <c r="F29" s="244"/>
      <c r="G29" s="245"/>
      <c r="H29" s="246"/>
      <c r="I29" s="247"/>
      <c r="J29" s="100"/>
      <c r="K29" s="248"/>
      <c r="L29" s="248"/>
      <c r="M29" s="249">
        <f t="shared" si="1"/>
        <v>0</v>
      </c>
      <c r="N29" s="250"/>
      <c r="P29" s="12"/>
      <c r="Q29" s="15"/>
      <c r="R29" s="15"/>
      <c r="S29" s="15"/>
      <c r="T29" s="13"/>
      <c r="U29" s="13"/>
      <c r="V29" s="13"/>
      <c r="W29" s="13"/>
      <c r="X29" s="1"/>
    </row>
    <row r="30" spans="1:24" s="3" customFormat="1" x14ac:dyDescent="0.25">
      <c r="A30" s="191">
        <v>45277</v>
      </c>
      <c r="B30" s="192"/>
      <c r="C30" s="193"/>
      <c r="D30" s="243"/>
      <c r="E30" s="243"/>
      <c r="F30" s="244"/>
      <c r="G30" s="245"/>
      <c r="H30" s="246"/>
      <c r="I30" s="247"/>
      <c r="J30" s="100"/>
      <c r="K30" s="248"/>
      <c r="L30" s="248"/>
      <c r="M30" s="249">
        <f t="shared" si="1"/>
        <v>0</v>
      </c>
      <c r="N30" s="250"/>
      <c r="O30" s="1"/>
      <c r="P30" s="12"/>
      <c r="Q30" s="15"/>
      <c r="R30" s="15"/>
      <c r="S30" s="15"/>
      <c r="T30" s="13"/>
      <c r="U30" s="13"/>
      <c r="V30" s="13"/>
      <c r="W30" s="13"/>
      <c r="X30" s="1"/>
    </row>
    <row r="31" spans="1:24" s="3" customFormat="1" x14ac:dyDescent="0.25">
      <c r="A31" s="191">
        <v>45278</v>
      </c>
      <c r="B31" s="192"/>
      <c r="C31" s="193"/>
      <c r="D31" s="270"/>
      <c r="E31" s="271"/>
      <c r="F31" s="101"/>
      <c r="G31" s="102"/>
      <c r="H31" s="103"/>
      <c r="I31" s="104"/>
      <c r="J31" s="100"/>
      <c r="K31" s="249"/>
      <c r="L31" s="250"/>
      <c r="M31" s="249">
        <f t="shared" si="1"/>
        <v>0</v>
      </c>
      <c r="N31" s="250"/>
      <c r="O31" s="1"/>
      <c r="P31" s="12"/>
      <c r="Q31" s="15"/>
      <c r="R31" s="15"/>
      <c r="S31" s="15"/>
      <c r="T31" s="13"/>
      <c r="U31" s="13"/>
      <c r="V31" s="13"/>
      <c r="W31" s="13"/>
      <c r="X31" s="1"/>
    </row>
    <row r="32" spans="1:24" s="3" customFormat="1" x14ac:dyDescent="0.25">
      <c r="A32" s="191">
        <v>45279</v>
      </c>
      <c r="B32" s="192"/>
      <c r="C32" s="193"/>
      <c r="D32" s="270"/>
      <c r="E32" s="271"/>
      <c r="F32" s="101"/>
      <c r="G32" s="102"/>
      <c r="H32" s="103"/>
      <c r="I32" s="104"/>
      <c r="J32" s="100"/>
      <c r="K32" s="249"/>
      <c r="L32" s="250"/>
      <c r="M32" s="249">
        <f t="shared" si="1"/>
        <v>0</v>
      </c>
      <c r="N32" s="250"/>
      <c r="O32" s="1"/>
      <c r="P32" s="12"/>
      <c r="Q32" s="15"/>
      <c r="R32" s="15"/>
      <c r="S32" s="15"/>
      <c r="T32" s="13"/>
      <c r="U32" s="13"/>
      <c r="V32" s="13"/>
      <c r="W32" s="13"/>
      <c r="X32" s="1"/>
    </row>
    <row r="33" spans="1:24" s="3" customFormat="1" x14ac:dyDescent="0.25">
      <c r="A33" s="191">
        <v>45280</v>
      </c>
      <c r="B33" s="192"/>
      <c r="C33" s="193"/>
      <c r="D33" s="270"/>
      <c r="E33" s="271"/>
      <c r="F33" s="101"/>
      <c r="G33" s="102"/>
      <c r="H33" s="103"/>
      <c r="I33" s="104"/>
      <c r="J33" s="100"/>
      <c r="K33" s="249"/>
      <c r="L33" s="250"/>
      <c r="M33" s="249">
        <f t="shared" si="1"/>
        <v>0</v>
      </c>
      <c r="N33" s="250"/>
      <c r="O33" s="1"/>
      <c r="P33" s="12"/>
      <c r="Q33" s="15"/>
      <c r="R33" s="15"/>
      <c r="S33" s="15"/>
      <c r="T33" s="13"/>
      <c r="U33" s="13"/>
      <c r="V33" s="13"/>
      <c r="W33" s="13"/>
      <c r="X33" s="1"/>
    </row>
    <row r="34" spans="1:24" s="3" customFormat="1" x14ac:dyDescent="0.25">
      <c r="A34" s="191">
        <v>45281</v>
      </c>
      <c r="B34" s="192"/>
      <c r="C34" s="193"/>
      <c r="D34" s="270"/>
      <c r="E34" s="271"/>
      <c r="F34" s="101"/>
      <c r="G34" s="102"/>
      <c r="H34" s="103"/>
      <c r="I34" s="104"/>
      <c r="J34" s="100"/>
      <c r="K34" s="249"/>
      <c r="L34" s="250"/>
      <c r="M34" s="249">
        <f t="shared" si="1"/>
        <v>0</v>
      </c>
      <c r="N34" s="250"/>
      <c r="O34" s="1"/>
      <c r="P34" s="12"/>
      <c r="Q34" s="15"/>
      <c r="R34" s="15"/>
      <c r="S34" s="15"/>
      <c r="T34" s="13"/>
      <c r="U34" s="13"/>
      <c r="V34" s="13"/>
      <c r="W34" s="13"/>
      <c r="X34" s="1"/>
    </row>
    <row r="35" spans="1:24" s="3" customFormat="1" x14ac:dyDescent="0.25">
      <c r="A35" s="191">
        <v>45282</v>
      </c>
      <c r="B35" s="192"/>
      <c r="C35" s="193"/>
      <c r="D35" s="270"/>
      <c r="E35" s="271"/>
      <c r="F35" s="101"/>
      <c r="G35" s="102"/>
      <c r="H35" s="103"/>
      <c r="I35" s="104"/>
      <c r="J35" s="100"/>
      <c r="K35" s="249"/>
      <c r="L35" s="250"/>
      <c r="M35" s="249">
        <f t="shared" si="1"/>
        <v>0</v>
      </c>
      <c r="N35" s="250"/>
      <c r="O35" s="1"/>
      <c r="P35" s="12"/>
      <c r="Q35" s="15"/>
      <c r="R35" s="15"/>
      <c r="S35" s="15"/>
      <c r="T35" s="13"/>
      <c r="U35" s="13"/>
      <c r="V35" s="13"/>
      <c r="W35" s="13"/>
      <c r="X35" s="1"/>
    </row>
    <row r="36" spans="1:24" s="3" customFormat="1" x14ac:dyDescent="0.25">
      <c r="A36" s="191">
        <v>45283</v>
      </c>
      <c r="B36" s="192"/>
      <c r="C36" s="193"/>
      <c r="D36" s="270"/>
      <c r="E36" s="271"/>
      <c r="F36" s="101"/>
      <c r="G36" s="102"/>
      <c r="H36" s="103"/>
      <c r="I36" s="104"/>
      <c r="J36" s="100"/>
      <c r="K36" s="249"/>
      <c r="L36" s="250"/>
      <c r="M36" s="249">
        <f t="shared" si="1"/>
        <v>0</v>
      </c>
      <c r="N36" s="250"/>
      <c r="O36" s="1"/>
      <c r="P36" s="12"/>
      <c r="Q36" s="15"/>
      <c r="R36" s="15"/>
      <c r="S36" s="15"/>
      <c r="T36" s="13"/>
      <c r="U36" s="13"/>
      <c r="V36" s="13"/>
      <c r="W36" s="13"/>
      <c r="X36" s="1"/>
    </row>
    <row r="37" spans="1:24" s="3" customFormat="1" x14ac:dyDescent="0.25">
      <c r="A37" s="191">
        <v>45284</v>
      </c>
      <c r="B37" s="192"/>
      <c r="C37" s="193"/>
      <c r="D37" s="270"/>
      <c r="E37" s="271"/>
      <c r="F37" s="101"/>
      <c r="G37" s="102"/>
      <c r="H37" s="103"/>
      <c r="I37" s="104"/>
      <c r="J37" s="100"/>
      <c r="K37" s="249"/>
      <c r="L37" s="250"/>
      <c r="M37" s="249">
        <f t="shared" si="1"/>
        <v>0</v>
      </c>
      <c r="N37" s="250"/>
      <c r="O37" s="1"/>
      <c r="P37" s="12"/>
      <c r="Q37" s="15"/>
      <c r="R37" s="15"/>
      <c r="S37" s="15"/>
      <c r="T37" s="13"/>
      <c r="U37" s="13"/>
      <c r="V37" s="13"/>
      <c r="W37" s="13"/>
      <c r="X37" s="1"/>
    </row>
    <row r="38" spans="1:24" s="3" customFormat="1" x14ac:dyDescent="0.25">
      <c r="A38" s="191">
        <v>45285</v>
      </c>
      <c r="B38" s="192"/>
      <c r="C38" s="193"/>
      <c r="D38" s="243"/>
      <c r="E38" s="243"/>
      <c r="F38" s="244"/>
      <c r="G38" s="245"/>
      <c r="H38" s="246"/>
      <c r="I38" s="247"/>
      <c r="J38" s="100"/>
      <c r="K38" s="248"/>
      <c r="L38" s="248"/>
      <c r="M38" s="249">
        <f t="shared" si="1"/>
        <v>0</v>
      </c>
      <c r="N38" s="250"/>
      <c r="P38" s="12"/>
      <c r="Q38" s="15"/>
      <c r="R38" s="15"/>
      <c r="S38" s="15"/>
      <c r="T38" s="13"/>
      <c r="U38" s="13"/>
      <c r="V38" s="13"/>
      <c r="W38" s="13"/>
      <c r="X38" s="1"/>
    </row>
    <row r="39" spans="1:24" s="3" customFormat="1" x14ac:dyDescent="0.25">
      <c r="A39" s="191">
        <v>45286</v>
      </c>
      <c r="B39" s="192"/>
      <c r="C39" s="193"/>
      <c r="D39" s="243"/>
      <c r="E39" s="243"/>
      <c r="F39" s="244"/>
      <c r="G39" s="245"/>
      <c r="H39" s="246"/>
      <c r="I39" s="247"/>
      <c r="J39" s="100"/>
      <c r="K39" s="248"/>
      <c r="L39" s="248"/>
      <c r="M39" s="249">
        <f t="shared" si="1"/>
        <v>0</v>
      </c>
      <c r="N39" s="250"/>
      <c r="P39" s="12"/>
      <c r="Q39" s="15"/>
      <c r="R39" s="15"/>
      <c r="S39" s="15"/>
      <c r="T39" s="13"/>
      <c r="U39" s="13"/>
      <c r="V39" s="13"/>
      <c r="W39" s="13"/>
      <c r="X39" s="1"/>
    </row>
    <row r="40" spans="1:24" s="3" customFormat="1" x14ac:dyDescent="0.25">
      <c r="A40" s="191">
        <v>45287</v>
      </c>
      <c r="B40" s="192"/>
      <c r="C40" s="193"/>
      <c r="D40" s="243"/>
      <c r="E40" s="243"/>
      <c r="F40" s="244"/>
      <c r="G40" s="245"/>
      <c r="H40" s="246"/>
      <c r="I40" s="247"/>
      <c r="J40" s="100"/>
      <c r="K40" s="248"/>
      <c r="L40" s="248"/>
      <c r="M40" s="249">
        <f t="shared" si="1"/>
        <v>0</v>
      </c>
      <c r="N40" s="250"/>
      <c r="P40" s="12"/>
      <c r="Q40" s="15"/>
      <c r="R40" s="15"/>
      <c r="S40" s="15"/>
      <c r="T40" s="13"/>
      <c r="U40" s="13"/>
      <c r="V40" s="13"/>
      <c r="W40" s="13"/>
      <c r="X40" s="1"/>
    </row>
    <row r="41" spans="1:24" s="3" customFormat="1" x14ac:dyDescent="0.25">
      <c r="A41" s="191">
        <v>45288</v>
      </c>
      <c r="B41" s="192"/>
      <c r="C41" s="193"/>
      <c r="D41" s="243"/>
      <c r="E41" s="243"/>
      <c r="F41" s="244"/>
      <c r="G41" s="245"/>
      <c r="H41" s="246"/>
      <c r="I41" s="247"/>
      <c r="J41" s="100"/>
      <c r="K41" s="248"/>
      <c r="L41" s="248"/>
      <c r="M41" s="249">
        <f t="shared" si="1"/>
        <v>0</v>
      </c>
      <c r="N41" s="250"/>
      <c r="P41" s="12"/>
      <c r="Q41" s="15"/>
      <c r="R41" s="15"/>
      <c r="S41" s="15"/>
      <c r="T41" s="13"/>
      <c r="U41" s="13"/>
      <c r="V41" s="13"/>
      <c r="W41" s="13"/>
      <c r="X41" s="1"/>
    </row>
    <row r="42" spans="1:24" s="3" customFormat="1" x14ac:dyDescent="0.25">
      <c r="A42" s="191">
        <v>45289</v>
      </c>
      <c r="B42" s="192"/>
      <c r="C42" s="193"/>
      <c r="D42" s="243"/>
      <c r="E42" s="243"/>
      <c r="F42" s="244"/>
      <c r="G42" s="245"/>
      <c r="H42" s="246"/>
      <c r="I42" s="247"/>
      <c r="J42" s="100"/>
      <c r="K42" s="248"/>
      <c r="L42" s="248"/>
      <c r="M42" s="249">
        <f t="shared" si="1"/>
        <v>0</v>
      </c>
      <c r="N42" s="250"/>
      <c r="P42" s="12"/>
      <c r="Q42" s="15"/>
      <c r="R42" s="15"/>
      <c r="S42" s="15"/>
      <c r="T42" s="13"/>
      <c r="U42" s="13"/>
      <c r="V42" s="13"/>
      <c r="W42" s="13"/>
      <c r="X42" s="1"/>
    </row>
    <row r="43" spans="1:24" s="3" customFormat="1" x14ac:dyDescent="0.25">
      <c r="A43" s="191">
        <v>45290</v>
      </c>
      <c r="B43" s="192"/>
      <c r="C43" s="193"/>
      <c r="D43" s="243"/>
      <c r="E43" s="243"/>
      <c r="F43" s="244"/>
      <c r="G43" s="245"/>
      <c r="H43" s="246"/>
      <c r="I43" s="247"/>
      <c r="J43" s="100"/>
      <c r="K43" s="248"/>
      <c r="L43" s="248"/>
      <c r="M43" s="249">
        <f t="shared" si="1"/>
        <v>0</v>
      </c>
      <c r="N43" s="250"/>
      <c r="P43" s="12"/>
      <c r="Q43" s="15"/>
      <c r="R43" s="15"/>
      <c r="S43" s="15"/>
      <c r="T43" s="13"/>
      <c r="U43" s="13"/>
      <c r="V43" s="13"/>
      <c r="W43" s="13"/>
      <c r="X43" s="1"/>
    </row>
    <row r="44" spans="1:24" s="3" customFormat="1" x14ac:dyDescent="0.25">
      <c r="A44" s="191">
        <v>45291</v>
      </c>
      <c r="B44" s="192"/>
      <c r="C44" s="193"/>
      <c r="D44" s="243"/>
      <c r="E44" s="243"/>
      <c r="F44" s="244"/>
      <c r="G44" s="245"/>
      <c r="H44" s="246"/>
      <c r="I44" s="247"/>
      <c r="J44" s="100"/>
      <c r="K44" s="248"/>
      <c r="L44" s="248"/>
      <c r="M44" s="249">
        <f t="shared" si="1"/>
        <v>0</v>
      </c>
      <c r="N44" s="250"/>
      <c r="P44" s="12"/>
      <c r="Q44" s="15"/>
      <c r="R44" s="15"/>
      <c r="S44" s="15"/>
      <c r="T44" s="13"/>
      <c r="U44" s="13"/>
      <c r="V44" s="13"/>
      <c r="W44" s="13"/>
      <c r="X44" s="1"/>
    </row>
    <row r="45" spans="1:24" s="3" customFormat="1" x14ac:dyDescent="0.25">
      <c r="A45" s="191">
        <v>45292</v>
      </c>
      <c r="B45" s="192"/>
      <c r="C45" s="193"/>
      <c r="D45" s="243"/>
      <c r="E45" s="243"/>
      <c r="F45" s="244"/>
      <c r="G45" s="245"/>
      <c r="H45" s="246"/>
      <c r="I45" s="247"/>
      <c r="J45" s="100"/>
      <c r="K45" s="248"/>
      <c r="L45" s="248"/>
      <c r="M45" s="249">
        <f t="shared" si="1"/>
        <v>0</v>
      </c>
      <c r="N45" s="250"/>
      <c r="P45" s="12"/>
      <c r="Q45" s="15"/>
      <c r="R45" s="15"/>
      <c r="S45" s="15"/>
      <c r="T45" s="13"/>
      <c r="U45" s="13"/>
      <c r="V45" s="13"/>
      <c r="W45" s="13"/>
      <c r="X45" s="1"/>
    </row>
    <row r="46" spans="1:24" s="3" customFormat="1" x14ac:dyDescent="0.25">
      <c r="A46" s="191">
        <v>45293</v>
      </c>
      <c r="B46" s="192"/>
      <c r="C46" s="193"/>
      <c r="D46" s="243"/>
      <c r="E46" s="243"/>
      <c r="F46" s="244"/>
      <c r="G46" s="245"/>
      <c r="H46" s="246"/>
      <c r="I46" s="247"/>
      <c r="J46" s="100"/>
      <c r="K46" s="248"/>
      <c r="L46" s="248"/>
      <c r="M46" s="249">
        <f t="shared" si="1"/>
        <v>0</v>
      </c>
      <c r="N46" s="250"/>
      <c r="P46" s="12"/>
      <c r="Q46" s="15"/>
      <c r="R46" s="15"/>
      <c r="S46" s="15"/>
      <c r="T46" s="13"/>
      <c r="U46" s="13"/>
      <c r="V46" s="13"/>
      <c r="W46" s="13"/>
      <c r="X46" s="1"/>
    </row>
    <row r="47" spans="1:24" s="3" customFormat="1" x14ac:dyDescent="0.25">
      <c r="A47" s="191">
        <v>45294</v>
      </c>
      <c r="B47" s="192"/>
      <c r="C47" s="193"/>
      <c r="D47" s="243"/>
      <c r="E47" s="243"/>
      <c r="F47" s="244"/>
      <c r="G47" s="245"/>
      <c r="H47" s="246"/>
      <c r="I47" s="247"/>
      <c r="J47" s="100"/>
      <c r="K47" s="248"/>
      <c r="L47" s="248"/>
      <c r="M47" s="249">
        <f t="shared" si="1"/>
        <v>0</v>
      </c>
      <c r="N47" s="250"/>
      <c r="P47" s="12"/>
      <c r="Q47" s="15"/>
      <c r="R47" s="15"/>
      <c r="S47" s="15"/>
      <c r="T47" s="13"/>
      <c r="U47" s="13"/>
      <c r="V47" s="13"/>
      <c r="W47" s="13"/>
      <c r="X47" s="1"/>
    </row>
    <row r="48" spans="1:24" s="3" customFormat="1" x14ac:dyDescent="0.25">
      <c r="A48" s="191">
        <v>45295</v>
      </c>
      <c r="B48" s="192"/>
      <c r="C48" s="193"/>
      <c r="D48" s="243"/>
      <c r="E48" s="243"/>
      <c r="F48" s="244"/>
      <c r="G48" s="245"/>
      <c r="H48" s="246"/>
      <c r="I48" s="247"/>
      <c r="J48" s="100"/>
      <c r="K48" s="248"/>
      <c r="L48" s="248"/>
      <c r="M48" s="249">
        <f t="shared" si="1"/>
        <v>0</v>
      </c>
      <c r="N48" s="250"/>
      <c r="P48" s="12"/>
      <c r="Q48" s="15"/>
      <c r="R48" s="15"/>
      <c r="S48" s="15"/>
      <c r="T48" s="13"/>
      <c r="U48" s="13"/>
      <c r="V48" s="13"/>
      <c r="W48" s="13"/>
      <c r="X48" s="1"/>
    </row>
    <row r="49" spans="1:25" s="3" customFormat="1" x14ac:dyDescent="0.25">
      <c r="A49" s="191">
        <v>45296</v>
      </c>
      <c r="B49" s="192"/>
      <c r="C49" s="193"/>
      <c r="D49" s="243"/>
      <c r="E49" s="243"/>
      <c r="F49" s="244"/>
      <c r="G49" s="245"/>
      <c r="H49" s="246"/>
      <c r="I49" s="247"/>
      <c r="J49" s="100"/>
      <c r="K49" s="248"/>
      <c r="L49" s="248"/>
      <c r="M49" s="249">
        <f t="shared" si="1"/>
        <v>0</v>
      </c>
      <c r="N49" s="250"/>
      <c r="P49" s="12"/>
      <c r="Q49" s="15"/>
      <c r="R49" s="15"/>
      <c r="S49" s="15"/>
      <c r="T49" s="13"/>
      <c r="U49" s="13"/>
      <c r="V49" s="13"/>
      <c r="W49" s="13"/>
      <c r="X49" s="1"/>
    </row>
    <row r="50" spans="1:25" s="3" customFormat="1" x14ac:dyDescent="0.25">
      <c r="A50" s="191">
        <v>45297</v>
      </c>
      <c r="B50" s="192"/>
      <c r="C50" s="193"/>
      <c r="D50" s="243"/>
      <c r="E50" s="243"/>
      <c r="F50" s="244"/>
      <c r="G50" s="245"/>
      <c r="H50" s="246"/>
      <c r="I50" s="247"/>
      <c r="J50" s="100"/>
      <c r="K50" s="248"/>
      <c r="L50" s="248"/>
      <c r="M50" s="249">
        <f t="shared" si="1"/>
        <v>0</v>
      </c>
      <c r="N50" s="250"/>
      <c r="P50" s="12"/>
      <c r="Q50" s="15"/>
      <c r="R50" s="15"/>
      <c r="S50" s="15"/>
      <c r="T50" s="13"/>
      <c r="U50" s="13"/>
      <c r="V50" s="13"/>
      <c r="W50" s="13"/>
      <c r="X50" s="1"/>
    </row>
    <row r="51" spans="1:25" s="3" customFormat="1" x14ac:dyDescent="0.25">
      <c r="A51" s="191">
        <v>45298</v>
      </c>
      <c r="B51" s="192"/>
      <c r="C51" s="193"/>
      <c r="D51" s="243"/>
      <c r="E51" s="243"/>
      <c r="F51" s="244"/>
      <c r="G51" s="245"/>
      <c r="H51" s="246"/>
      <c r="I51" s="247"/>
      <c r="J51" s="100"/>
      <c r="K51" s="248"/>
      <c r="L51" s="248"/>
      <c r="M51" s="249">
        <f t="shared" si="1"/>
        <v>0</v>
      </c>
      <c r="N51" s="250"/>
      <c r="P51" s="12"/>
      <c r="Q51" s="15"/>
      <c r="R51" s="15"/>
      <c r="S51" s="15"/>
      <c r="T51" s="13"/>
      <c r="U51" s="13"/>
      <c r="V51" s="13"/>
      <c r="W51" s="13"/>
      <c r="X51" s="1"/>
    </row>
    <row r="52" spans="1:25" s="3" customFormat="1" ht="15.75" x14ac:dyDescent="0.25">
      <c r="A52" s="231" t="s">
        <v>21</v>
      </c>
      <c r="B52" s="232"/>
      <c r="C52" s="233"/>
      <c r="D52" s="278">
        <f>+COUNTA(D17:E51)</f>
        <v>0</v>
      </c>
      <c r="E52" s="279"/>
      <c r="F52" s="280">
        <f>+COUNTA(F17:G51)</f>
        <v>0</v>
      </c>
      <c r="G52" s="281"/>
      <c r="H52" s="282">
        <f>SUM(H17:I51)</f>
        <v>0</v>
      </c>
      <c r="I52" s="282"/>
      <c r="J52" s="107"/>
      <c r="K52" s="283"/>
      <c r="L52" s="283"/>
      <c r="M52" s="284">
        <f>+SUM(M17:O51)</f>
        <v>0</v>
      </c>
      <c r="N52" s="285"/>
      <c r="P52" s="12"/>
      <c r="Q52" s="12"/>
      <c r="R52" s="12"/>
      <c r="S52" s="12"/>
      <c r="T52" s="13"/>
      <c r="U52" s="13"/>
      <c r="V52" s="13"/>
      <c r="W52" s="13"/>
      <c r="X52" s="1"/>
    </row>
    <row r="53" spans="1:25" s="3" customFormat="1" x14ac:dyDescent="0.25">
      <c r="A53" s="12"/>
      <c r="B53" s="12"/>
      <c r="C53" s="12"/>
      <c r="D53" s="272" t="s">
        <v>65</v>
      </c>
      <c r="E53" s="273"/>
      <c r="F53" s="274" t="s">
        <v>24</v>
      </c>
      <c r="G53" s="274"/>
      <c r="H53" s="275" t="s">
        <v>62</v>
      </c>
      <c r="I53" s="275"/>
      <c r="K53" s="12"/>
      <c r="L53" s="12"/>
      <c r="M53" s="276" t="s">
        <v>66</v>
      </c>
      <c r="N53" s="277"/>
      <c r="O53" s="12"/>
      <c r="P53" s="12"/>
      <c r="Q53" s="12"/>
      <c r="R53" s="12"/>
      <c r="S53" s="12"/>
      <c r="T53" s="13"/>
      <c r="U53" s="13"/>
      <c r="V53" s="13"/>
      <c r="W53" s="13"/>
      <c r="X53" s="1"/>
    </row>
    <row r="54" spans="1:25" s="3" customFormat="1" x14ac:dyDescent="0.25">
      <c r="K54" s="12"/>
      <c r="L54" s="12"/>
      <c r="M54" s="12"/>
      <c r="N54" s="12"/>
      <c r="O54" s="12"/>
      <c r="P54" s="12"/>
      <c r="U54" s="1"/>
      <c r="V54" s="1"/>
      <c r="W54" s="1"/>
      <c r="X54" s="1"/>
      <c r="Y54" s="1"/>
    </row>
    <row r="55" spans="1:25" s="3" customFormat="1" x14ac:dyDescent="0.25">
      <c r="A55" s="28" t="s">
        <v>23</v>
      </c>
      <c r="J55" s="28" t="s">
        <v>27</v>
      </c>
      <c r="N55" s="39"/>
      <c r="P55" s="12"/>
      <c r="U55" s="1"/>
      <c r="V55" s="1"/>
      <c r="W55" s="1"/>
      <c r="X55" s="1"/>
      <c r="Y55" s="1"/>
    </row>
    <row r="56" spans="1:25" s="3" customFormat="1" x14ac:dyDescent="0.25">
      <c r="J56" s="28" t="s">
        <v>31</v>
      </c>
      <c r="N56" s="39"/>
      <c r="P56" s="12"/>
      <c r="U56" s="1"/>
      <c r="V56" s="1"/>
      <c r="W56" s="1"/>
      <c r="X56" s="1"/>
      <c r="Y56" s="1"/>
    </row>
    <row r="57" spans="1:25" s="3" customFormat="1" x14ac:dyDescent="0.25">
      <c r="A57" s="29" t="s">
        <v>20</v>
      </c>
      <c r="B57" s="30"/>
      <c r="C57" s="29"/>
      <c r="D57" s="29"/>
      <c r="E57" s="16"/>
      <c r="H57" s="18"/>
      <c r="P57" s="12"/>
      <c r="U57" s="1"/>
      <c r="V57" s="1"/>
      <c r="W57" s="1"/>
      <c r="X57" s="1"/>
      <c r="Y57" s="1"/>
    </row>
    <row r="58" spans="1:25" s="3" customFormat="1" x14ac:dyDescent="0.25">
      <c r="A58" s="29" t="s">
        <v>7</v>
      </c>
      <c r="B58" s="30"/>
      <c r="C58" s="31">
        <f ca="1">TODAY()</f>
        <v>45320</v>
      </c>
      <c r="D58" s="29"/>
      <c r="E58" s="16"/>
      <c r="J58" s="28" t="s">
        <v>22</v>
      </c>
      <c r="P58" s="12"/>
      <c r="U58" s="1"/>
      <c r="V58" s="1"/>
      <c r="W58" s="1"/>
      <c r="X58" s="1"/>
      <c r="Y58" s="1"/>
    </row>
    <row r="59" spans="1:25" s="3" customFormat="1" x14ac:dyDescent="0.25">
      <c r="A59" s="28"/>
      <c r="B59" s="240" t="s">
        <v>47</v>
      </c>
      <c r="C59" s="240"/>
      <c r="D59" s="240"/>
      <c r="E59" s="240"/>
      <c r="F59" s="240"/>
      <c r="J59" s="240" t="s">
        <v>48</v>
      </c>
      <c r="K59" s="240"/>
      <c r="L59" s="240"/>
      <c r="M59" s="240"/>
      <c r="N59" s="240"/>
      <c r="U59" s="1"/>
      <c r="V59" s="1"/>
      <c r="W59" s="1"/>
      <c r="X59" s="1"/>
      <c r="Y59" s="1"/>
    </row>
    <row r="60" spans="1:25" s="3" customFormat="1" x14ac:dyDescent="0.25">
      <c r="B60" s="240"/>
      <c r="C60" s="240"/>
      <c r="D60" s="240"/>
      <c r="E60" s="240"/>
      <c r="F60" s="240"/>
      <c r="J60" s="240"/>
      <c r="K60" s="240"/>
      <c r="L60" s="240"/>
      <c r="M60" s="240"/>
      <c r="N60" s="240"/>
      <c r="U60" s="1"/>
      <c r="V60" s="1"/>
      <c r="W60" s="1"/>
      <c r="X60" s="1"/>
      <c r="Y60" s="1"/>
    </row>
    <row r="61" spans="1:25" s="3" customFormat="1" x14ac:dyDescent="0.25">
      <c r="B61" s="240"/>
      <c r="C61" s="240"/>
      <c r="D61" s="240"/>
      <c r="E61" s="240"/>
      <c r="F61" s="240"/>
      <c r="J61" s="240"/>
      <c r="K61" s="240"/>
      <c r="L61" s="240"/>
      <c r="M61" s="240"/>
      <c r="N61" s="240"/>
      <c r="U61" s="1"/>
      <c r="V61" s="1"/>
      <c r="W61" s="1"/>
      <c r="X61" s="1"/>
      <c r="Y61" s="1"/>
    </row>
    <row r="62" spans="1:25" s="3" customFormat="1" x14ac:dyDescent="0.25">
      <c r="B62" s="240"/>
      <c r="C62" s="240"/>
      <c r="D62" s="240"/>
      <c r="E62" s="240"/>
      <c r="F62" s="240"/>
      <c r="J62" s="240"/>
      <c r="K62" s="240"/>
      <c r="L62" s="240"/>
      <c r="M62" s="240"/>
      <c r="N62" s="240"/>
      <c r="U62" s="1"/>
      <c r="V62" s="1"/>
      <c r="W62" s="1"/>
      <c r="X62" s="1"/>
      <c r="Y62" s="1"/>
    </row>
    <row r="63" spans="1:25" s="3" customFormat="1" x14ac:dyDescent="0.25">
      <c r="B63" s="240"/>
      <c r="C63" s="240"/>
      <c r="D63" s="240"/>
      <c r="E63" s="240"/>
      <c r="F63" s="240"/>
      <c r="J63" s="240"/>
      <c r="K63" s="240"/>
      <c r="L63" s="240"/>
      <c r="M63" s="240"/>
      <c r="N63" s="240"/>
      <c r="U63" s="1"/>
      <c r="V63" s="1"/>
      <c r="W63" s="1"/>
      <c r="X63" s="1"/>
      <c r="Y63" s="1"/>
    </row>
    <row r="64" spans="1:25" s="3" customFormat="1" x14ac:dyDescent="0.25">
      <c r="B64" s="240"/>
      <c r="C64" s="240"/>
      <c r="D64" s="240"/>
      <c r="E64" s="240"/>
      <c r="F64" s="240"/>
      <c r="J64" s="240"/>
      <c r="K64" s="240"/>
      <c r="L64" s="240"/>
      <c r="M64" s="240"/>
      <c r="N64" s="240"/>
      <c r="U64" s="1"/>
      <c r="V64" s="1"/>
      <c r="W64" s="1"/>
      <c r="X64" s="1"/>
      <c r="Y64" s="1"/>
    </row>
    <row r="65" spans="1:25" s="3" customFormat="1" x14ac:dyDescent="0.25">
      <c r="A65" s="3" t="s">
        <v>46</v>
      </c>
      <c r="B65" s="23"/>
      <c r="J65" s="3" t="s">
        <v>39</v>
      </c>
      <c r="U65" s="1"/>
      <c r="V65" s="1"/>
      <c r="W65" s="1"/>
      <c r="X65" s="1"/>
      <c r="Y65" s="1"/>
    </row>
    <row r="66" spans="1:25" s="3" customFormat="1" x14ac:dyDescent="0.25">
      <c r="B66" s="23"/>
      <c r="U66" s="1"/>
      <c r="V66" s="1"/>
      <c r="W66" s="1"/>
      <c r="X66" s="1"/>
      <c r="Y66" s="1"/>
    </row>
    <row r="67" spans="1:25" s="3" customFormat="1" x14ac:dyDescent="0.25">
      <c r="B67" s="23"/>
      <c r="U67" s="1"/>
      <c r="V67" s="1"/>
      <c r="W67" s="1"/>
      <c r="X67" s="1"/>
      <c r="Y67" s="1"/>
    </row>
    <row r="68" spans="1:25" s="3" customFormat="1" x14ac:dyDescent="0.25">
      <c r="A68" s="29"/>
      <c r="B68" s="23"/>
      <c r="D68" s="29"/>
      <c r="U68" s="1"/>
      <c r="V68" s="1"/>
      <c r="W68" s="1"/>
      <c r="X68" s="1"/>
      <c r="Y68" s="1"/>
    </row>
    <row r="69" spans="1:25" s="3" customFormat="1" x14ac:dyDescent="0.25">
      <c r="U69" s="1"/>
      <c r="V69" s="1"/>
      <c r="W69" s="1"/>
      <c r="X69" s="1"/>
      <c r="Y69" s="1"/>
    </row>
    <row r="70" spans="1:25" s="3" customFormat="1" x14ac:dyDescent="0.25">
      <c r="B70" s="23"/>
      <c r="U70" s="1"/>
      <c r="V70" s="1"/>
      <c r="W70" s="1"/>
      <c r="X70" s="1"/>
      <c r="Y70" s="1"/>
    </row>
    <row r="71" spans="1:25" s="3" customFormat="1" x14ac:dyDescent="0.25">
      <c r="B71" s="23"/>
      <c r="U71" s="1"/>
      <c r="V71" s="1"/>
      <c r="W71" s="1"/>
      <c r="X71" s="1"/>
      <c r="Y71" s="1"/>
    </row>
    <row r="72" spans="1:25" s="3" customFormat="1" x14ac:dyDescent="0.25">
      <c r="B72" s="23"/>
      <c r="U72" s="1"/>
      <c r="V72" s="1"/>
      <c r="W72" s="1"/>
      <c r="X72" s="1"/>
      <c r="Y72" s="1"/>
    </row>
    <row r="73" spans="1:25" s="3" customFormat="1" x14ac:dyDescent="0.25">
      <c r="B73" s="23"/>
      <c r="U73" s="1"/>
      <c r="V73" s="1"/>
      <c r="W73" s="1"/>
      <c r="X73" s="1"/>
      <c r="Y73" s="1"/>
    </row>
    <row r="74" spans="1:25" s="3" customFormat="1" x14ac:dyDescent="0.25">
      <c r="B74" s="23"/>
      <c r="U74" s="1"/>
      <c r="V74" s="1"/>
      <c r="W74" s="1"/>
      <c r="X74" s="1"/>
      <c r="Y74" s="1"/>
    </row>
    <row r="75" spans="1:25" s="3" customFormat="1" x14ac:dyDescent="0.25">
      <c r="B75" s="23"/>
      <c r="U75" s="1"/>
      <c r="V75" s="1"/>
      <c r="W75" s="1"/>
      <c r="X75" s="1"/>
      <c r="Y75" s="1"/>
    </row>
    <row r="76" spans="1:25" s="3" customFormat="1" x14ac:dyDescent="0.25">
      <c r="B76" s="23"/>
      <c r="U76" s="1"/>
      <c r="V76" s="1"/>
      <c r="W76" s="1"/>
      <c r="X76" s="1"/>
      <c r="Y76" s="1"/>
    </row>
    <row r="77" spans="1:25" s="3" customFormat="1" x14ac:dyDescent="0.25">
      <c r="B77" s="23"/>
      <c r="U77" s="1"/>
      <c r="V77" s="1"/>
      <c r="W77" s="1"/>
      <c r="X77" s="1"/>
      <c r="Y77" s="1"/>
    </row>
    <row r="78" spans="1:25" s="3" customFormat="1" x14ac:dyDescent="0.25">
      <c r="B78" s="23"/>
      <c r="U78" s="1"/>
      <c r="V78" s="1"/>
      <c r="W78" s="1"/>
      <c r="X78" s="1"/>
      <c r="Y78" s="1"/>
    </row>
    <row r="79" spans="1:25" s="3" customFormat="1" x14ac:dyDescent="0.25">
      <c r="B79" s="23"/>
      <c r="U79" s="1"/>
      <c r="V79" s="1"/>
      <c r="W79" s="1"/>
      <c r="X79" s="1"/>
      <c r="Y79" s="1"/>
    </row>
    <row r="80" spans="1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2:25" s="3" customFormat="1" x14ac:dyDescent="0.25">
      <c r="B225" s="23"/>
      <c r="U225" s="1"/>
      <c r="V225" s="1"/>
      <c r="W225" s="1"/>
      <c r="X225" s="1"/>
      <c r="Y225" s="1"/>
    </row>
    <row r="226" spans="2:25" s="3" customFormat="1" x14ac:dyDescent="0.25">
      <c r="B226" s="23"/>
      <c r="U226" s="1"/>
      <c r="V226" s="1"/>
      <c r="W226" s="1"/>
      <c r="X226" s="1"/>
      <c r="Y226" s="1"/>
    </row>
    <row r="227" spans="2:25" s="3" customFormat="1" x14ac:dyDescent="0.25">
      <c r="B227" s="23"/>
      <c r="U227" s="1"/>
      <c r="V227" s="1"/>
      <c r="W227" s="1"/>
      <c r="X227" s="1"/>
      <c r="Y227" s="1"/>
    </row>
    <row r="228" spans="2:25" s="3" customFormat="1" x14ac:dyDescent="0.25">
      <c r="B228" s="23"/>
      <c r="U228" s="1"/>
      <c r="V228" s="1"/>
      <c r="W228" s="1"/>
      <c r="X228" s="1"/>
      <c r="Y228" s="1"/>
    </row>
    <row r="229" spans="2:25" s="3" customFormat="1" x14ac:dyDescent="0.25">
      <c r="B229" s="23"/>
      <c r="U229" s="1"/>
      <c r="V229" s="1"/>
      <c r="W229" s="1"/>
      <c r="X229" s="1"/>
      <c r="Y229" s="1"/>
    </row>
    <row r="230" spans="2:25" s="3" customFormat="1" x14ac:dyDescent="0.25">
      <c r="B230" s="23"/>
      <c r="U230" s="1"/>
      <c r="V230" s="1"/>
      <c r="W230" s="1"/>
      <c r="X230" s="1"/>
      <c r="Y230" s="1"/>
    </row>
    <row r="231" spans="2:25" s="3" customFormat="1" x14ac:dyDescent="0.25">
      <c r="B231" s="23"/>
      <c r="U231" s="1"/>
      <c r="V231" s="1"/>
      <c r="W231" s="1"/>
      <c r="X231" s="1"/>
      <c r="Y231" s="1"/>
    </row>
    <row r="232" spans="2:25" s="3" customFormat="1" x14ac:dyDescent="0.25">
      <c r="B232" s="23"/>
      <c r="U232" s="1"/>
      <c r="V232" s="1"/>
      <c r="W232" s="1"/>
      <c r="X232" s="1"/>
      <c r="Y232" s="1"/>
    </row>
    <row r="233" spans="2:25" s="3" customFormat="1" x14ac:dyDescent="0.25">
      <c r="B233" s="23"/>
      <c r="U233" s="1"/>
      <c r="V233" s="1"/>
      <c r="W233" s="1"/>
      <c r="X233" s="1"/>
      <c r="Y233" s="1"/>
    </row>
    <row r="234" spans="2:25" s="3" customFormat="1" x14ac:dyDescent="0.25">
      <c r="B234" s="23"/>
      <c r="U234" s="1"/>
      <c r="V234" s="1"/>
      <c r="W234" s="1"/>
      <c r="X234" s="1"/>
      <c r="Y234" s="1"/>
    </row>
    <row r="235" spans="2:25" s="3" customFormat="1" x14ac:dyDescent="0.25">
      <c r="B235" s="23"/>
      <c r="U235" s="1"/>
      <c r="V235" s="1"/>
      <c r="W235" s="1"/>
      <c r="X235" s="1"/>
      <c r="Y235" s="1"/>
    </row>
    <row r="236" spans="2:25" s="3" customFormat="1" x14ac:dyDescent="0.25">
      <c r="B236" s="23"/>
      <c r="U236" s="1"/>
      <c r="V236" s="1"/>
      <c r="W236" s="1"/>
      <c r="X236" s="1"/>
      <c r="Y236" s="1"/>
    </row>
    <row r="237" spans="2:25" s="3" customFormat="1" x14ac:dyDescent="0.25">
      <c r="B237" s="23"/>
      <c r="U237" s="1"/>
      <c r="V237" s="1"/>
      <c r="W237" s="1"/>
      <c r="X237" s="1"/>
      <c r="Y237" s="1"/>
    </row>
    <row r="238" spans="2:25" s="3" customFormat="1" x14ac:dyDescent="0.25">
      <c r="B238" s="23"/>
      <c r="U238" s="1"/>
      <c r="V238" s="1"/>
      <c r="W238" s="1"/>
      <c r="X238" s="1"/>
      <c r="Y238" s="1"/>
    </row>
    <row r="239" spans="2:25" s="3" customFormat="1" x14ac:dyDescent="0.25">
      <c r="B239" s="23"/>
      <c r="U239" s="1"/>
      <c r="V239" s="1"/>
      <c r="W239" s="1"/>
      <c r="X239" s="1"/>
      <c r="Y239" s="1"/>
    </row>
    <row r="240" spans="2:25" s="3" customFormat="1" x14ac:dyDescent="0.25">
      <c r="B240" s="23"/>
      <c r="U240" s="1"/>
      <c r="V240" s="1"/>
      <c r="W240" s="1"/>
      <c r="X240" s="1"/>
      <c r="Y240" s="1"/>
    </row>
    <row r="241" spans="1:25" s="3" customFormat="1" x14ac:dyDescent="0.25">
      <c r="B241" s="23"/>
      <c r="U241" s="1"/>
      <c r="V241" s="1"/>
      <c r="W241" s="1"/>
      <c r="X241" s="1"/>
      <c r="Y241" s="1"/>
    </row>
    <row r="242" spans="1:25" s="3" customFormat="1" x14ac:dyDescent="0.25">
      <c r="B242" s="23"/>
      <c r="K242" s="6"/>
      <c r="L242" s="6"/>
      <c r="M242" s="6"/>
      <c r="N242" s="6"/>
      <c r="U242" s="1"/>
      <c r="V242" s="1"/>
      <c r="W242" s="1"/>
      <c r="X242" s="1"/>
      <c r="Y242" s="1"/>
    </row>
    <row r="243" spans="1:25" s="3" customFormat="1" x14ac:dyDescent="0.25">
      <c r="B243" s="23"/>
      <c r="K243" s="6"/>
      <c r="L243" s="6"/>
      <c r="M243" s="6"/>
      <c r="N243" s="6"/>
      <c r="U243" s="1"/>
      <c r="V243" s="1"/>
      <c r="W243" s="1"/>
      <c r="X243" s="1"/>
      <c r="Y243" s="1"/>
    </row>
    <row r="244" spans="1:25" s="3" customFormat="1" x14ac:dyDescent="0.25">
      <c r="B244" s="23"/>
      <c r="K244" s="6"/>
      <c r="L244" s="6"/>
      <c r="M244" s="6"/>
      <c r="N244" s="6"/>
      <c r="U244" s="1"/>
      <c r="V244" s="1"/>
      <c r="W244" s="1"/>
      <c r="X244" s="1"/>
      <c r="Y244" s="1"/>
    </row>
    <row r="245" spans="1:25" s="3" customFormat="1" x14ac:dyDescent="0.25">
      <c r="B245" s="23"/>
      <c r="J245" s="6"/>
      <c r="K245" s="6"/>
      <c r="L245" s="6"/>
      <c r="M245" s="6"/>
      <c r="N245" s="6"/>
      <c r="U245" s="1"/>
      <c r="V245" s="1"/>
      <c r="W245" s="1"/>
      <c r="X245" s="1"/>
      <c r="Y245" s="1"/>
    </row>
    <row r="246" spans="1:25" s="3" customFormat="1" x14ac:dyDescent="0.25">
      <c r="B246" s="23"/>
      <c r="J246" s="6"/>
      <c r="K246" s="6"/>
      <c r="L246" s="6"/>
      <c r="M246" s="6"/>
      <c r="N246" s="6"/>
      <c r="U246" s="1"/>
      <c r="V246" s="1"/>
      <c r="W246" s="1"/>
      <c r="X246" s="1"/>
      <c r="Y246" s="1"/>
    </row>
    <row r="247" spans="1:25" s="3" customFormat="1" x14ac:dyDescent="0.25">
      <c r="B247" s="23"/>
      <c r="J247" s="6"/>
      <c r="K247" s="6"/>
      <c r="L247" s="6"/>
      <c r="M247" s="6"/>
      <c r="N247" s="6"/>
      <c r="U247" s="1"/>
      <c r="V247" s="1"/>
      <c r="W247" s="1"/>
      <c r="X247" s="1"/>
      <c r="Y247" s="1"/>
    </row>
    <row r="248" spans="1:25" s="3" customFormat="1" x14ac:dyDescent="0.25">
      <c r="B248" s="23"/>
      <c r="J248" s="6"/>
      <c r="K248" s="6"/>
      <c r="L248" s="6"/>
      <c r="M248" s="6"/>
      <c r="N248" s="6"/>
      <c r="U248" s="1"/>
      <c r="V248" s="1"/>
      <c r="W248" s="1"/>
      <c r="X248" s="1"/>
      <c r="Y248" s="1"/>
    </row>
    <row r="249" spans="1:25" s="3" customFormat="1" x14ac:dyDescent="0.25">
      <c r="B249" s="23"/>
      <c r="J249" s="6"/>
      <c r="K249" s="6"/>
      <c r="L249" s="6"/>
      <c r="M249" s="6"/>
      <c r="N249" s="6"/>
      <c r="O249" s="6"/>
      <c r="U249" s="1"/>
      <c r="V249" s="1"/>
      <c r="W249" s="1"/>
      <c r="X249" s="1"/>
      <c r="Y249" s="1"/>
    </row>
    <row r="250" spans="1:25" s="3" customFormat="1" x14ac:dyDescent="0.25">
      <c r="B250" s="23"/>
      <c r="J250" s="6"/>
      <c r="K250" s="6"/>
      <c r="L250" s="6"/>
      <c r="M250" s="6"/>
      <c r="N250" s="6"/>
      <c r="O250" s="6"/>
      <c r="U250" s="1"/>
      <c r="V250" s="1"/>
      <c r="W250" s="1"/>
      <c r="X250" s="1"/>
      <c r="Y250" s="1"/>
    </row>
    <row r="251" spans="1:25" s="3" customFormat="1" x14ac:dyDescent="0.25">
      <c r="A251" s="6"/>
      <c r="B251" s="25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Q251" s="6"/>
      <c r="R251" s="6"/>
      <c r="S251" s="6"/>
      <c r="U251" s="1"/>
      <c r="V251" s="1"/>
      <c r="W251" s="1"/>
      <c r="X251" s="1"/>
      <c r="Y251" s="1"/>
    </row>
  </sheetData>
  <sheetProtection sheet="1" objects="1" scenarios="1"/>
  <mergeCells count="228">
    <mergeCell ref="A47:C47"/>
    <mergeCell ref="A48:C48"/>
    <mergeCell ref="A43:C43"/>
    <mergeCell ref="A44:C44"/>
    <mergeCell ref="D46:E46"/>
    <mergeCell ref="F46:G46"/>
    <mergeCell ref="H46:I46"/>
    <mergeCell ref="M46:N46"/>
    <mergeCell ref="K46:L46"/>
    <mergeCell ref="D45:E45"/>
    <mergeCell ref="F45:G45"/>
    <mergeCell ref="H45:I45"/>
    <mergeCell ref="K45:L45"/>
    <mergeCell ref="M45:N45"/>
    <mergeCell ref="A45:C45"/>
    <mergeCell ref="A46:C46"/>
    <mergeCell ref="D44:E44"/>
    <mergeCell ref="D43:E43"/>
    <mergeCell ref="F50:G50"/>
    <mergeCell ref="H50:I50"/>
    <mergeCell ref="K50:L50"/>
    <mergeCell ref="M50:N50"/>
    <mergeCell ref="M31:N31"/>
    <mergeCell ref="M32:N32"/>
    <mergeCell ref="M33:N33"/>
    <mergeCell ref="M34:N34"/>
    <mergeCell ref="M35:N35"/>
    <mergeCell ref="M36:N36"/>
    <mergeCell ref="M37:N37"/>
    <mergeCell ref="F44:G44"/>
    <mergeCell ref="H44:I44"/>
    <mergeCell ref="K44:L44"/>
    <mergeCell ref="M44:N44"/>
    <mergeCell ref="F43:G43"/>
    <mergeCell ref="H43:I43"/>
    <mergeCell ref="K43:L43"/>
    <mergeCell ref="M43:N43"/>
    <mergeCell ref="A49:C49"/>
    <mergeCell ref="A50:C50"/>
    <mergeCell ref="A51:C51"/>
    <mergeCell ref="D47:E47"/>
    <mergeCell ref="F47:G47"/>
    <mergeCell ref="H47:I47"/>
    <mergeCell ref="K47:L47"/>
    <mergeCell ref="M47:N47"/>
    <mergeCell ref="D48:E48"/>
    <mergeCell ref="F48:G48"/>
    <mergeCell ref="H48:I48"/>
    <mergeCell ref="K48:L48"/>
    <mergeCell ref="M48:N48"/>
    <mergeCell ref="D51:E51"/>
    <mergeCell ref="F51:G51"/>
    <mergeCell ref="H51:I51"/>
    <mergeCell ref="K51:L51"/>
    <mergeCell ref="M51:N51"/>
    <mergeCell ref="D49:E49"/>
    <mergeCell ref="F49:G49"/>
    <mergeCell ref="H49:I49"/>
    <mergeCell ref="K49:L49"/>
    <mergeCell ref="M49:N49"/>
    <mergeCell ref="D50:E50"/>
    <mergeCell ref="D53:E53"/>
    <mergeCell ref="F53:G53"/>
    <mergeCell ref="H53:I53"/>
    <mergeCell ref="M53:N53"/>
    <mergeCell ref="B59:F64"/>
    <mergeCell ref="J59:N64"/>
    <mergeCell ref="A52:C52"/>
    <mergeCell ref="D52:E52"/>
    <mergeCell ref="F52:G52"/>
    <mergeCell ref="H52:I52"/>
    <mergeCell ref="K52:L52"/>
    <mergeCell ref="M52:N52"/>
    <mergeCell ref="A39:C39"/>
    <mergeCell ref="A40:C40"/>
    <mergeCell ref="D42:E42"/>
    <mergeCell ref="F42:G42"/>
    <mergeCell ref="H42:I42"/>
    <mergeCell ref="K42:L42"/>
    <mergeCell ref="M42:N42"/>
    <mergeCell ref="D41:E41"/>
    <mergeCell ref="F41:G41"/>
    <mergeCell ref="H41:I41"/>
    <mergeCell ref="K41:L41"/>
    <mergeCell ref="M41:N41"/>
    <mergeCell ref="A41:C41"/>
    <mergeCell ref="A42:C42"/>
    <mergeCell ref="D40:E40"/>
    <mergeCell ref="F40:G40"/>
    <mergeCell ref="H40:I40"/>
    <mergeCell ref="K40:L40"/>
    <mergeCell ref="M40:N40"/>
    <mergeCell ref="D39:E39"/>
    <mergeCell ref="F39:G39"/>
    <mergeCell ref="H39:I39"/>
    <mergeCell ref="K39:L39"/>
    <mergeCell ref="M39:N39"/>
    <mergeCell ref="D38:E38"/>
    <mergeCell ref="F38:G38"/>
    <mergeCell ref="H38:I38"/>
    <mergeCell ref="K38:L38"/>
    <mergeCell ref="M38:N38"/>
    <mergeCell ref="D37:E37"/>
    <mergeCell ref="K37:L37"/>
    <mergeCell ref="A37:C37"/>
    <mergeCell ref="A38:C38"/>
    <mergeCell ref="D36:E36"/>
    <mergeCell ref="K36:L36"/>
    <mergeCell ref="D35:E35"/>
    <mergeCell ref="K35:L35"/>
    <mergeCell ref="D34:E34"/>
    <mergeCell ref="K34:L34"/>
    <mergeCell ref="A34:C34"/>
    <mergeCell ref="A35:C35"/>
    <mergeCell ref="A36:C36"/>
    <mergeCell ref="H26:I26"/>
    <mergeCell ref="K26:L26"/>
    <mergeCell ref="A29:C29"/>
    <mergeCell ref="A30:C30"/>
    <mergeCell ref="D33:E33"/>
    <mergeCell ref="K33:L33"/>
    <mergeCell ref="D32:E32"/>
    <mergeCell ref="K32:L32"/>
    <mergeCell ref="D31:E31"/>
    <mergeCell ref="K31:L31"/>
    <mergeCell ref="A31:C31"/>
    <mergeCell ref="A32:C32"/>
    <mergeCell ref="A33:C33"/>
    <mergeCell ref="D30:E30"/>
    <mergeCell ref="F30:G30"/>
    <mergeCell ref="H30:I30"/>
    <mergeCell ref="K30:L30"/>
    <mergeCell ref="H22:I22"/>
    <mergeCell ref="K22:L22"/>
    <mergeCell ref="M30:N30"/>
    <mergeCell ref="D29:E29"/>
    <mergeCell ref="F29:G29"/>
    <mergeCell ref="H29:I29"/>
    <mergeCell ref="K29:L29"/>
    <mergeCell ref="M29:N29"/>
    <mergeCell ref="A25:C25"/>
    <mergeCell ref="A26:C26"/>
    <mergeCell ref="D28:E28"/>
    <mergeCell ref="F28:G28"/>
    <mergeCell ref="H28:I28"/>
    <mergeCell ref="K28:L28"/>
    <mergeCell ref="M28:N28"/>
    <mergeCell ref="D27:E27"/>
    <mergeCell ref="F27:G27"/>
    <mergeCell ref="H27:I27"/>
    <mergeCell ref="K27:L27"/>
    <mergeCell ref="M27:N27"/>
    <mergeCell ref="A27:C27"/>
    <mergeCell ref="A28:C28"/>
    <mergeCell ref="D26:E26"/>
    <mergeCell ref="F26:G26"/>
    <mergeCell ref="H18:I18"/>
    <mergeCell ref="K18:L18"/>
    <mergeCell ref="M26:N26"/>
    <mergeCell ref="D25:E25"/>
    <mergeCell ref="F25:G25"/>
    <mergeCell ref="H25:I25"/>
    <mergeCell ref="K25:L25"/>
    <mergeCell ref="M25:N25"/>
    <mergeCell ref="A21:C21"/>
    <mergeCell ref="A22:C22"/>
    <mergeCell ref="D24:E24"/>
    <mergeCell ref="F24:G24"/>
    <mergeCell ref="H24:I24"/>
    <mergeCell ref="K24:L24"/>
    <mergeCell ref="M24:N24"/>
    <mergeCell ref="D23:E23"/>
    <mergeCell ref="F23:G23"/>
    <mergeCell ref="H23:I23"/>
    <mergeCell ref="K23:L23"/>
    <mergeCell ref="M23:N23"/>
    <mergeCell ref="A23:C23"/>
    <mergeCell ref="A24:C24"/>
    <mergeCell ref="D22:E22"/>
    <mergeCell ref="F22:G22"/>
    <mergeCell ref="C12:F12"/>
    <mergeCell ref="K12:L12"/>
    <mergeCell ref="M22:N22"/>
    <mergeCell ref="D21:E21"/>
    <mergeCell ref="F21:G21"/>
    <mergeCell ref="H21:I21"/>
    <mergeCell ref="K21:L21"/>
    <mergeCell ref="M21:N21"/>
    <mergeCell ref="A17:C17"/>
    <mergeCell ref="A18:C18"/>
    <mergeCell ref="D20:E20"/>
    <mergeCell ref="F20:G20"/>
    <mergeCell ref="H20:I20"/>
    <mergeCell ref="K20:L20"/>
    <mergeCell ref="M20:N20"/>
    <mergeCell ref="D19:E19"/>
    <mergeCell ref="F19:G19"/>
    <mergeCell ref="H19:I19"/>
    <mergeCell ref="K19:L19"/>
    <mergeCell ref="M19:N19"/>
    <mergeCell ref="A19:C19"/>
    <mergeCell ref="A20:C20"/>
    <mergeCell ref="D18:E18"/>
    <mergeCell ref="F18:G18"/>
    <mergeCell ref="M18:N18"/>
    <mergeCell ref="D17:E17"/>
    <mergeCell ref="F17:G17"/>
    <mergeCell ref="H17:I17"/>
    <mergeCell ref="K17:L17"/>
    <mergeCell ref="M17:N17"/>
    <mergeCell ref="D2:K4"/>
    <mergeCell ref="L2:N4"/>
    <mergeCell ref="R3:T3"/>
    <mergeCell ref="B5:K5"/>
    <mergeCell ref="L5:N5"/>
    <mergeCell ref="R5:T5"/>
    <mergeCell ref="K13:L13"/>
    <mergeCell ref="F15:N15"/>
    <mergeCell ref="A16:C16"/>
    <mergeCell ref="D16:E16"/>
    <mergeCell ref="F16:G16"/>
    <mergeCell ref="H16:I16"/>
    <mergeCell ref="K16:L16"/>
    <mergeCell ref="M16:N16"/>
    <mergeCell ref="C8:F8"/>
    <mergeCell ref="K8:N8"/>
    <mergeCell ref="C10:F10"/>
    <mergeCell ref="K10:N10"/>
  </mergeCells>
  <conditionalFormatting sqref="D17:D46 D52">
    <cfRule type="expression" dxfId="121" priority="3">
      <formula>#REF!="Non"</formula>
    </cfRule>
    <cfRule type="expression" dxfId="120" priority="4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5A77C23D-E6A7-407C-90A0-9AEC6076C7C4}">
            <xm:f>'Niveau 2 Janv'!#REF!="Non"</xm:f>
            <x14:dxf>
              <fill>
                <patternFill>
                  <bgColor theme="1"/>
                </patternFill>
              </fill>
            </x14:dxf>
          </x14:cfRule>
          <x14:cfRule type="expression" priority="2" id="{1CBAB23E-39D6-4AE3-89D5-B4CB1A647021}">
            <xm:f>'Niveau 2 Janv'!#REF!="Oui"</xm:f>
            <x14:dxf>
              <fill>
                <patternFill>
                  <bgColor theme="1"/>
                </patternFill>
              </fill>
            </x14:dxf>
          </x14:cfRule>
          <xm:sqref>D47:D51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BD239"/>
  <sheetViews>
    <sheetView tabSelected="1" topLeftCell="A7" zoomScale="90" zoomScaleNormal="90" workbookViewId="0">
      <selection activeCell="D33" sqref="D33:E33"/>
    </sheetView>
  </sheetViews>
  <sheetFormatPr baseColWidth="10" defaultColWidth="11.42578125" defaultRowHeight="15" x14ac:dyDescent="0.25"/>
  <cols>
    <col min="1" max="1" width="5" style="6" customWidth="1"/>
    <col min="2" max="2" width="11" style="25" customWidth="1"/>
    <col min="3" max="3" width="11.5703125" style="6" customWidth="1"/>
    <col min="4" max="4" width="8.42578125" style="6" customWidth="1"/>
    <col min="5" max="5" width="10.42578125" style="6" customWidth="1"/>
    <col min="6" max="6" width="5.42578125" style="6" customWidth="1"/>
    <col min="7" max="7" width="9.85546875" style="6" customWidth="1"/>
    <col min="8" max="8" width="5.85546875" style="6" customWidth="1"/>
    <col min="9" max="9" width="1.85546875" style="6" customWidth="1"/>
    <col min="10" max="10" width="11.85546875" style="6" customWidth="1"/>
    <col min="11" max="12" width="8.140625" style="6" customWidth="1"/>
    <col min="13" max="13" width="6.5703125" style="6" customWidth="1"/>
    <col min="14" max="14" width="9.5703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68</v>
      </c>
      <c r="E2" s="195"/>
      <c r="F2" s="195"/>
      <c r="G2" s="195"/>
      <c r="H2" s="195"/>
      <c r="I2" s="195"/>
      <c r="J2" s="195"/>
      <c r="K2" s="195"/>
      <c r="L2" s="251">
        <v>45323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4"/>
      <c r="Q3" s="4"/>
      <c r="R3" s="220"/>
      <c r="S3" s="220"/>
      <c r="T3" s="220"/>
      <c r="U3" s="34"/>
      <c r="V3" s="34"/>
      <c r="W3" s="34"/>
      <c r="X3" s="34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4"/>
      <c r="Q4" s="4"/>
      <c r="R4" s="34"/>
      <c r="S4" s="34"/>
      <c r="T4" s="34"/>
      <c r="U4" s="34"/>
      <c r="V4" s="34"/>
      <c r="W4" s="34"/>
      <c r="X4" s="34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v>45328</v>
      </c>
      <c r="M5" s="222"/>
      <c r="N5" s="222"/>
      <c r="O5" s="3"/>
      <c r="P5" s="34"/>
      <c r="Q5" s="5"/>
      <c r="R5" s="220"/>
      <c r="S5" s="220"/>
      <c r="T5" s="220"/>
      <c r="U5" s="34"/>
      <c r="V5" s="34"/>
      <c r="W5" s="34"/>
      <c r="X5" s="34"/>
      <c r="Y5" s="5"/>
    </row>
    <row r="6" spans="1:25" ht="19.5" customHeight="1" x14ac:dyDescent="0.35">
      <c r="A6" s="27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40"/>
      <c r="V6" s="40"/>
      <c r="W6" s="40"/>
      <c r="X6" s="40"/>
      <c r="Y6" s="5"/>
    </row>
    <row r="7" spans="1:25" ht="19.5" customHeight="1" thickBot="1" x14ac:dyDescent="0.4">
      <c r="A7" s="111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40"/>
      <c r="V7" s="40"/>
      <c r="W7" s="40"/>
      <c r="X7" s="40"/>
      <c r="Y7" s="5"/>
    </row>
    <row r="8" spans="1:25" ht="18" customHeight="1" thickBot="1" x14ac:dyDescent="0.3">
      <c r="A8" s="8" t="s">
        <v>2</v>
      </c>
      <c r="B8" s="24"/>
      <c r="C8" s="223" t="s">
        <v>84</v>
      </c>
      <c r="D8" s="224"/>
      <c r="E8" s="224"/>
      <c r="F8" s="225"/>
      <c r="G8" s="9"/>
      <c r="H8" s="8" t="s">
        <v>26</v>
      </c>
      <c r="I8" s="8"/>
      <c r="J8" s="8"/>
      <c r="K8" s="223" t="s">
        <v>88</v>
      </c>
      <c r="L8" s="224"/>
      <c r="M8" s="224"/>
      <c r="N8" s="225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223" t="s">
        <v>85</v>
      </c>
      <c r="D10" s="224"/>
      <c r="E10" s="224"/>
      <c r="F10" s="225"/>
      <c r="G10" s="9"/>
      <c r="H10" s="8" t="s">
        <v>25</v>
      </c>
      <c r="I10" s="8"/>
      <c r="J10" s="8"/>
      <c r="K10" s="223" t="s">
        <v>89</v>
      </c>
      <c r="L10" s="224"/>
      <c r="M10" s="224"/>
      <c r="N10" s="225"/>
      <c r="O10" s="26"/>
      <c r="P10" s="26"/>
      <c r="Q10" s="26"/>
      <c r="R10" s="26"/>
      <c r="S10" s="26"/>
      <c r="T10" s="26"/>
      <c r="U10" s="11"/>
    </row>
    <row r="11" spans="1:25" ht="13.5" customHeight="1" x14ac:dyDescent="0.3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3.5" customHeight="1" x14ac:dyDescent="0.3">
      <c r="A12" s="8"/>
      <c r="B12" s="24"/>
      <c r="C12" s="24"/>
      <c r="D12" s="24"/>
      <c r="E12" s="24"/>
      <c r="F12" s="24"/>
      <c r="G12" s="9"/>
      <c r="H12" s="8"/>
      <c r="I12" s="8"/>
      <c r="J12" s="8"/>
      <c r="K12" s="8"/>
      <c r="L12" s="8"/>
      <c r="M12" s="8"/>
      <c r="N12" s="8"/>
      <c r="O12" s="26"/>
      <c r="P12" s="26"/>
      <c r="Q12" s="26"/>
      <c r="R12" s="26"/>
      <c r="S12" s="26"/>
      <c r="T12" s="26"/>
      <c r="U12" s="11"/>
    </row>
    <row r="13" spans="1:25" s="19" customFormat="1" ht="54.75" customHeight="1" x14ac:dyDescent="0.25">
      <c r="A13" s="200" t="s">
        <v>1</v>
      </c>
      <c r="B13" s="201"/>
      <c r="C13" s="202"/>
      <c r="D13" s="203" t="s">
        <v>55</v>
      </c>
      <c r="E13" s="204"/>
      <c r="F13" s="205" t="s">
        <v>54</v>
      </c>
      <c r="G13" s="205"/>
      <c r="H13" s="203" t="s">
        <v>56</v>
      </c>
      <c r="I13" s="206"/>
      <c r="J13" s="207"/>
      <c r="K13" s="203" t="s">
        <v>57</v>
      </c>
      <c r="L13" s="208"/>
      <c r="M13" s="205" t="s">
        <v>53</v>
      </c>
      <c r="N13" s="205"/>
      <c r="O13" s="26"/>
      <c r="P13" s="26"/>
      <c r="Q13" s="26"/>
      <c r="R13" s="26"/>
      <c r="S13" s="26"/>
      <c r="T13" s="26"/>
      <c r="U13" s="20"/>
      <c r="V13" s="20"/>
      <c r="W13" s="20"/>
      <c r="X13" s="21"/>
    </row>
    <row r="14" spans="1:25" s="3" customFormat="1" ht="15.75" x14ac:dyDescent="0.25">
      <c r="A14" s="191">
        <v>45299</v>
      </c>
      <c r="B14" s="286"/>
      <c r="C14" s="287"/>
      <c r="D14" s="209"/>
      <c r="E14" s="209"/>
      <c r="F14" s="210"/>
      <c r="G14" s="210"/>
      <c r="H14" s="210"/>
      <c r="I14" s="210"/>
      <c r="J14" s="210"/>
      <c r="K14" s="210"/>
      <c r="L14" s="210"/>
      <c r="M14" s="226"/>
      <c r="N14" s="227"/>
      <c r="O14" s="26"/>
      <c r="P14" s="26"/>
      <c r="Q14" s="26"/>
      <c r="R14" s="26"/>
      <c r="S14" s="26"/>
      <c r="T14" s="26"/>
      <c r="U14" s="13"/>
      <c r="V14" s="13"/>
      <c r="W14" s="13"/>
      <c r="X14" s="1"/>
    </row>
    <row r="15" spans="1:25" s="3" customFormat="1" ht="15.75" x14ac:dyDescent="0.25">
      <c r="A15" s="191">
        <v>45300</v>
      </c>
      <c r="B15" s="286"/>
      <c r="C15" s="287"/>
      <c r="D15" s="209"/>
      <c r="E15" s="209"/>
      <c r="F15" s="210"/>
      <c r="G15" s="210"/>
      <c r="H15" s="210"/>
      <c r="I15" s="210"/>
      <c r="J15" s="210"/>
      <c r="K15" s="210"/>
      <c r="L15" s="210"/>
      <c r="M15" s="226"/>
      <c r="N15" s="227"/>
      <c r="P15" s="26"/>
      <c r="Q15" s="26"/>
      <c r="R15" s="26"/>
      <c r="S15" s="26"/>
      <c r="T15" s="26"/>
      <c r="U15" s="13"/>
      <c r="V15" s="13"/>
      <c r="W15" s="13"/>
      <c r="X15" s="1"/>
    </row>
    <row r="16" spans="1:25" s="3" customFormat="1" ht="15.75" x14ac:dyDescent="0.25">
      <c r="A16" s="191">
        <v>45301</v>
      </c>
      <c r="B16" s="286"/>
      <c r="C16" s="287"/>
      <c r="D16" s="209"/>
      <c r="E16" s="209"/>
      <c r="F16" s="210"/>
      <c r="G16" s="210"/>
      <c r="H16" s="210"/>
      <c r="I16" s="210"/>
      <c r="J16" s="210"/>
      <c r="K16" s="210"/>
      <c r="L16" s="210"/>
      <c r="M16" s="226"/>
      <c r="N16" s="227"/>
      <c r="P16" s="26"/>
      <c r="Q16" s="26"/>
      <c r="R16" s="26"/>
      <c r="S16" s="26"/>
      <c r="T16" s="26"/>
      <c r="U16" s="26"/>
      <c r="V16" s="13"/>
      <c r="W16" s="13"/>
      <c r="X16" s="1"/>
    </row>
    <row r="17" spans="1:24" s="3" customFormat="1" x14ac:dyDescent="0.25">
      <c r="A17" s="191">
        <v>45302</v>
      </c>
      <c r="B17" s="286"/>
      <c r="C17" s="287"/>
      <c r="D17" s="209"/>
      <c r="E17" s="209"/>
      <c r="F17" s="210"/>
      <c r="G17" s="210"/>
      <c r="H17" s="210"/>
      <c r="I17" s="210"/>
      <c r="J17" s="210"/>
      <c r="K17" s="210"/>
      <c r="L17" s="210"/>
      <c r="M17" s="226"/>
      <c r="N17" s="227"/>
      <c r="P17" s="12"/>
      <c r="Q17" s="12"/>
      <c r="R17" s="12"/>
      <c r="S17" s="12"/>
      <c r="T17" s="13"/>
      <c r="U17" s="13"/>
      <c r="V17" s="13"/>
      <c r="W17" s="13"/>
      <c r="X17" s="1"/>
    </row>
    <row r="18" spans="1:24" s="3" customFormat="1" x14ac:dyDescent="0.25">
      <c r="A18" s="191">
        <v>45303</v>
      </c>
      <c r="B18" s="286"/>
      <c r="C18" s="287"/>
      <c r="D18" s="209"/>
      <c r="E18" s="209"/>
      <c r="F18" s="210"/>
      <c r="G18" s="210"/>
      <c r="H18" s="226"/>
      <c r="I18" s="228"/>
      <c r="J18" s="227"/>
      <c r="K18" s="210"/>
      <c r="L18" s="210"/>
      <c r="M18" s="226"/>
      <c r="N18" s="227"/>
      <c r="P18" s="12"/>
      <c r="Q18" s="12"/>
      <c r="R18" s="12"/>
      <c r="S18" s="12"/>
      <c r="T18" s="13"/>
      <c r="U18" s="13"/>
      <c r="V18" s="13"/>
      <c r="W18" s="13"/>
      <c r="X18" s="1"/>
    </row>
    <row r="19" spans="1:24" s="3" customFormat="1" x14ac:dyDescent="0.25">
      <c r="A19" s="191">
        <v>45304</v>
      </c>
      <c r="B19" s="286"/>
      <c r="C19" s="287"/>
      <c r="D19" s="209"/>
      <c r="E19" s="209"/>
      <c r="F19" s="210"/>
      <c r="G19" s="210"/>
      <c r="H19" s="210"/>
      <c r="I19" s="210"/>
      <c r="J19" s="210"/>
      <c r="K19" s="210"/>
      <c r="L19" s="210"/>
      <c r="M19" s="226"/>
      <c r="N19" s="227"/>
      <c r="P19" s="12"/>
      <c r="Q19" s="12"/>
      <c r="R19" s="12"/>
      <c r="S19" s="12"/>
      <c r="T19" s="13"/>
      <c r="U19" s="13"/>
      <c r="V19" s="13"/>
      <c r="W19" s="13"/>
      <c r="X19" s="1"/>
    </row>
    <row r="20" spans="1:24" s="3" customFormat="1" x14ac:dyDescent="0.25">
      <c r="A20" s="191">
        <v>45305</v>
      </c>
      <c r="B20" s="286"/>
      <c r="C20" s="287"/>
      <c r="D20" s="209"/>
      <c r="E20" s="209"/>
      <c r="F20" s="210"/>
      <c r="G20" s="210"/>
      <c r="H20" s="210"/>
      <c r="I20" s="210"/>
      <c r="J20" s="210"/>
      <c r="K20" s="210"/>
      <c r="L20" s="210"/>
      <c r="M20" s="226"/>
      <c r="N20" s="227"/>
      <c r="P20" s="12"/>
      <c r="Q20" s="12"/>
      <c r="R20" s="12"/>
      <c r="S20" s="12"/>
      <c r="T20" s="13"/>
      <c r="U20" s="13"/>
      <c r="V20" s="13"/>
      <c r="W20" s="13"/>
      <c r="X20" s="1"/>
    </row>
    <row r="21" spans="1:24" s="3" customFormat="1" x14ac:dyDescent="0.25">
      <c r="A21" s="191">
        <v>45306</v>
      </c>
      <c r="B21" s="286"/>
      <c r="C21" s="287"/>
      <c r="D21" s="209"/>
      <c r="E21" s="209"/>
      <c r="F21" s="210"/>
      <c r="G21" s="210"/>
      <c r="H21" s="210"/>
      <c r="I21" s="210"/>
      <c r="J21" s="210"/>
      <c r="K21" s="210"/>
      <c r="L21" s="210"/>
      <c r="M21" s="226"/>
      <c r="N21" s="227"/>
      <c r="P21" s="12"/>
      <c r="Q21" s="12"/>
      <c r="R21" s="12"/>
      <c r="S21" s="12"/>
      <c r="T21" s="13"/>
      <c r="U21" s="13"/>
      <c r="V21" s="13"/>
      <c r="W21" s="13"/>
      <c r="X21" s="1"/>
    </row>
    <row r="22" spans="1:24" s="3" customFormat="1" x14ac:dyDescent="0.25">
      <c r="A22" s="191">
        <v>45307</v>
      </c>
      <c r="B22" s="286"/>
      <c r="C22" s="287"/>
      <c r="D22" s="209"/>
      <c r="E22" s="209"/>
      <c r="F22" s="210"/>
      <c r="G22" s="210"/>
      <c r="H22" s="210"/>
      <c r="I22" s="210"/>
      <c r="J22" s="210"/>
      <c r="K22" s="210"/>
      <c r="L22" s="210"/>
      <c r="M22" s="226"/>
      <c r="N22" s="227"/>
      <c r="P22" s="12"/>
      <c r="Q22" s="12"/>
      <c r="R22" s="12"/>
      <c r="S22" s="12"/>
      <c r="T22" s="13"/>
      <c r="U22" s="13"/>
      <c r="V22" s="13"/>
      <c r="W22" s="13"/>
      <c r="X22" s="1"/>
    </row>
    <row r="23" spans="1:24" s="3" customFormat="1" x14ac:dyDescent="0.25">
      <c r="A23" s="191">
        <v>45308</v>
      </c>
      <c r="B23" s="286"/>
      <c r="C23" s="287"/>
      <c r="D23" s="209"/>
      <c r="E23" s="209"/>
      <c r="F23" s="210"/>
      <c r="G23" s="210"/>
      <c r="H23" s="210"/>
      <c r="I23" s="210"/>
      <c r="J23" s="210"/>
      <c r="K23" s="210"/>
      <c r="L23" s="210"/>
      <c r="M23" s="226"/>
      <c r="N23" s="227"/>
      <c r="P23" s="12"/>
      <c r="Q23" s="12"/>
      <c r="R23" s="12"/>
      <c r="S23" s="12"/>
      <c r="T23" s="13"/>
      <c r="U23" s="13"/>
      <c r="V23" s="13"/>
      <c r="W23" s="13"/>
      <c r="X23" s="1"/>
    </row>
    <row r="24" spans="1:24" s="3" customFormat="1" x14ac:dyDescent="0.25">
      <c r="A24" s="191">
        <v>45309</v>
      </c>
      <c r="B24" s="286"/>
      <c r="C24" s="287"/>
      <c r="D24" s="209"/>
      <c r="E24" s="209"/>
      <c r="F24" s="210"/>
      <c r="G24" s="210"/>
      <c r="H24" s="210"/>
      <c r="I24" s="210"/>
      <c r="J24" s="210"/>
      <c r="K24" s="210"/>
      <c r="L24" s="210"/>
      <c r="M24" s="226"/>
      <c r="N24" s="227"/>
      <c r="P24" s="12"/>
      <c r="Q24" s="15"/>
      <c r="R24" s="15"/>
      <c r="S24" s="15"/>
      <c r="T24" s="13"/>
      <c r="U24" s="13"/>
      <c r="V24" s="13"/>
      <c r="W24" s="13"/>
      <c r="X24" s="1"/>
    </row>
    <row r="25" spans="1:24" s="3" customFormat="1" x14ac:dyDescent="0.25">
      <c r="A25" s="191">
        <v>45310</v>
      </c>
      <c r="B25" s="286"/>
      <c r="C25" s="287"/>
      <c r="D25" s="209"/>
      <c r="E25" s="209"/>
      <c r="F25" s="210"/>
      <c r="G25" s="210"/>
      <c r="H25" s="210"/>
      <c r="I25" s="210"/>
      <c r="J25" s="210"/>
      <c r="K25" s="210"/>
      <c r="L25" s="210"/>
      <c r="M25" s="226"/>
      <c r="N25" s="227"/>
      <c r="P25" s="12"/>
      <c r="Q25" s="15"/>
      <c r="R25" s="15"/>
      <c r="S25" s="15"/>
      <c r="T25" s="13"/>
      <c r="U25" s="13"/>
      <c r="V25" s="13"/>
      <c r="W25" s="13"/>
      <c r="X25" s="1"/>
    </row>
    <row r="26" spans="1:24" s="3" customFormat="1" x14ac:dyDescent="0.25">
      <c r="A26" s="191">
        <v>45311</v>
      </c>
      <c r="B26" s="286"/>
      <c r="C26" s="287"/>
      <c r="D26" s="209"/>
      <c r="E26" s="209"/>
      <c r="F26" s="210"/>
      <c r="G26" s="210"/>
      <c r="H26" s="210"/>
      <c r="I26" s="210"/>
      <c r="J26" s="210"/>
      <c r="K26" s="210"/>
      <c r="L26" s="210"/>
      <c r="M26" s="226"/>
      <c r="N26" s="227"/>
      <c r="P26" s="12"/>
      <c r="Q26" s="15"/>
      <c r="R26" s="15"/>
      <c r="S26" s="15"/>
      <c r="T26" s="13"/>
      <c r="U26" s="13"/>
      <c r="V26" s="13"/>
      <c r="W26" s="13"/>
      <c r="X26" s="1"/>
    </row>
    <row r="27" spans="1:24" s="3" customFormat="1" x14ac:dyDescent="0.25">
      <c r="A27" s="191">
        <v>45312</v>
      </c>
      <c r="B27" s="286"/>
      <c r="C27" s="287"/>
      <c r="D27" s="209"/>
      <c r="E27" s="209"/>
      <c r="F27" s="210"/>
      <c r="G27" s="210"/>
      <c r="H27" s="210"/>
      <c r="I27" s="210"/>
      <c r="J27" s="210"/>
      <c r="K27" s="210"/>
      <c r="L27" s="210"/>
      <c r="M27" s="226"/>
      <c r="N27" s="227"/>
      <c r="O27" s="1"/>
      <c r="P27" s="12"/>
      <c r="Q27" s="15"/>
      <c r="R27" s="15"/>
      <c r="S27" s="15"/>
      <c r="T27" s="13"/>
      <c r="U27" s="13"/>
      <c r="V27" s="13"/>
      <c r="W27" s="13"/>
      <c r="X27" s="1"/>
    </row>
    <row r="28" spans="1:24" s="3" customFormat="1" x14ac:dyDescent="0.25">
      <c r="A28" s="191">
        <v>45313</v>
      </c>
      <c r="B28" s="286"/>
      <c r="C28" s="287"/>
      <c r="D28" s="209"/>
      <c r="E28" s="209"/>
      <c r="F28" s="210"/>
      <c r="G28" s="210"/>
      <c r="H28" s="210"/>
      <c r="I28" s="210"/>
      <c r="J28" s="210"/>
      <c r="K28" s="210"/>
      <c r="L28" s="210"/>
      <c r="M28" s="226"/>
      <c r="N28" s="227"/>
      <c r="P28" s="12"/>
      <c r="Q28" s="15"/>
      <c r="R28" s="15"/>
      <c r="S28" s="15"/>
      <c r="T28" s="13"/>
      <c r="U28" s="13"/>
      <c r="V28" s="13"/>
      <c r="W28" s="13"/>
      <c r="X28" s="1"/>
    </row>
    <row r="29" spans="1:24" s="3" customFormat="1" x14ac:dyDescent="0.25">
      <c r="A29" s="191">
        <v>45314</v>
      </c>
      <c r="B29" s="286"/>
      <c r="C29" s="287"/>
      <c r="D29" s="209"/>
      <c r="E29" s="209"/>
      <c r="F29" s="210"/>
      <c r="G29" s="210"/>
      <c r="H29" s="210"/>
      <c r="I29" s="210"/>
      <c r="J29" s="210"/>
      <c r="K29" s="210"/>
      <c r="L29" s="210"/>
      <c r="M29" s="226"/>
      <c r="N29" s="227"/>
      <c r="P29" s="12"/>
      <c r="Q29" s="15"/>
      <c r="R29" s="15"/>
      <c r="S29" s="15"/>
      <c r="T29" s="13"/>
      <c r="U29" s="13"/>
      <c r="V29" s="13"/>
      <c r="W29" s="13"/>
      <c r="X29" s="1"/>
    </row>
    <row r="30" spans="1:24" s="3" customFormat="1" x14ac:dyDescent="0.25">
      <c r="A30" s="191">
        <v>45315</v>
      </c>
      <c r="B30" s="286"/>
      <c r="C30" s="287"/>
      <c r="D30" s="209"/>
      <c r="E30" s="209"/>
      <c r="F30" s="210"/>
      <c r="G30" s="210"/>
      <c r="H30" s="210"/>
      <c r="I30" s="210"/>
      <c r="J30" s="210"/>
      <c r="K30" s="210"/>
      <c r="L30" s="210"/>
      <c r="M30" s="226"/>
      <c r="N30" s="227"/>
      <c r="P30" s="12"/>
      <c r="Q30" s="15"/>
      <c r="R30" s="15"/>
      <c r="S30" s="15"/>
      <c r="T30" s="13"/>
      <c r="U30" s="13"/>
      <c r="V30" s="13"/>
      <c r="W30" s="13"/>
      <c r="X30" s="1"/>
    </row>
    <row r="31" spans="1:24" s="3" customFormat="1" x14ac:dyDescent="0.25">
      <c r="A31" s="191">
        <v>45316</v>
      </c>
      <c r="B31" s="286"/>
      <c r="C31" s="287"/>
      <c r="D31" s="209"/>
      <c r="E31" s="209"/>
      <c r="F31" s="210"/>
      <c r="G31" s="210"/>
      <c r="H31" s="210"/>
      <c r="I31" s="210"/>
      <c r="J31" s="210"/>
      <c r="K31" s="210"/>
      <c r="L31" s="210"/>
      <c r="M31" s="226"/>
      <c r="N31" s="227"/>
      <c r="P31" s="12"/>
      <c r="Q31" s="15"/>
      <c r="R31" s="15"/>
      <c r="S31" s="15"/>
      <c r="T31" s="13"/>
      <c r="U31" s="13"/>
      <c r="V31" s="13"/>
      <c r="W31" s="13"/>
      <c r="X31" s="1"/>
    </row>
    <row r="32" spans="1:24" s="3" customFormat="1" x14ac:dyDescent="0.25">
      <c r="A32" s="191">
        <v>45317</v>
      </c>
      <c r="B32" s="286"/>
      <c r="C32" s="287"/>
      <c r="D32" s="209"/>
      <c r="E32" s="209"/>
      <c r="F32" s="210"/>
      <c r="G32" s="210"/>
      <c r="H32" s="210"/>
      <c r="I32" s="210"/>
      <c r="J32" s="210"/>
      <c r="K32" s="210"/>
      <c r="L32" s="210"/>
      <c r="M32" s="226"/>
      <c r="N32" s="227"/>
      <c r="P32" s="12"/>
      <c r="Q32" s="15"/>
      <c r="R32" s="15"/>
      <c r="S32" s="15"/>
      <c r="T32" s="13"/>
      <c r="U32" s="13"/>
      <c r="V32" s="13"/>
      <c r="W32" s="13"/>
      <c r="X32" s="1"/>
    </row>
    <row r="33" spans="1:25" s="3" customFormat="1" x14ac:dyDescent="0.25">
      <c r="A33" s="191">
        <v>45318</v>
      </c>
      <c r="B33" s="286"/>
      <c r="C33" s="287"/>
      <c r="D33" s="209"/>
      <c r="E33" s="209"/>
      <c r="F33" s="210"/>
      <c r="G33" s="210"/>
      <c r="H33" s="210"/>
      <c r="I33" s="210"/>
      <c r="J33" s="210"/>
      <c r="K33" s="210"/>
      <c r="L33" s="210"/>
      <c r="M33" s="226"/>
      <c r="N33" s="227"/>
      <c r="P33" s="12"/>
      <c r="Q33" s="15"/>
      <c r="R33" s="15"/>
      <c r="S33" s="15"/>
      <c r="T33" s="13"/>
      <c r="U33" s="13"/>
      <c r="V33" s="13"/>
      <c r="W33" s="13"/>
      <c r="X33" s="1"/>
    </row>
    <row r="34" spans="1:25" s="3" customFormat="1" x14ac:dyDescent="0.25">
      <c r="A34" s="191">
        <v>45319</v>
      </c>
      <c r="B34" s="286"/>
      <c r="C34" s="287"/>
      <c r="D34" s="209"/>
      <c r="E34" s="209"/>
      <c r="F34" s="210"/>
      <c r="G34" s="210"/>
      <c r="H34" s="210"/>
      <c r="I34" s="210"/>
      <c r="J34" s="210"/>
      <c r="K34" s="210"/>
      <c r="L34" s="210"/>
      <c r="M34" s="226"/>
      <c r="N34" s="227"/>
      <c r="P34" s="12"/>
      <c r="Q34" s="15"/>
      <c r="R34" s="15"/>
      <c r="S34" s="15"/>
      <c r="T34" s="13"/>
      <c r="U34" s="13"/>
      <c r="V34" s="13"/>
      <c r="W34" s="13"/>
      <c r="X34" s="1"/>
    </row>
    <row r="35" spans="1:25" s="3" customFormat="1" x14ac:dyDescent="0.25">
      <c r="A35" s="191">
        <v>45320</v>
      </c>
      <c r="B35" s="286"/>
      <c r="C35" s="287"/>
      <c r="D35" s="229"/>
      <c r="E35" s="230"/>
      <c r="F35" s="226"/>
      <c r="G35" s="227"/>
      <c r="H35" s="97"/>
      <c r="I35" s="98"/>
      <c r="J35" s="99"/>
      <c r="K35" s="226"/>
      <c r="L35" s="227"/>
      <c r="M35" s="97"/>
      <c r="N35" s="99"/>
      <c r="P35" s="12"/>
      <c r="Q35" s="15"/>
      <c r="R35" s="15"/>
      <c r="S35" s="15"/>
      <c r="T35" s="13"/>
      <c r="U35" s="13"/>
      <c r="V35" s="13"/>
      <c r="W35" s="13"/>
      <c r="X35" s="1"/>
    </row>
    <row r="36" spans="1:25" s="3" customFormat="1" x14ac:dyDescent="0.25">
      <c r="A36" s="191">
        <v>45321</v>
      </c>
      <c r="B36" s="286"/>
      <c r="C36" s="287"/>
      <c r="D36" s="229"/>
      <c r="E36" s="230"/>
      <c r="F36" s="226"/>
      <c r="G36" s="227"/>
      <c r="H36" s="97"/>
      <c r="I36" s="98"/>
      <c r="J36" s="99"/>
      <c r="K36" s="226"/>
      <c r="L36" s="227"/>
      <c r="M36" s="97"/>
      <c r="N36" s="99"/>
      <c r="P36" s="12"/>
      <c r="Q36" s="15"/>
      <c r="R36" s="15"/>
      <c r="S36" s="15"/>
      <c r="T36" s="13"/>
      <c r="U36" s="13"/>
      <c r="V36" s="13"/>
      <c r="W36" s="13"/>
      <c r="X36" s="1"/>
    </row>
    <row r="37" spans="1:25" s="3" customFormat="1" x14ac:dyDescent="0.25">
      <c r="A37" s="191">
        <v>45322</v>
      </c>
      <c r="B37" s="286"/>
      <c r="C37" s="287"/>
      <c r="D37" s="229"/>
      <c r="E37" s="230"/>
      <c r="F37" s="226"/>
      <c r="G37" s="227"/>
      <c r="H37" s="97"/>
      <c r="I37" s="98"/>
      <c r="J37" s="99"/>
      <c r="K37" s="226"/>
      <c r="L37" s="227"/>
      <c r="M37" s="97"/>
      <c r="N37" s="99"/>
      <c r="P37" s="12"/>
      <c r="Q37" s="15"/>
      <c r="R37" s="15"/>
      <c r="S37" s="15"/>
      <c r="T37" s="13"/>
      <c r="U37" s="13"/>
      <c r="V37" s="13"/>
      <c r="W37" s="13"/>
      <c r="X37" s="1"/>
    </row>
    <row r="38" spans="1:25" s="3" customFormat="1" x14ac:dyDescent="0.25">
      <c r="A38" s="191">
        <v>45323</v>
      </c>
      <c r="B38" s="286"/>
      <c r="C38" s="287"/>
      <c r="D38" s="229"/>
      <c r="E38" s="230"/>
      <c r="F38" s="226"/>
      <c r="G38" s="227"/>
      <c r="H38" s="97"/>
      <c r="I38" s="98"/>
      <c r="J38" s="99"/>
      <c r="K38" s="226"/>
      <c r="L38" s="227"/>
      <c r="M38" s="97"/>
      <c r="N38" s="99"/>
      <c r="P38" s="12"/>
      <c r="Q38" s="15"/>
      <c r="R38" s="15"/>
      <c r="S38" s="15"/>
      <c r="T38" s="13"/>
      <c r="U38" s="13"/>
      <c r="V38" s="13"/>
      <c r="W38" s="13"/>
      <c r="X38" s="1"/>
    </row>
    <row r="39" spans="1:25" s="3" customFormat="1" x14ac:dyDescent="0.25">
      <c r="A39" s="191">
        <v>45324</v>
      </c>
      <c r="B39" s="286"/>
      <c r="C39" s="287"/>
      <c r="D39" s="229"/>
      <c r="E39" s="230"/>
      <c r="F39" s="226"/>
      <c r="G39" s="227"/>
      <c r="H39" s="97"/>
      <c r="I39" s="98"/>
      <c r="J39" s="99"/>
      <c r="K39" s="226"/>
      <c r="L39" s="227"/>
      <c r="M39" s="97"/>
      <c r="N39" s="99"/>
      <c r="P39" s="12"/>
      <c r="Q39" s="15"/>
      <c r="R39" s="15"/>
      <c r="S39" s="15"/>
      <c r="T39" s="13"/>
      <c r="U39" s="13"/>
      <c r="V39" s="13"/>
      <c r="W39" s="13"/>
      <c r="X39" s="1"/>
    </row>
    <row r="40" spans="1:25" s="3" customFormat="1" x14ac:dyDescent="0.25">
      <c r="A40" s="191">
        <v>45325</v>
      </c>
      <c r="B40" s="286"/>
      <c r="C40" s="287"/>
      <c r="D40" s="229"/>
      <c r="E40" s="230"/>
      <c r="F40" s="226"/>
      <c r="G40" s="227"/>
      <c r="H40" s="97"/>
      <c r="I40" s="98"/>
      <c r="J40" s="99"/>
      <c r="K40" s="226"/>
      <c r="L40" s="227"/>
      <c r="M40" s="97"/>
      <c r="N40" s="99"/>
      <c r="P40" s="12"/>
      <c r="Q40" s="15"/>
      <c r="R40" s="15"/>
      <c r="S40" s="15"/>
      <c r="T40" s="13"/>
      <c r="U40" s="13"/>
      <c r="V40" s="13"/>
      <c r="W40" s="13"/>
      <c r="X40" s="1"/>
    </row>
    <row r="41" spans="1:25" s="3" customFormat="1" x14ac:dyDescent="0.25">
      <c r="A41" s="191">
        <v>45326</v>
      </c>
      <c r="B41" s="286"/>
      <c r="C41" s="287"/>
      <c r="D41" s="229"/>
      <c r="E41" s="230"/>
      <c r="F41" s="226"/>
      <c r="G41" s="227"/>
      <c r="H41" s="288"/>
      <c r="I41" s="290"/>
      <c r="J41" s="289"/>
      <c r="K41" s="226"/>
      <c r="L41" s="227"/>
      <c r="M41" s="288"/>
      <c r="N41" s="289"/>
      <c r="P41" s="12"/>
      <c r="Q41" s="15"/>
      <c r="R41" s="15"/>
      <c r="S41" s="15"/>
      <c r="T41" s="13"/>
      <c r="U41" s="13"/>
      <c r="V41" s="13"/>
      <c r="W41" s="13"/>
      <c r="X41" s="1"/>
    </row>
    <row r="42" spans="1:25" s="3" customFormat="1" ht="15.75" x14ac:dyDescent="0.25">
      <c r="A42" s="231" t="s">
        <v>21</v>
      </c>
      <c r="B42" s="232"/>
      <c r="C42" s="233"/>
      <c r="D42" s="234">
        <f>+COUNTA(D14:E41)</f>
        <v>0</v>
      </c>
      <c r="E42" s="235"/>
      <c r="F42" s="236">
        <f>+COUNTA(F14:G41)</f>
        <v>0</v>
      </c>
      <c r="G42" s="237"/>
      <c r="H42" s="288"/>
      <c r="I42" s="290"/>
      <c r="J42" s="289"/>
      <c r="K42" s="226"/>
      <c r="L42" s="227"/>
      <c r="M42" s="288"/>
      <c r="N42" s="289"/>
      <c r="O42" s="12"/>
      <c r="P42" s="12"/>
      <c r="Q42" s="12"/>
      <c r="R42" s="12"/>
      <c r="S42" s="12"/>
      <c r="T42" s="13"/>
      <c r="U42" s="13"/>
      <c r="V42" s="13"/>
      <c r="W42" s="13"/>
      <c r="X42" s="1"/>
    </row>
    <row r="43" spans="1:25" s="3" customFormat="1" x14ac:dyDescent="0.25">
      <c r="A43" s="12"/>
      <c r="B43" s="12"/>
      <c r="C43" s="12"/>
      <c r="D43" s="238" t="s">
        <v>38</v>
      </c>
      <c r="E43" s="239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3"/>
      <c r="U43" s="13"/>
      <c r="V43" s="13"/>
      <c r="W43" s="13"/>
      <c r="X43" s="1"/>
    </row>
    <row r="44" spans="1:25" s="3" customFormat="1" x14ac:dyDescent="0.25">
      <c r="K44" s="12"/>
      <c r="L44" s="12"/>
      <c r="M44" s="12"/>
      <c r="N44" s="12"/>
      <c r="O44" s="12"/>
      <c r="P44" s="12"/>
      <c r="U44" s="1"/>
      <c r="V44" s="1"/>
      <c r="W44" s="1"/>
      <c r="X44" s="1"/>
      <c r="Y44" s="1"/>
    </row>
    <row r="45" spans="1:25" s="3" customFormat="1" x14ac:dyDescent="0.25">
      <c r="A45" s="29" t="s">
        <v>20</v>
      </c>
      <c r="B45" s="30"/>
      <c r="C45" s="29"/>
      <c r="D45" s="29"/>
      <c r="E45" s="16"/>
      <c r="H45" s="18"/>
      <c r="P45" s="12"/>
      <c r="U45" s="1"/>
      <c r="V45" s="1"/>
      <c r="W45" s="1"/>
      <c r="X45" s="1"/>
      <c r="Y45" s="1"/>
    </row>
    <row r="46" spans="1:25" s="3" customFormat="1" x14ac:dyDescent="0.25">
      <c r="A46" s="29" t="s">
        <v>7</v>
      </c>
      <c r="B46" s="30"/>
      <c r="C46" s="31">
        <f ca="1">TODAY()</f>
        <v>45320</v>
      </c>
      <c r="D46" s="29"/>
      <c r="E46" s="16"/>
      <c r="J46" s="28" t="s">
        <v>22</v>
      </c>
      <c r="P46" s="12"/>
      <c r="U46" s="1"/>
      <c r="V46" s="1"/>
      <c r="W46" s="1"/>
      <c r="X46" s="1"/>
      <c r="Y46" s="1"/>
    </row>
    <row r="47" spans="1:25" s="3" customFormat="1" x14ac:dyDescent="0.25">
      <c r="A47" s="28"/>
      <c r="B47" s="240" t="s">
        <v>47</v>
      </c>
      <c r="C47" s="240"/>
      <c r="D47" s="240"/>
      <c r="E47" s="240"/>
      <c r="F47" s="240"/>
      <c r="J47" s="240" t="s">
        <v>48</v>
      </c>
      <c r="K47" s="240"/>
      <c r="L47" s="240"/>
      <c r="M47" s="240"/>
      <c r="N47" s="240"/>
      <c r="U47" s="1"/>
      <c r="V47" s="1"/>
      <c r="W47" s="1"/>
      <c r="X47" s="1"/>
      <c r="Y47" s="1"/>
    </row>
    <row r="48" spans="1:25" s="3" customFormat="1" x14ac:dyDescent="0.25">
      <c r="B48" s="240"/>
      <c r="C48" s="240"/>
      <c r="D48" s="240"/>
      <c r="E48" s="240"/>
      <c r="F48" s="240"/>
      <c r="J48" s="240"/>
      <c r="K48" s="240"/>
      <c r="L48" s="240"/>
      <c r="M48" s="240"/>
      <c r="N48" s="240"/>
      <c r="U48" s="1"/>
      <c r="V48" s="1"/>
      <c r="W48" s="1"/>
      <c r="X48" s="1"/>
      <c r="Y48" s="1"/>
    </row>
    <row r="49" spans="1:25" s="3" customFormat="1" x14ac:dyDescent="0.25">
      <c r="B49" s="240"/>
      <c r="C49" s="240"/>
      <c r="D49" s="240"/>
      <c r="E49" s="240"/>
      <c r="F49" s="240"/>
      <c r="J49" s="240"/>
      <c r="K49" s="240"/>
      <c r="L49" s="240"/>
      <c r="M49" s="240"/>
      <c r="N49" s="240"/>
      <c r="U49" s="1"/>
      <c r="V49" s="1"/>
      <c r="W49" s="1"/>
      <c r="X49" s="1"/>
      <c r="Y49" s="1"/>
    </row>
    <row r="50" spans="1:25" s="3" customFormat="1" x14ac:dyDescent="0.25">
      <c r="B50" s="240"/>
      <c r="C50" s="240"/>
      <c r="D50" s="240"/>
      <c r="E50" s="240"/>
      <c r="F50" s="240"/>
      <c r="J50" s="240"/>
      <c r="K50" s="240"/>
      <c r="L50" s="240"/>
      <c r="M50" s="240"/>
      <c r="N50" s="240"/>
      <c r="U50" s="1"/>
      <c r="V50" s="1"/>
      <c r="W50" s="1"/>
      <c r="X50" s="1"/>
      <c r="Y50" s="1"/>
    </row>
    <row r="51" spans="1:25" s="3" customFormat="1" x14ac:dyDescent="0.25">
      <c r="B51" s="240"/>
      <c r="C51" s="240"/>
      <c r="D51" s="240"/>
      <c r="E51" s="240"/>
      <c r="F51" s="240"/>
      <c r="J51" s="240"/>
      <c r="K51" s="240"/>
      <c r="L51" s="240"/>
      <c r="M51" s="240"/>
      <c r="N51" s="240"/>
      <c r="U51" s="1"/>
      <c r="V51" s="1"/>
      <c r="W51" s="1"/>
      <c r="X51" s="1"/>
      <c r="Y51" s="1"/>
    </row>
    <row r="52" spans="1:25" s="3" customFormat="1" x14ac:dyDescent="0.25">
      <c r="B52" s="240"/>
      <c r="C52" s="240"/>
      <c r="D52" s="240"/>
      <c r="E52" s="240"/>
      <c r="F52" s="240"/>
      <c r="J52" s="240"/>
      <c r="K52" s="240"/>
      <c r="L52" s="240"/>
      <c r="M52" s="240"/>
      <c r="N52" s="240"/>
      <c r="U52" s="1"/>
      <c r="V52" s="1"/>
      <c r="W52" s="1"/>
      <c r="X52" s="1"/>
      <c r="Y52" s="1"/>
    </row>
    <row r="53" spans="1:25" s="3" customFormat="1" x14ac:dyDescent="0.25">
      <c r="A53" s="3" t="s">
        <v>46</v>
      </c>
      <c r="B53" s="23"/>
      <c r="J53" s="3" t="s">
        <v>39</v>
      </c>
      <c r="U53" s="1"/>
      <c r="V53" s="1"/>
      <c r="W53" s="1"/>
      <c r="X53" s="1"/>
      <c r="Y53" s="1"/>
    </row>
    <row r="54" spans="1:25" s="3" customFormat="1" x14ac:dyDescent="0.25">
      <c r="B54" s="23"/>
      <c r="U54" s="1"/>
      <c r="V54" s="1"/>
      <c r="W54" s="1"/>
      <c r="X54" s="1"/>
      <c r="Y54" s="1"/>
    </row>
    <row r="55" spans="1:25" s="3" customFormat="1" x14ac:dyDescent="0.25">
      <c r="B55" s="23"/>
      <c r="U55" s="1"/>
      <c r="V55" s="1"/>
      <c r="W55" s="1"/>
      <c r="X55" s="1"/>
      <c r="Y55" s="1"/>
    </row>
    <row r="56" spans="1:25" s="3" customFormat="1" x14ac:dyDescent="0.25">
      <c r="A56" s="29"/>
      <c r="B56" s="23"/>
      <c r="D56" s="29"/>
      <c r="U56" s="1"/>
      <c r="V56" s="1"/>
      <c r="W56" s="1"/>
      <c r="X56" s="1"/>
      <c r="Y56" s="1"/>
    </row>
    <row r="57" spans="1:25" s="3" customFormat="1" x14ac:dyDescent="0.25">
      <c r="U57" s="1"/>
      <c r="V57" s="1"/>
      <c r="W57" s="1"/>
      <c r="X57" s="1"/>
      <c r="Y57" s="1"/>
    </row>
    <row r="58" spans="1:25" s="3" customFormat="1" x14ac:dyDescent="0.25">
      <c r="B58" s="23"/>
      <c r="U58" s="1"/>
      <c r="V58" s="1"/>
      <c r="W58" s="1"/>
      <c r="X58" s="1"/>
      <c r="Y58" s="1"/>
    </row>
    <row r="59" spans="1:25" s="3" customFormat="1" x14ac:dyDescent="0.25">
      <c r="B59" s="23"/>
      <c r="U59" s="1"/>
      <c r="V59" s="1"/>
      <c r="W59" s="1"/>
      <c r="X59" s="1"/>
      <c r="Y59" s="1"/>
    </row>
    <row r="60" spans="1:25" s="3" customFormat="1" x14ac:dyDescent="0.25">
      <c r="B60" s="23"/>
      <c r="U60" s="1"/>
      <c r="V60" s="1"/>
      <c r="W60" s="1"/>
      <c r="X60" s="1"/>
      <c r="Y60" s="1"/>
    </row>
    <row r="61" spans="1:25" s="3" customFormat="1" x14ac:dyDescent="0.25">
      <c r="B61" s="23"/>
      <c r="U61" s="1"/>
      <c r="V61" s="1"/>
      <c r="W61" s="1"/>
      <c r="X61" s="1"/>
      <c r="Y61" s="1"/>
    </row>
    <row r="62" spans="1:25" s="3" customFormat="1" x14ac:dyDescent="0.25">
      <c r="B62" s="23"/>
      <c r="U62" s="1"/>
      <c r="V62" s="1"/>
      <c r="W62" s="1"/>
      <c r="X62" s="1"/>
      <c r="Y62" s="1"/>
    </row>
    <row r="63" spans="1:25" s="3" customFormat="1" x14ac:dyDescent="0.25">
      <c r="B63" s="23"/>
      <c r="U63" s="1"/>
      <c r="V63" s="1"/>
      <c r="W63" s="1"/>
      <c r="X63" s="1"/>
      <c r="Y63" s="1"/>
    </row>
    <row r="64" spans="1:25" s="3" customFormat="1" x14ac:dyDescent="0.25">
      <c r="B64" s="23"/>
      <c r="U64" s="1"/>
      <c r="V64" s="1"/>
      <c r="W64" s="1"/>
      <c r="X64" s="1"/>
      <c r="Y64" s="1"/>
    </row>
    <row r="65" spans="2:25" s="3" customFormat="1" x14ac:dyDescent="0.25">
      <c r="B65" s="23"/>
      <c r="U65" s="1"/>
      <c r="V65" s="1"/>
      <c r="W65" s="1"/>
      <c r="X65" s="1"/>
      <c r="Y65" s="1"/>
    </row>
    <row r="66" spans="2:25" s="3" customFormat="1" x14ac:dyDescent="0.25">
      <c r="B66" s="23"/>
      <c r="U66" s="1"/>
      <c r="V66" s="1"/>
      <c r="W66" s="1"/>
      <c r="X66" s="1"/>
      <c r="Y66" s="1"/>
    </row>
    <row r="67" spans="2:25" s="3" customFormat="1" x14ac:dyDescent="0.25">
      <c r="B67" s="23"/>
      <c r="U67" s="1"/>
      <c r="V67" s="1"/>
      <c r="W67" s="1"/>
      <c r="X67" s="1"/>
      <c r="Y67" s="1"/>
    </row>
    <row r="68" spans="2:25" s="3" customFormat="1" x14ac:dyDescent="0.25">
      <c r="B68" s="23"/>
      <c r="U68" s="1"/>
      <c r="V68" s="1"/>
      <c r="W68" s="1"/>
      <c r="X68" s="1"/>
      <c r="Y68" s="1"/>
    </row>
    <row r="69" spans="2:25" s="3" customFormat="1" x14ac:dyDescent="0.25">
      <c r="B69" s="23"/>
      <c r="U69" s="1"/>
      <c r="V69" s="1"/>
      <c r="W69" s="1"/>
      <c r="X69" s="1"/>
      <c r="Y69" s="1"/>
    </row>
    <row r="70" spans="2:25" s="3" customFormat="1" x14ac:dyDescent="0.25">
      <c r="B70" s="23"/>
      <c r="U70" s="1"/>
      <c r="V70" s="1"/>
      <c r="W70" s="1"/>
      <c r="X70" s="1"/>
      <c r="Y70" s="1"/>
    </row>
    <row r="71" spans="2:25" s="3" customFormat="1" x14ac:dyDescent="0.25">
      <c r="B71" s="23"/>
      <c r="U71" s="1"/>
      <c r="V71" s="1"/>
      <c r="W71" s="1"/>
      <c r="X71" s="1"/>
      <c r="Y71" s="1"/>
    </row>
    <row r="72" spans="2:25" s="3" customFormat="1" x14ac:dyDescent="0.25">
      <c r="B72" s="23"/>
      <c r="U72" s="1"/>
      <c r="V72" s="1"/>
      <c r="W72" s="1"/>
      <c r="X72" s="1"/>
      <c r="Y72" s="1"/>
    </row>
    <row r="73" spans="2:25" s="3" customFormat="1" x14ac:dyDescent="0.25">
      <c r="B73" s="23"/>
      <c r="U73" s="1"/>
      <c r="V73" s="1"/>
      <c r="W73" s="1"/>
      <c r="X73" s="1"/>
      <c r="Y73" s="1"/>
    </row>
    <row r="74" spans="2:25" s="3" customFormat="1" x14ac:dyDescent="0.25">
      <c r="B74" s="23"/>
      <c r="U74" s="1"/>
      <c r="V74" s="1"/>
      <c r="W74" s="1"/>
      <c r="X74" s="1"/>
      <c r="Y74" s="1"/>
    </row>
    <row r="75" spans="2:25" s="3" customFormat="1" x14ac:dyDescent="0.25">
      <c r="B75" s="23"/>
      <c r="U75" s="1"/>
      <c r="V75" s="1"/>
      <c r="W75" s="1"/>
      <c r="X75" s="1"/>
      <c r="Y75" s="1"/>
    </row>
    <row r="76" spans="2:25" s="3" customFormat="1" x14ac:dyDescent="0.25">
      <c r="B76" s="23"/>
      <c r="U76" s="1"/>
      <c r="V76" s="1"/>
      <c r="W76" s="1"/>
      <c r="X76" s="1"/>
      <c r="Y76" s="1"/>
    </row>
    <row r="77" spans="2:25" s="3" customFormat="1" x14ac:dyDescent="0.25">
      <c r="B77" s="23"/>
      <c r="U77" s="1"/>
      <c r="V77" s="1"/>
      <c r="W77" s="1"/>
      <c r="X77" s="1"/>
      <c r="Y77" s="1"/>
    </row>
    <row r="78" spans="2:25" s="3" customFormat="1" x14ac:dyDescent="0.25">
      <c r="B78" s="23"/>
      <c r="U78" s="1"/>
      <c r="V78" s="1"/>
      <c r="W78" s="1"/>
      <c r="X78" s="1"/>
      <c r="Y78" s="1"/>
    </row>
    <row r="79" spans="2:25" s="3" customFormat="1" x14ac:dyDescent="0.25">
      <c r="B79" s="23"/>
      <c r="U79" s="1"/>
      <c r="V79" s="1"/>
      <c r="W79" s="1"/>
      <c r="X79" s="1"/>
      <c r="Y79" s="1"/>
    </row>
    <row r="80" spans="2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1:25" s="3" customFormat="1" x14ac:dyDescent="0.25">
      <c r="B225" s="23"/>
      <c r="U225" s="1"/>
      <c r="V225" s="1"/>
      <c r="W225" s="1"/>
      <c r="X225" s="1"/>
      <c r="Y225" s="1"/>
    </row>
    <row r="226" spans="1:25" s="3" customFormat="1" x14ac:dyDescent="0.25">
      <c r="B226" s="23"/>
      <c r="U226" s="1"/>
      <c r="V226" s="1"/>
      <c r="W226" s="1"/>
      <c r="X226" s="1"/>
      <c r="Y226" s="1"/>
    </row>
    <row r="227" spans="1:25" s="3" customFormat="1" x14ac:dyDescent="0.25">
      <c r="B227" s="23"/>
      <c r="U227" s="1"/>
      <c r="V227" s="1"/>
      <c r="W227" s="1"/>
      <c r="X227" s="1"/>
      <c r="Y227" s="1"/>
    </row>
    <row r="228" spans="1:25" s="3" customFormat="1" x14ac:dyDescent="0.25">
      <c r="B228" s="23"/>
      <c r="U228" s="1"/>
      <c r="V228" s="1"/>
      <c r="W228" s="1"/>
      <c r="X228" s="1"/>
      <c r="Y228" s="1"/>
    </row>
    <row r="229" spans="1:25" s="3" customFormat="1" x14ac:dyDescent="0.25">
      <c r="B229" s="23"/>
      <c r="U229" s="1"/>
      <c r="V229" s="1"/>
      <c r="W229" s="1"/>
      <c r="X229" s="1"/>
      <c r="Y229" s="1"/>
    </row>
    <row r="230" spans="1:25" s="3" customFormat="1" x14ac:dyDescent="0.25">
      <c r="B230" s="23"/>
      <c r="K230" s="6"/>
      <c r="L230" s="6"/>
      <c r="M230" s="6"/>
      <c r="N230" s="6"/>
      <c r="U230" s="1"/>
      <c r="V230" s="1"/>
      <c r="W230" s="1"/>
      <c r="X230" s="1"/>
      <c r="Y230" s="1"/>
    </row>
    <row r="231" spans="1:25" s="3" customFormat="1" x14ac:dyDescent="0.25">
      <c r="B231" s="23"/>
      <c r="K231" s="6"/>
      <c r="L231" s="6"/>
      <c r="M231" s="6"/>
      <c r="N231" s="6"/>
      <c r="U231" s="1"/>
      <c r="V231" s="1"/>
      <c r="W231" s="1"/>
      <c r="X231" s="1"/>
      <c r="Y231" s="1"/>
    </row>
    <row r="232" spans="1:25" s="3" customFormat="1" x14ac:dyDescent="0.25">
      <c r="B232" s="23"/>
      <c r="K232" s="6"/>
      <c r="L232" s="6"/>
      <c r="M232" s="6"/>
      <c r="N232" s="6"/>
      <c r="U232" s="1"/>
      <c r="V232" s="1"/>
      <c r="W232" s="1"/>
      <c r="X232" s="1"/>
      <c r="Y232" s="1"/>
    </row>
    <row r="233" spans="1:25" s="3" customFormat="1" x14ac:dyDescent="0.25">
      <c r="B233" s="23"/>
      <c r="J233" s="6"/>
      <c r="K233" s="6"/>
      <c r="L233" s="6"/>
      <c r="M233" s="6"/>
      <c r="N233" s="6"/>
      <c r="U233" s="1"/>
      <c r="V233" s="1"/>
      <c r="W233" s="1"/>
      <c r="X233" s="1"/>
      <c r="Y233" s="1"/>
    </row>
    <row r="234" spans="1:25" s="3" customFormat="1" x14ac:dyDescent="0.25">
      <c r="B234" s="23"/>
      <c r="J234" s="6"/>
      <c r="K234" s="6"/>
      <c r="L234" s="6"/>
      <c r="M234" s="6"/>
      <c r="N234" s="6"/>
      <c r="U234" s="1"/>
      <c r="V234" s="1"/>
      <c r="W234" s="1"/>
      <c r="X234" s="1"/>
      <c r="Y234" s="1"/>
    </row>
    <row r="235" spans="1:25" s="3" customFormat="1" x14ac:dyDescent="0.25">
      <c r="B235" s="23"/>
      <c r="J235" s="6"/>
      <c r="K235" s="6"/>
      <c r="L235" s="6"/>
      <c r="M235" s="6"/>
      <c r="N235" s="6"/>
      <c r="U235" s="1"/>
      <c r="V235" s="1"/>
      <c r="W235" s="1"/>
      <c r="X235" s="1"/>
      <c r="Y235" s="1"/>
    </row>
    <row r="236" spans="1:25" s="3" customFormat="1" x14ac:dyDescent="0.25">
      <c r="B236" s="23"/>
      <c r="J236" s="6"/>
      <c r="K236" s="6"/>
      <c r="L236" s="6"/>
      <c r="M236" s="6"/>
      <c r="N236" s="6"/>
      <c r="U236" s="1"/>
      <c r="V236" s="1"/>
      <c r="W236" s="1"/>
      <c r="X236" s="1"/>
      <c r="Y236" s="1"/>
    </row>
    <row r="237" spans="1:25" s="3" customFormat="1" x14ac:dyDescent="0.25">
      <c r="B237" s="23"/>
      <c r="J237" s="6"/>
      <c r="K237" s="6"/>
      <c r="L237" s="6"/>
      <c r="M237" s="6"/>
      <c r="N237" s="6"/>
      <c r="O237" s="6"/>
      <c r="U237" s="1"/>
      <c r="V237" s="1"/>
      <c r="W237" s="1"/>
      <c r="X237" s="1"/>
      <c r="Y237" s="1"/>
    </row>
    <row r="238" spans="1:25" s="3" customFormat="1" x14ac:dyDescent="0.25">
      <c r="B238" s="23"/>
      <c r="J238" s="6"/>
      <c r="K238" s="6"/>
      <c r="L238" s="6"/>
      <c r="M238" s="6"/>
      <c r="N238" s="6"/>
      <c r="O238" s="6"/>
      <c r="U238" s="1"/>
      <c r="V238" s="1"/>
      <c r="W238" s="1"/>
      <c r="X238" s="1"/>
      <c r="Y238" s="1"/>
    </row>
    <row r="239" spans="1:25" s="3" customFormat="1" x14ac:dyDescent="0.25">
      <c r="A239" s="6"/>
      <c r="B239" s="25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Q239" s="6"/>
      <c r="R239" s="6"/>
      <c r="S239" s="6"/>
      <c r="U239" s="1"/>
      <c r="V239" s="1"/>
      <c r="W239" s="1"/>
      <c r="X239" s="1"/>
      <c r="Y239" s="1"/>
    </row>
  </sheetData>
  <sheetProtection sheet="1" objects="1" scenarios="1"/>
  <mergeCells count="181">
    <mergeCell ref="J47:N52"/>
    <mergeCell ref="M42:N42"/>
    <mergeCell ref="D41:E41"/>
    <mergeCell ref="F41:G41"/>
    <mergeCell ref="K41:L41"/>
    <mergeCell ref="H42:J42"/>
    <mergeCell ref="K42:L42"/>
    <mergeCell ref="H41:J41"/>
    <mergeCell ref="M41:N41"/>
    <mergeCell ref="A37:C37"/>
    <mergeCell ref="A38:C38"/>
    <mergeCell ref="A39:C39"/>
    <mergeCell ref="A40:C40"/>
    <mergeCell ref="A42:C42"/>
    <mergeCell ref="D42:E42"/>
    <mergeCell ref="F42:G42"/>
    <mergeCell ref="D43:E43"/>
    <mergeCell ref="B47:F52"/>
    <mergeCell ref="A41:C41"/>
    <mergeCell ref="D39:E39"/>
    <mergeCell ref="F39:G39"/>
    <mergeCell ref="K39:L39"/>
    <mergeCell ref="D40:E40"/>
    <mergeCell ref="F40:G40"/>
    <mergeCell ref="K40:L40"/>
    <mergeCell ref="D37:E37"/>
    <mergeCell ref="F37:G37"/>
    <mergeCell ref="K37:L37"/>
    <mergeCell ref="D38:E38"/>
    <mergeCell ref="F38:G38"/>
    <mergeCell ref="K38:L38"/>
    <mergeCell ref="A32:C32"/>
    <mergeCell ref="A33:C33"/>
    <mergeCell ref="A34:C34"/>
    <mergeCell ref="D35:E35"/>
    <mergeCell ref="F35:G35"/>
    <mergeCell ref="K35:L35"/>
    <mergeCell ref="D36:E36"/>
    <mergeCell ref="F36:G36"/>
    <mergeCell ref="K36:L36"/>
    <mergeCell ref="D34:E34"/>
    <mergeCell ref="F34:G34"/>
    <mergeCell ref="H34:J34"/>
    <mergeCell ref="K34:L34"/>
    <mergeCell ref="A35:C35"/>
    <mergeCell ref="A36:C36"/>
    <mergeCell ref="M34:N34"/>
    <mergeCell ref="D33:E33"/>
    <mergeCell ref="F33:G33"/>
    <mergeCell ref="H33:J33"/>
    <mergeCell ref="K33:L33"/>
    <mergeCell ref="M33:N33"/>
    <mergeCell ref="D32:E32"/>
    <mergeCell ref="F32:G32"/>
    <mergeCell ref="H32:J32"/>
    <mergeCell ref="K32:L32"/>
    <mergeCell ref="M32:N32"/>
    <mergeCell ref="A28:C28"/>
    <mergeCell ref="A29:C29"/>
    <mergeCell ref="D31:E31"/>
    <mergeCell ref="F31:G31"/>
    <mergeCell ref="H31:J31"/>
    <mergeCell ref="K31:L31"/>
    <mergeCell ref="M31:N31"/>
    <mergeCell ref="D30:E30"/>
    <mergeCell ref="F30:G30"/>
    <mergeCell ref="H30:J30"/>
    <mergeCell ref="K30:L30"/>
    <mergeCell ref="M30:N30"/>
    <mergeCell ref="A30:C30"/>
    <mergeCell ref="A31:C31"/>
    <mergeCell ref="D29:E29"/>
    <mergeCell ref="F29:G29"/>
    <mergeCell ref="H29:J29"/>
    <mergeCell ref="K29:L29"/>
    <mergeCell ref="M29:N29"/>
    <mergeCell ref="D28:E28"/>
    <mergeCell ref="F28:G28"/>
    <mergeCell ref="H28:J28"/>
    <mergeCell ref="K28:L28"/>
    <mergeCell ref="M28:N28"/>
    <mergeCell ref="A24:C24"/>
    <mergeCell ref="A25:C25"/>
    <mergeCell ref="D27:E27"/>
    <mergeCell ref="F27:G27"/>
    <mergeCell ref="H27:J27"/>
    <mergeCell ref="K27:L27"/>
    <mergeCell ref="M27:N27"/>
    <mergeCell ref="D26:E26"/>
    <mergeCell ref="F26:G26"/>
    <mergeCell ref="H26:J26"/>
    <mergeCell ref="K26:L26"/>
    <mergeCell ref="M26:N26"/>
    <mergeCell ref="A26:C26"/>
    <mergeCell ref="A27:C27"/>
    <mergeCell ref="D25:E25"/>
    <mergeCell ref="F25:G25"/>
    <mergeCell ref="H25:J25"/>
    <mergeCell ref="K25:L25"/>
    <mergeCell ref="M25:N25"/>
    <mergeCell ref="D24:E24"/>
    <mergeCell ref="F24:G24"/>
    <mergeCell ref="H24:J24"/>
    <mergeCell ref="K24:L24"/>
    <mergeCell ref="M24:N24"/>
    <mergeCell ref="A20:C20"/>
    <mergeCell ref="A21:C21"/>
    <mergeCell ref="D23:E23"/>
    <mergeCell ref="F23:G23"/>
    <mergeCell ref="H23:J23"/>
    <mergeCell ref="K23:L23"/>
    <mergeCell ref="M23:N23"/>
    <mergeCell ref="D22:E22"/>
    <mergeCell ref="F22:G22"/>
    <mergeCell ref="H22:J22"/>
    <mergeCell ref="K22:L22"/>
    <mergeCell ref="M22:N22"/>
    <mergeCell ref="A22:C22"/>
    <mergeCell ref="A23:C23"/>
    <mergeCell ref="D21:E21"/>
    <mergeCell ref="F21:G21"/>
    <mergeCell ref="H21:J21"/>
    <mergeCell ref="K21:L21"/>
    <mergeCell ref="M21:N21"/>
    <mergeCell ref="D20:E20"/>
    <mergeCell ref="F20:G20"/>
    <mergeCell ref="H20:J20"/>
    <mergeCell ref="K20:L20"/>
    <mergeCell ref="M20:N20"/>
    <mergeCell ref="A16:C16"/>
    <mergeCell ref="A17:C17"/>
    <mergeCell ref="D19:E19"/>
    <mergeCell ref="F19:G19"/>
    <mergeCell ref="H19:J19"/>
    <mergeCell ref="K19:L19"/>
    <mergeCell ref="M19:N19"/>
    <mergeCell ref="D18:E18"/>
    <mergeCell ref="F18:G18"/>
    <mergeCell ref="H18:J18"/>
    <mergeCell ref="K18:L18"/>
    <mergeCell ref="M18:N18"/>
    <mergeCell ref="A18:C18"/>
    <mergeCell ref="A19:C19"/>
    <mergeCell ref="D17:E17"/>
    <mergeCell ref="F17:G17"/>
    <mergeCell ref="H17:J17"/>
    <mergeCell ref="K17:L17"/>
    <mergeCell ref="M17:N17"/>
    <mergeCell ref="D16:E16"/>
    <mergeCell ref="F16:G16"/>
    <mergeCell ref="H16:J16"/>
    <mergeCell ref="K16:L16"/>
    <mergeCell ref="M16:N16"/>
    <mergeCell ref="A13:C13"/>
    <mergeCell ref="D13:E13"/>
    <mergeCell ref="F13:G13"/>
    <mergeCell ref="H13:J13"/>
    <mergeCell ref="K13:L13"/>
    <mergeCell ref="M13:N13"/>
    <mergeCell ref="D15:E15"/>
    <mergeCell ref="F15:G15"/>
    <mergeCell ref="H15:J15"/>
    <mergeCell ref="K15:L15"/>
    <mergeCell ref="M15:N15"/>
    <mergeCell ref="D14:E14"/>
    <mergeCell ref="F14:G14"/>
    <mergeCell ref="H14:J14"/>
    <mergeCell ref="K14:L14"/>
    <mergeCell ref="M14:N14"/>
    <mergeCell ref="A14:C14"/>
    <mergeCell ref="A15:C15"/>
    <mergeCell ref="D2:K4"/>
    <mergeCell ref="L2:N4"/>
    <mergeCell ref="R3:T3"/>
    <mergeCell ref="B5:K5"/>
    <mergeCell ref="L5:N5"/>
    <mergeCell ref="R5:T5"/>
    <mergeCell ref="C8:F8"/>
    <mergeCell ref="K8:N8"/>
    <mergeCell ref="C10:F10"/>
    <mergeCell ref="K10:N10"/>
  </mergeCells>
  <conditionalFormatting sqref="D14:D42">
    <cfRule type="expression" dxfId="117" priority="3">
      <formula>#REF!="Non"</formula>
    </cfRule>
    <cfRule type="expression" dxfId="116" priority="4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6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BD244"/>
  <sheetViews>
    <sheetView topLeftCell="A7" zoomScale="85" zoomScaleNormal="85" workbookViewId="0">
      <selection activeCell="K12" sqref="K12:L12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1" style="6" customWidth="1"/>
    <col min="4" max="4" width="8.42578125" style="6" customWidth="1"/>
    <col min="5" max="5" width="6.42578125" style="6" customWidth="1"/>
    <col min="6" max="6" width="5.42578125" style="6" customWidth="1"/>
    <col min="7" max="7" width="8" style="6" customWidth="1"/>
    <col min="8" max="8" width="5.85546875" style="6" customWidth="1"/>
    <col min="9" max="9" width="9.42578125" style="6" customWidth="1"/>
    <col min="10" max="10" width="14.42578125" style="6" customWidth="1"/>
    <col min="11" max="12" width="8.140625" style="6" customWidth="1"/>
    <col min="13" max="13" width="8" style="6" customWidth="1"/>
    <col min="14" max="14" width="10.42578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67</v>
      </c>
      <c r="E2" s="195"/>
      <c r="F2" s="195"/>
      <c r="G2" s="195"/>
      <c r="H2" s="195"/>
      <c r="I2" s="195"/>
      <c r="J2" s="195"/>
      <c r="K2" s="195"/>
      <c r="L2" s="291">
        <f>'Niveau 1 Fév'!L2:N4</f>
        <v>45323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4"/>
      <c r="Q3" s="4"/>
      <c r="R3" s="220"/>
      <c r="S3" s="220"/>
      <c r="T3" s="220"/>
      <c r="U3" s="34"/>
      <c r="V3" s="34"/>
      <c r="W3" s="34"/>
      <c r="X3" s="34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4"/>
      <c r="Q4" s="4"/>
      <c r="R4" s="34"/>
      <c r="S4" s="34"/>
      <c r="T4" s="34"/>
      <c r="U4" s="34"/>
      <c r="V4" s="34"/>
      <c r="W4" s="34"/>
      <c r="X4" s="34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f>+'Niveau 1 Fév'!L5:N5</f>
        <v>45328</v>
      </c>
      <c r="M5" s="222"/>
      <c r="N5" s="222"/>
      <c r="O5" s="3"/>
      <c r="P5" s="34"/>
      <c r="Q5" s="5"/>
      <c r="R5" s="220"/>
      <c r="S5" s="220"/>
      <c r="T5" s="220"/>
      <c r="U5" s="34"/>
      <c r="V5" s="34"/>
      <c r="W5" s="34"/>
      <c r="X5" s="34"/>
      <c r="Y5" s="5"/>
    </row>
    <row r="6" spans="1:25" ht="19.5" customHeight="1" x14ac:dyDescent="0.35">
      <c r="A6" s="27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40"/>
      <c r="V6" s="40"/>
      <c r="W6" s="40"/>
      <c r="X6" s="40"/>
      <c r="Y6" s="5"/>
    </row>
    <row r="7" spans="1:25" ht="19.5" customHeight="1" thickBot="1" x14ac:dyDescent="0.4">
      <c r="A7" s="111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40"/>
      <c r="V7" s="40"/>
      <c r="W7" s="40"/>
      <c r="X7" s="40"/>
      <c r="Y7" s="5"/>
    </row>
    <row r="8" spans="1:25" ht="18" customHeight="1" thickBot="1" x14ac:dyDescent="0.3">
      <c r="A8" s="8" t="s">
        <v>2</v>
      </c>
      <c r="B8" s="24"/>
      <c r="C8" s="223"/>
      <c r="D8" s="224"/>
      <c r="E8" s="224"/>
      <c r="F8" s="225"/>
      <c r="G8" s="9"/>
      <c r="H8" s="8" t="s">
        <v>26</v>
      </c>
      <c r="I8" s="8"/>
      <c r="J8" s="8"/>
      <c r="K8" s="223"/>
      <c r="L8" s="224"/>
      <c r="M8" s="224"/>
      <c r="N8" s="225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223"/>
      <c r="D10" s="224"/>
      <c r="E10" s="224"/>
      <c r="F10" s="225"/>
      <c r="G10" s="9"/>
      <c r="H10" s="8" t="s">
        <v>25</v>
      </c>
      <c r="I10" s="8"/>
      <c r="J10" s="8"/>
      <c r="K10" s="223"/>
      <c r="L10" s="224"/>
      <c r="M10" s="224"/>
      <c r="N10" s="225"/>
      <c r="O10" s="26"/>
      <c r="P10" s="26"/>
      <c r="Q10" s="26"/>
      <c r="R10" s="26"/>
      <c r="S10" s="26"/>
      <c r="T10" s="26"/>
      <c r="U10" s="11"/>
    </row>
    <row r="11" spans="1:25" ht="18" customHeight="1" thickBot="1" x14ac:dyDescent="0.35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8" customHeight="1" thickBot="1" x14ac:dyDescent="0.35">
      <c r="A12" s="8" t="s">
        <v>49</v>
      </c>
      <c r="B12" s="24"/>
      <c r="C12" s="223"/>
      <c r="D12" s="224"/>
      <c r="E12" s="224"/>
      <c r="F12" s="225"/>
      <c r="G12" s="24"/>
      <c r="H12" s="8" t="s">
        <v>52</v>
      </c>
      <c r="I12" s="8"/>
      <c r="J12" s="24"/>
      <c r="K12" s="241"/>
      <c r="L12" s="242"/>
      <c r="M12" s="8" t="s">
        <v>59</v>
      </c>
      <c r="N12" s="24"/>
      <c r="O12" s="26"/>
      <c r="P12" s="26"/>
      <c r="Q12" s="26"/>
      <c r="R12" s="26"/>
      <c r="S12" s="26"/>
      <c r="T12" s="26"/>
      <c r="U12" s="11"/>
    </row>
    <row r="13" spans="1:25" ht="18" customHeight="1" thickBot="1" x14ac:dyDescent="0.35">
      <c r="A13" s="8"/>
      <c r="B13" s="24"/>
      <c r="C13" s="24"/>
      <c r="D13" s="24"/>
      <c r="E13" s="24"/>
      <c r="F13" s="24"/>
      <c r="G13" s="24"/>
      <c r="H13" s="8" t="s">
        <v>51</v>
      </c>
      <c r="I13" s="8"/>
      <c r="J13" s="24"/>
      <c r="K13" s="260"/>
      <c r="L13" s="261"/>
      <c r="M13" s="32" t="s">
        <v>60</v>
      </c>
      <c r="N13" s="24"/>
      <c r="O13" s="26"/>
      <c r="P13" s="26"/>
      <c r="Q13" s="26"/>
      <c r="R13" s="26"/>
      <c r="S13" s="26"/>
      <c r="T13" s="26"/>
      <c r="U13" s="11"/>
    </row>
    <row r="14" spans="1:25" ht="13.5" customHeight="1" thickBot="1" x14ac:dyDescent="0.35">
      <c r="A14" s="8"/>
      <c r="B14" s="24"/>
      <c r="C14" s="24"/>
      <c r="D14" s="24"/>
      <c r="E14" s="24"/>
      <c r="F14" s="24"/>
      <c r="G14" s="9"/>
      <c r="H14" s="8"/>
      <c r="I14" s="8"/>
      <c r="J14" s="8"/>
      <c r="K14" s="8"/>
      <c r="L14" s="8"/>
      <c r="M14" s="8"/>
      <c r="N14" s="8"/>
      <c r="O14" s="26"/>
      <c r="P14" s="26"/>
      <c r="Q14" s="26"/>
      <c r="R14" s="26"/>
      <c r="S14" s="26"/>
      <c r="T14" s="26"/>
      <c r="U14" s="11"/>
    </row>
    <row r="15" spans="1:25" ht="22.5" customHeight="1" thickBot="1" x14ac:dyDescent="0.35">
      <c r="A15" s="8"/>
      <c r="B15" s="24"/>
      <c r="C15" s="10"/>
      <c r="D15" s="10"/>
      <c r="E15" s="10"/>
      <c r="F15" s="262" t="s">
        <v>28</v>
      </c>
      <c r="G15" s="263"/>
      <c r="H15" s="263"/>
      <c r="I15" s="263"/>
      <c r="J15" s="263"/>
      <c r="K15" s="263"/>
      <c r="L15" s="263"/>
      <c r="M15" s="263"/>
      <c r="N15" s="264"/>
      <c r="O15" s="26"/>
      <c r="P15" s="26"/>
      <c r="Q15" s="26"/>
      <c r="R15" s="26"/>
      <c r="S15" s="26"/>
      <c r="T15" s="26"/>
      <c r="U15" s="11"/>
    </row>
    <row r="16" spans="1:25" s="19" customFormat="1" ht="54.75" customHeight="1" x14ac:dyDescent="0.25">
      <c r="A16" s="200" t="s">
        <v>1</v>
      </c>
      <c r="B16" s="201"/>
      <c r="C16" s="202"/>
      <c r="D16" s="203" t="s">
        <v>58</v>
      </c>
      <c r="E16" s="204"/>
      <c r="F16" s="265" t="s">
        <v>29</v>
      </c>
      <c r="G16" s="265"/>
      <c r="H16" s="266" t="s">
        <v>61</v>
      </c>
      <c r="I16" s="267"/>
      <c r="J16" s="35" t="s">
        <v>63</v>
      </c>
      <c r="K16" s="268" t="s">
        <v>64</v>
      </c>
      <c r="L16" s="269"/>
      <c r="M16" s="266" t="s">
        <v>30</v>
      </c>
      <c r="N16" s="267"/>
      <c r="O16" s="26"/>
      <c r="P16" s="26"/>
      <c r="Q16" s="26"/>
      <c r="R16" s="26"/>
      <c r="S16" s="26"/>
      <c r="T16" s="26"/>
      <c r="U16" s="20"/>
      <c r="V16" s="20"/>
      <c r="W16" s="20"/>
      <c r="X16" s="21"/>
    </row>
    <row r="17" spans="1:24" s="3" customFormat="1" ht="15.75" x14ac:dyDescent="0.25">
      <c r="A17" s="191">
        <v>45299</v>
      </c>
      <c r="B17" s="286"/>
      <c r="C17" s="287"/>
      <c r="D17" s="243"/>
      <c r="E17" s="243"/>
      <c r="F17" s="244"/>
      <c r="G17" s="245"/>
      <c r="H17" s="246"/>
      <c r="I17" s="247"/>
      <c r="J17" s="100"/>
      <c r="K17" s="248"/>
      <c r="L17" s="248"/>
      <c r="M17" s="249">
        <f t="shared" ref="M17" si="0">+K17-J17</f>
        <v>0</v>
      </c>
      <c r="N17" s="250"/>
      <c r="O17" s="26"/>
      <c r="P17" s="26"/>
      <c r="Q17" s="26"/>
      <c r="R17" s="26"/>
      <c r="S17" s="26"/>
      <c r="T17" s="26"/>
      <c r="U17" s="13"/>
      <c r="V17" s="13"/>
      <c r="W17" s="13"/>
      <c r="X17" s="1"/>
    </row>
    <row r="18" spans="1:24" s="3" customFormat="1" ht="15.75" x14ac:dyDescent="0.25">
      <c r="A18" s="191">
        <v>45300</v>
      </c>
      <c r="B18" s="286"/>
      <c r="C18" s="287"/>
      <c r="D18" s="243"/>
      <c r="E18" s="243"/>
      <c r="F18" s="244"/>
      <c r="G18" s="245"/>
      <c r="H18" s="246"/>
      <c r="I18" s="247"/>
      <c r="J18" s="100"/>
      <c r="K18" s="248"/>
      <c r="L18" s="248"/>
      <c r="M18" s="249">
        <f t="shared" ref="M18:M44" si="1">+K18-J18</f>
        <v>0</v>
      </c>
      <c r="N18" s="250"/>
      <c r="P18" s="26"/>
      <c r="Q18" s="26"/>
      <c r="R18" s="26"/>
      <c r="S18" s="26"/>
      <c r="T18" s="26"/>
      <c r="U18" s="13"/>
      <c r="V18" s="13"/>
      <c r="W18" s="13"/>
      <c r="X18" s="1"/>
    </row>
    <row r="19" spans="1:24" s="3" customFormat="1" ht="15.75" x14ac:dyDescent="0.25">
      <c r="A19" s="191">
        <v>45301</v>
      </c>
      <c r="B19" s="286"/>
      <c r="C19" s="287"/>
      <c r="D19" s="243"/>
      <c r="E19" s="243"/>
      <c r="F19" s="244"/>
      <c r="G19" s="245"/>
      <c r="H19" s="246"/>
      <c r="I19" s="247"/>
      <c r="J19" s="100"/>
      <c r="K19" s="248"/>
      <c r="L19" s="248"/>
      <c r="M19" s="249">
        <f t="shared" si="1"/>
        <v>0</v>
      </c>
      <c r="N19" s="250"/>
      <c r="P19" s="26"/>
      <c r="Q19" s="26"/>
      <c r="R19" s="26"/>
      <c r="S19" s="26"/>
      <c r="T19" s="26"/>
      <c r="U19" s="26"/>
      <c r="V19" s="13"/>
      <c r="W19" s="13"/>
      <c r="X19" s="1"/>
    </row>
    <row r="20" spans="1:24" s="3" customFormat="1" x14ac:dyDescent="0.25">
      <c r="A20" s="191">
        <v>45302</v>
      </c>
      <c r="B20" s="286"/>
      <c r="C20" s="287"/>
      <c r="D20" s="243"/>
      <c r="E20" s="243"/>
      <c r="F20" s="244"/>
      <c r="G20" s="245"/>
      <c r="H20" s="246"/>
      <c r="I20" s="247"/>
      <c r="J20" s="100"/>
      <c r="K20" s="248"/>
      <c r="L20" s="248"/>
      <c r="M20" s="249">
        <f t="shared" si="1"/>
        <v>0</v>
      </c>
      <c r="N20" s="250"/>
      <c r="P20" s="12"/>
      <c r="Q20" s="12"/>
      <c r="R20" s="12"/>
      <c r="S20" s="12"/>
      <c r="T20" s="13"/>
      <c r="U20" s="13"/>
      <c r="V20" s="13"/>
      <c r="W20" s="13"/>
      <c r="X20" s="1"/>
    </row>
    <row r="21" spans="1:24" s="3" customFormat="1" x14ac:dyDescent="0.25">
      <c r="A21" s="191">
        <v>45303</v>
      </c>
      <c r="B21" s="286"/>
      <c r="C21" s="287"/>
      <c r="D21" s="243"/>
      <c r="E21" s="243"/>
      <c r="F21" s="244"/>
      <c r="G21" s="245"/>
      <c r="H21" s="246"/>
      <c r="I21" s="247"/>
      <c r="J21" s="100"/>
      <c r="K21" s="248"/>
      <c r="L21" s="248"/>
      <c r="M21" s="249">
        <f t="shared" si="1"/>
        <v>0</v>
      </c>
      <c r="N21" s="250"/>
      <c r="P21" s="12"/>
      <c r="Q21" s="12"/>
      <c r="R21" s="12"/>
      <c r="S21" s="12"/>
      <c r="T21" s="13"/>
      <c r="U21" s="13"/>
      <c r="V21" s="13"/>
      <c r="W21" s="13"/>
      <c r="X21" s="1"/>
    </row>
    <row r="22" spans="1:24" s="3" customFormat="1" x14ac:dyDescent="0.25">
      <c r="A22" s="191">
        <v>45304</v>
      </c>
      <c r="B22" s="286"/>
      <c r="C22" s="287"/>
      <c r="D22" s="243"/>
      <c r="E22" s="243"/>
      <c r="F22" s="244"/>
      <c r="G22" s="245"/>
      <c r="H22" s="246"/>
      <c r="I22" s="247"/>
      <c r="J22" s="100"/>
      <c r="K22" s="248"/>
      <c r="L22" s="248"/>
      <c r="M22" s="249">
        <f t="shared" si="1"/>
        <v>0</v>
      </c>
      <c r="N22" s="250"/>
      <c r="P22" s="12"/>
      <c r="Q22" s="12"/>
      <c r="R22" s="12"/>
      <c r="S22" s="12"/>
      <c r="T22" s="13"/>
      <c r="U22" s="13"/>
      <c r="V22" s="13"/>
      <c r="W22" s="13"/>
      <c r="X22" s="1"/>
    </row>
    <row r="23" spans="1:24" s="3" customFormat="1" x14ac:dyDescent="0.25">
      <c r="A23" s="191">
        <v>45305</v>
      </c>
      <c r="B23" s="286"/>
      <c r="C23" s="287"/>
      <c r="D23" s="243"/>
      <c r="E23" s="243"/>
      <c r="F23" s="244"/>
      <c r="G23" s="245"/>
      <c r="H23" s="246"/>
      <c r="I23" s="247"/>
      <c r="J23" s="100"/>
      <c r="K23" s="248"/>
      <c r="L23" s="248"/>
      <c r="M23" s="249">
        <f t="shared" si="1"/>
        <v>0</v>
      </c>
      <c r="N23" s="250"/>
      <c r="P23" s="12"/>
      <c r="Q23" s="12"/>
      <c r="R23" s="12"/>
      <c r="S23" s="12"/>
      <c r="T23" s="13"/>
      <c r="U23" s="13"/>
      <c r="V23" s="13"/>
      <c r="W23" s="13"/>
      <c r="X23" s="1"/>
    </row>
    <row r="24" spans="1:24" s="3" customFormat="1" x14ac:dyDescent="0.25">
      <c r="A24" s="191">
        <v>45306</v>
      </c>
      <c r="B24" s="286"/>
      <c r="C24" s="287"/>
      <c r="D24" s="243"/>
      <c r="E24" s="243"/>
      <c r="F24" s="244"/>
      <c r="G24" s="245"/>
      <c r="H24" s="246"/>
      <c r="I24" s="247"/>
      <c r="J24" s="100"/>
      <c r="K24" s="248"/>
      <c r="L24" s="248"/>
      <c r="M24" s="249">
        <f t="shared" si="1"/>
        <v>0</v>
      </c>
      <c r="N24" s="250"/>
      <c r="P24" s="12"/>
      <c r="Q24" s="12"/>
      <c r="R24" s="12"/>
      <c r="S24" s="12"/>
      <c r="T24" s="13"/>
      <c r="U24" s="13"/>
      <c r="V24" s="13"/>
      <c r="W24" s="13"/>
      <c r="X24" s="1"/>
    </row>
    <row r="25" spans="1:24" s="3" customFormat="1" x14ac:dyDescent="0.25">
      <c r="A25" s="191">
        <v>45307</v>
      </c>
      <c r="B25" s="286"/>
      <c r="C25" s="287"/>
      <c r="D25" s="243"/>
      <c r="E25" s="243"/>
      <c r="F25" s="244"/>
      <c r="G25" s="245"/>
      <c r="H25" s="246"/>
      <c r="I25" s="247"/>
      <c r="J25" s="100"/>
      <c r="K25" s="248"/>
      <c r="L25" s="248"/>
      <c r="M25" s="249">
        <f t="shared" si="1"/>
        <v>0</v>
      </c>
      <c r="N25" s="250"/>
      <c r="P25" s="12"/>
      <c r="Q25" s="12"/>
      <c r="R25" s="12"/>
      <c r="S25" s="12"/>
      <c r="T25" s="13"/>
      <c r="U25" s="13"/>
      <c r="V25" s="13"/>
      <c r="W25" s="13"/>
      <c r="X25" s="1"/>
    </row>
    <row r="26" spans="1:24" s="3" customFormat="1" x14ac:dyDescent="0.25">
      <c r="A26" s="191">
        <v>45308</v>
      </c>
      <c r="B26" s="286"/>
      <c r="C26" s="287"/>
      <c r="D26" s="243"/>
      <c r="E26" s="243"/>
      <c r="F26" s="244"/>
      <c r="G26" s="245"/>
      <c r="H26" s="246"/>
      <c r="I26" s="247"/>
      <c r="J26" s="100"/>
      <c r="K26" s="248"/>
      <c r="L26" s="248"/>
      <c r="M26" s="249">
        <f t="shared" si="1"/>
        <v>0</v>
      </c>
      <c r="N26" s="250"/>
      <c r="P26" s="12"/>
      <c r="Q26" s="12"/>
      <c r="R26" s="12"/>
      <c r="S26" s="12"/>
      <c r="T26" s="13"/>
      <c r="U26" s="13"/>
      <c r="V26" s="13"/>
      <c r="W26" s="13"/>
      <c r="X26" s="1"/>
    </row>
    <row r="27" spans="1:24" s="3" customFormat="1" x14ac:dyDescent="0.25">
      <c r="A27" s="191">
        <v>45309</v>
      </c>
      <c r="B27" s="286"/>
      <c r="C27" s="287"/>
      <c r="D27" s="243"/>
      <c r="E27" s="243"/>
      <c r="F27" s="244"/>
      <c r="G27" s="245"/>
      <c r="H27" s="246"/>
      <c r="I27" s="247"/>
      <c r="J27" s="100"/>
      <c r="K27" s="248"/>
      <c r="L27" s="248"/>
      <c r="M27" s="249">
        <f t="shared" si="1"/>
        <v>0</v>
      </c>
      <c r="N27" s="250"/>
      <c r="P27" s="12"/>
      <c r="Q27" s="15"/>
      <c r="R27" s="15"/>
      <c r="S27" s="15"/>
      <c r="T27" s="13"/>
      <c r="U27" s="13"/>
      <c r="V27" s="13"/>
      <c r="W27" s="13"/>
      <c r="X27" s="1"/>
    </row>
    <row r="28" spans="1:24" s="3" customFormat="1" x14ac:dyDescent="0.25">
      <c r="A28" s="191">
        <v>45310</v>
      </c>
      <c r="B28" s="286"/>
      <c r="C28" s="287"/>
      <c r="D28" s="243"/>
      <c r="E28" s="243"/>
      <c r="F28" s="244"/>
      <c r="G28" s="245"/>
      <c r="H28" s="246"/>
      <c r="I28" s="247"/>
      <c r="J28" s="100"/>
      <c r="K28" s="248"/>
      <c r="L28" s="248"/>
      <c r="M28" s="249">
        <f t="shared" si="1"/>
        <v>0</v>
      </c>
      <c r="N28" s="250"/>
      <c r="P28" s="12"/>
      <c r="Q28" s="15"/>
      <c r="R28" s="15"/>
      <c r="S28" s="15"/>
      <c r="T28" s="13"/>
      <c r="U28" s="13"/>
      <c r="V28" s="13"/>
      <c r="W28" s="13"/>
      <c r="X28" s="1"/>
    </row>
    <row r="29" spans="1:24" s="3" customFormat="1" x14ac:dyDescent="0.25">
      <c r="A29" s="191">
        <v>45311</v>
      </c>
      <c r="B29" s="286"/>
      <c r="C29" s="287"/>
      <c r="D29" s="243"/>
      <c r="E29" s="243"/>
      <c r="F29" s="244"/>
      <c r="G29" s="245"/>
      <c r="H29" s="246"/>
      <c r="I29" s="247"/>
      <c r="J29" s="100"/>
      <c r="K29" s="248"/>
      <c r="L29" s="248"/>
      <c r="M29" s="249">
        <f t="shared" si="1"/>
        <v>0</v>
      </c>
      <c r="N29" s="250"/>
      <c r="P29" s="12"/>
      <c r="Q29" s="15"/>
      <c r="R29" s="15"/>
      <c r="S29" s="15"/>
      <c r="T29" s="13"/>
      <c r="U29" s="13"/>
      <c r="V29" s="13"/>
      <c r="W29" s="13"/>
      <c r="X29" s="1"/>
    </row>
    <row r="30" spans="1:24" s="3" customFormat="1" x14ac:dyDescent="0.25">
      <c r="A30" s="191">
        <v>45312</v>
      </c>
      <c r="B30" s="286"/>
      <c r="C30" s="287"/>
      <c r="D30" s="243"/>
      <c r="E30" s="243"/>
      <c r="F30" s="244"/>
      <c r="G30" s="245"/>
      <c r="H30" s="246"/>
      <c r="I30" s="247"/>
      <c r="J30" s="100"/>
      <c r="K30" s="248"/>
      <c r="L30" s="248"/>
      <c r="M30" s="249">
        <f t="shared" si="1"/>
        <v>0</v>
      </c>
      <c r="N30" s="250"/>
      <c r="O30" s="1"/>
      <c r="P30" s="12"/>
      <c r="Q30" s="15"/>
      <c r="R30" s="15"/>
      <c r="S30" s="15"/>
      <c r="T30" s="13"/>
      <c r="U30" s="13"/>
      <c r="V30" s="13"/>
      <c r="W30" s="13"/>
      <c r="X30" s="1"/>
    </row>
    <row r="31" spans="1:24" s="3" customFormat="1" x14ac:dyDescent="0.25">
      <c r="A31" s="191">
        <v>45313</v>
      </c>
      <c r="B31" s="286"/>
      <c r="C31" s="287"/>
      <c r="D31" s="270"/>
      <c r="E31" s="271"/>
      <c r="F31" s="101"/>
      <c r="G31" s="102"/>
      <c r="H31" s="103"/>
      <c r="I31" s="104"/>
      <c r="J31" s="100"/>
      <c r="K31" s="249"/>
      <c r="L31" s="250"/>
      <c r="M31" s="249">
        <f t="shared" si="1"/>
        <v>0</v>
      </c>
      <c r="N31" s="250"/>
      <c r="O31" s="1"/>
      <c r="P31" s="12"/>
      <c r="Q31" s="15"/>
      <c r="R31" s="15"/>
      <c r="S31" s="15"/>
      <c r="T31" s="13"/>
      <c r="U31" s="13"/>
      <c r="V31" s="13"/>
      <c r="W31" s="13"/>
      <c r="X31" s="1"/>
    </row>
    <row r="32" spans="1:24" s="3" customFormat="1" x14ac:dyDescent="0.25">
      <c r="A32" s="191">
        <v>45314</v>
      </c>
      <c r="B32" s="286"/>
      <c r="C32" s="287"/>
      <c r="D32" s="270"/>
      <c r="E32" s="271"/>
      <c r="F32" s="101"/>
      <c r="G32" s="102"/>
      <c r="H32" s="103"/>
      <c r="I32" s="104"/>
      <c r="J32" s="100"/>
      <c r="K32" s="249"/>
      <c r="L32" s="250"/>
      <c r="M32" s="249">
        <f t="shared" si="1"/>
        <v>0</v>
      </c>
      <c r="N32" s="250"/>
      <c r="O32" s="1"/>
      <c r="P32" s="12"/>
      <c r="Q32" s="15"/>
      <c r="R32" s="15"/>
      <c r="S32" s="15"/>
      <c r="T32" s="13"/>
      <c r="U32" s="13"/>
      <c r="V32" s="13"/>
      <c r="W32" s="13"/>
      <c r="X32" s="1"/>
    </row>
    <row r="33" spans="1:25" s="3" customFormat="1" x14ac:dyDescent="0.25">
      <c r="A33" s="191">
        <v>45315</v>
      </c>
      <c r="B33" s="286"/>
      <c r="C33" s="287"/>
      <c r="D33" s="270"/>
      <c r="E33" s="271"/>
      <c r="F33" s="101"/>
      <c r="G33" s="102"/>
      <c r="H33" s="103"/>
      <c r="I33" s="104"/>
      <c r="J33" s="100"/>
      <c r="K33" s="249"/>
      <c r="L33" s="250"/>
      <c r="M33" s="249">
        <f t="shared" si="1"/>
        <v>0</v>
      </c>
      <c r="N33" s="250"/>
      <c r="O33" s="1"/>
      <c r="P33" s="12"/>
      <c r="Q33" s="15"/>
      <c r="R33" s="15"/>
      <c r="S33" s="15"/>
      <c r="T33" s="13"/>
      <c r="U33" s="13"/>
      <c r="V33" s="13"/>
      <c r="W33" s="13"/>
      <c r="X33" s="1"/>
    </row>
    <row r="34" spans="1:25" s="3" customFormat="1" x14ac:dyDescent="0.25">
      <c r="A34" s="191">
        <v>45316</v>
      </c>
      <c r="B34" s="286"/>
      <c r="C34" s="287"/>
      <c r="D34" s="270"/>
      <c r="E34" s="271"/>
      <c r="F34" s="101"/>
      <c r="G34" s="102"/>
      <c r="H34" s="103"/>
      <c r="I34" s="104"/>
      <c r="J34" s="100"/>
      <c r="K34" s="249"/>
      <c r="L34" s="250"/>
      <c r="M34" s="249">
        <f t="shared" si="1"/>
        <v>0</v>
      </c>
      <c r="N34" s="250"/>
      <c r="O34" s="1"/>
      <c r="P34" s="12"/>
      <c r="Q34" s="15"/>
      <c r="R34" s="15"/>
      <c r="S34" s="15"/>
      <c r="T34" s="13"/>
      <c r="U34" s="13"/>
      <c r="V34" s="13"/>
      <c r="W34" s="13"/>
      <c r="X34" s="1"/>
    </row>
    <row r="35" spans="1:25" s="3" customFormat="1" x14ac:dyDescent="0.25">
      <c r="A35" s="191">
        <v>45317</v>
      </c>
      <c r="B35" s="286"/>
      <c r="C35" s="287"/>
      <c r="D35" s="270"/>
      <c r="E35" s="271"/>
      <c r="F35" s="101"/>
      <c r="G35" s="102"/>
      <c r="H35" s="103"/>
      <c r="I35" s="104"/>
      <c r="J35" s="100"/>
      <c r="K35" s="249"/>
      <c r="L35" s="250"/>
      <c r="M35" s="249">
        <f t="shared" si="1"/>
        <v>0</v>
      </c>
      <c r="N35" s="250"/>
      <c r="O35" s="1"/>
      <c r="P35" s="12"/>
      <c r="Q35" s="15"/>
      <c r="R35" s="15"/>
      <c r="S35" s="15"/>
      <c r="T35" s="13"/>
      <c r="U35" s="13"/>
      <c r="V35" s="13"/>
      <c r="W35" s="13"/>
      <c r="X35" s="1"/>
    </row>
    <row r="36" spans="1:25" s="3" customFormat="1" x14ac:dyDescent="0.25">
      <c r="A36" s="191">
        <v>45318</v>
      </c>
      <c r="B36" s="286"/>
      <c r="C36" s="287"/>
      <c r="D36" s="270"/>
      <c r="E36" s="271"/>
      <c r="F36" s="101"/>
      <c r="G36" s="102"/>
      <c r="H36" s="103"/>
      <c r="I36" s="104"/>
      <c r="J36" s="100"/>
      <c r="K36" s="249"/>
      <c r="L36" s="250"/>
      <c r="M36" s="249">
        <f t="shared" si="1"/>
        <v>0</v>
      </c>
      <c r="N36" s="250"/>
      <c r="O36" s="1"/>
      <c r="P36" s="12"/>
      <c r="Q36" s="15"/>
      <c r="R36" s="15"/>
      <c r="S36" s="15"/>
      <c r="T36" s="13"/>
      <c r="U36" s="13"/>
      <c r="V36" s="13"/>
      <c r="W36" s="13"/>
      <c r="X36" s="1"/>
    </row>
    <row r="37" spans="1:25" s="3" customFormat="1" x14ac:dyDescent="0.25">
      <c r="A37" s="191">
        <v>45319</v>
      </c>
      <c r="B37" s="286"/>
      <c r="C37" s="287"/>
      <c r="D37" s="270"/>
      <c r="E37" s="271"/>
      <c r="F37" s="101"/>
      <c r="G37" s="102"/>
      <c r="H37" s="103"/>
      <c r="I37" s="104"/>
      <c r="J37" s="100"/>
      <c r="K37" s="249"/>
      <c r="L37" s="250"/>
      <c r="M37" s="249">
        <f t="shared" si="1"/>
        <v>0</v>
      </c>
      <c r="N37" s="250"/>
      <c r="O37" s="1"/>
      <c r="P37" s="12"/>
      <c r="Q37" s="15"/>
      <c r="R37" s="15"/>
      <c r="S37" s="15"/>
      <c r="T37" s="13"/>
      <c r="U37" s="13"/>
      <c r="V37" s="13"/>
      <c r="W37" s="13"/>
      <c r="X37" s="1"/>
    </row>
    <row r="38" spans="1:25" s="3" customFormat="1" x14ac:dyDescent="0.25">
      <c r="A38" s="191">
        <v>45320</v>
      </c>
      <c r="B38" s="286"/>
      <c r="C38" s="287"/>
      <c r="D38" s="243"/>
      <c r="E38" s="243"/>
      <c r="F38" s="244"/>
      <c r="G38" s="245"/>
      <c r="H38" s="246"/>
      <c r="I38" s="247"/>
      <c r="J38" s="100"/>
      <c r="K38" s="248"/>
      <c r="L38" s="248"/>
      <c r="M38" s="249">
        <f t="shared" si="1"/>
        <v>0</v>
      </c>
      <c r="N38" s="250"/>
      <c r="P38" s="12"/>
      <c r="Q38" s="15"/>
      <c r="R38" s="15"/>
      <c r="S38" s="15"/>
      <c r="T38" s="13"/>
      <c r="U38" s="13"/>
      <c r="V38" s="13"/>
      <c r="W38" s="13"/>
      <c r="X38" s="1"/>
    </row>
    <row r="39" spans="1:25" s="3" customFormat="1" x14ac:dyDescent="0.25">
      <c r="A39" s="191">
        <v>45321</v>
      </c>
      <c r="B39" s="286"/>
      <c r="C39" s="287"/>
      <c r="D39" s="243"/>
      <c r="E39" s="243"/>
      <c r="F39" s="244"/>
      <c r="G39" s="245"/>
      <c r="H39" s="246"/>
      <c r="I39" s="247"/>
      <c r="J39" s="100"/>
      <c r="K39" s="248"/>
      <c r="L39" s="248"/>
      <c r="M39" s="249">
        <f t="shared" si="1"/>
        <v>0</v>
      </c>
      <c r="N39" s="250"/>
      <c r="P39" s="12"/>
      <c r="Q39" s="15"/>
      <c r="R39" s="15"/>
      <c r="S39" s="15"/>
      <c r="T39" s="13"/>
      <c r="U39" s="13"/>
      <c r="V39" s="13"/>
      <c r="W39" s="13"/>
      <c r="X39" s="1"/>
    </row>
    <row r="40" spans="1:25" s="3" customFormat="1" x14ac:dyDescent="0.25">
      <c r="A40" s="191">
        <v>45322</v>
      </c>
      <c r="B40" s="286"/>
      <c r="C40" s="287"/>
      <c r="D40" s="243"/>
      <c r="E40" s="243"/>
      <c r="F40" s="244"/>
      <c r="G40" s="245"/>
      <c r="H40" s="246"/>
      <c r="I40" s="247"/>
      <c r="J40" s="100"/>
      <c r="K40" s="248"/>
      <c r="L40" s="248"/>
      <c r="M40" s="249">
        <f t="shared" si="1"/>
        <v>0</v>
      </c>
      <c r="N40" s="250"/>
      <c r="P40" s="12"/>
      <c r="Q40" s="15"/>
      <c r="R40" s="15"/>
      <c r="S40" s="15"/>
      <c r="T40" s="13"/>
      <c r="U40" s="13"/>
      <c r="V40" s="13"/>
      <c r="W40" s="13"/>
      <c r="X40" s="1"/>
    </row>
    <row r="41" spans="1:25" s="3" customFormat="1" x14ac:dyDescent="0.25">
      <c r="A41" s="191">
        <v>45323</v>
      </c>
      <c r="B41" s="286"/>
      <c r="C41" s="287"/>
      <c r="D41" s="243"/>
      <c r="E41" s="243"/>
      <c r="F41" s="244"/>
      <c r="G41" s="245"/>
      <c r="H41" s="246"/>
      <c r="I41" s="247"/>
      <c r="J41" s="100"/>
      <c r="K41" s="248"/>
      <c r="L41" s="248"/>
      <c r="M41" s="249">
        <f t="shared" si="1"/>
        <v>0</v>
      </c>
      <c r="N41" s="250"/>
      <c r="P41" s="12"/>
      <c r="Q41" s="15"/>
      <c r="R41" s="15"/>
      <c r="S41" s="15"/>
      <c r="T41" s="13"/>
      <c r="U41" s="13"/>
      <c r="V41" s="13"/>
      <c r="W41" s="13"/>
      <c r="X41" s="1"/>
    </row>
    <row r="42" spans="1:25" s="3" customFormat="1" x14ac:dyDescent="0.25">
      <c r="A42" s="191">
        <v>45324</v>
      </c>
      <c r="B42" s="286"/>
      <c r="C42" s="287"/>
      <c r="D42" s="243"/>
      <c r="E42" s="243"/>
      <c r="F42" s="244"/>
      <c r="G42" s="245"/>
      <c r="H42" s="246"/>
      <c r="I42" s="247"/>
      <c r="J42" s="100"/>
      <c r="K42" s="248"/>
      <c r="L42" s="248"/>
      <c r="M42" s="249">
        <f t="shared" si="1"/>
        <v>0</v>
      </c>
      <c r="N42" s="250"/>
      <c r="P42" s="12"/>
      <c r="Q42" s="15"/>
      <c r="R42" s="15"/>
      <c r="S42" s="15"/>
      <c r="T42" s="13"/>
      <c r="U42" s="13"/>
      <c r="V42" s="13"/>
      <c r="W42" s="13"/>
      <c r="X42" s="1"/>
    </row>
    <row r="43" spans="1:25" s="3" customFormat="1" x14ac:dyDescent="0.25">
      <c r="A43" s="191">
        <v>45325</v>
      </c>
      <c r="B43" s="286"/>
      <c r="C43" s="287"/>
      <c r="D43" s="243"/>
      <c r="E43" s="243"/>
      <c r="F43" s="244"/>
      <c r="G43" s="245"/>
      <c r="H43" s="246"/>
      <c r="I43" s="247"/>
      <c r="J43" s="100"/>
      <c r="K43" s="248"/>
      <c r="L43" s="248"/>
      <c r="M43" s="249">
        <f t="shared" si="1"/>
        <v>0</v>
      </c>
      <c r="N43" s="250"/>
      <c r="P43" s="12"/>
      <c r="Q43" s="15"/>
      <c r="R43" s="15"/>
      <c r="S43" s="15"/>
      <c r="T43" s="13"/>
      <c r="U43" s="13"/>
      <c r="V43" s="13"/>
      <c r="W43" s="13"/>
      <c r="X43" s="1"/>
    </row>
    <row r="44" spans="1:25" s="3" customFormat="1" x14ac:dyDescent="0.25">
      <c r="A44" s="191">
        <v>45326</v>
      </c>
      <c r="B44" s="286"/>
      <c r="C44" s="287"/>
      <c r="D44" s="243"/>
      <c r="E44" s="243"/>
      <c r="F44" s="244"/>
      <c r="G44" s="245"/>
      <c r="H44" s="246"/>
      <c r="I44" s="247"/>
      <c r="J44" s="100"/>
      <c r="K44" s="248"/>
      <c r="L44" s="248"/>
      <c r="M44" s="249">
        <f t="shared" si="1"/>
        <v>0</v>
      </c>
      <c r="N44" s="250"/>
      <c r="P44" s="12"/>
      <c r="Q44" s="15"/>
      <c r="R44" s="15"/>
      <c r="S44" s="15"/>
      <c r="T44" s="13"/>
      <c r="U44" s="13"/>
      <c r="V44" s="13"/>
      <c r="W44" s="13"/>
      <c r="X44" s="1"/>
    </row>
    <row r="45" spans="1:25" s="3" customFormat="1" ht="15.75" x14ac:dyDescent="0.25">
      <c r="A45" s="231" t="s">
        <v>21</v>
      </c>
      <c r="B45" s="232"/>
      <c r="C45" s="233"/>
      <c r="D45" s="278">
        <f>+COUNTA(D17:E44)</f>
        <v>0</v>
      </c>
      <c r="E45" s="279"/>
      <c r="F45" s="280">
        <f>+COUNTA(F17:G44)</f>
        <v>0</v>
      </c>
      <c r="G45" s="281"/>
      <c r="H45" s="282">
        <f>SUM(H17:I44)</f>
        <v>0</v>
      </c>
      <c r="I45" s="282"/>
      <c r="J45" s="107"/>
      <c r="K45" s="283"/>
      <c r="L45" s="283"/>
      <c r="M45" s="284">
        <f>+SUM(M17:O44)</f>
        <v>0</v>
      </c>
      <c r="N45" s="285"/>
      <c r="P45" s="12"/>
      <c r="Q45" s="12"/>
      <c r="R45" s="12"/>
      <c r="S45" s="12"/>
      <c r="T45" s="13"/>
      <c r="U45" s="13"/>
      <c r="V45" s="13"/>
      <c r="W45" s="13"/>
      <c r="X45" s="1"/>
    </row>
    <row r="46" spans="1:25" s="3" customFormat="1" x14ac:dyDescent="0.25">
      <c r="A46" s="12"/>
      <c r="B46" s="12"/>
      <c r="C46" s="12"/>
      <c r="D46" s="272" t="s">
        <v>65</v>
      </c>
      <c r="E46" s="273"/>
      <c r="F46" s="274" t="s">
        <v>24</v>
      </c>
      <c r="G46" s="274"/>
      <c r="H46" s="275" t="s">
        <v>62</v>
      </c>
      <c r="I46" s="275"/>
      <c r="K46" s="12"/>
      <c r="L46" s="12"/>
      <c r="M46" s="276" t="s">
        <v>66</v>
      </c>
      <c r="N46" s="277"/>
      <c r="O46" s="12"/>
      <c r="P46" s="12"/>
      <c r="Q46" s="12"/>
      <c r="R46" s="12"/>
      <c r="S46" s="12"/>
      <c r="T46" s="13"/>
      <c r="U46" s="13"/>
      <c r="V46" s="13"/>
      <c r="W46" s="13"/>
      <c r="X46" s="1"/>
    </row>
    <row r="47" spans="1:25" s="3" customFormat="1" x14ac:dyDescent="0.25">
      <c r="K47" s="12"/>
      <c r="L47" s="12"/>
      <c r="M47" s="12"/>
      <c r="N47" s="12"/>
      <c r="O47" s="12"/>
      <c r="P47" s="12"/>
      <c r="U47" s="1"/>
      <c r="V47" s="1"/>
      <c r="W47" s="1"/>
      <c r="X47" s="1"/>
      <c r="Y47" s="1"/>
    </row>
    <row r="48" spans="1:25" s="3" customFormat="1" x14ac:dyDescent="0.25">
      <c r="A48" s="28" t="s">
        <v>23</v>
      </c>
      <c r="J48" s="28" t="s">
        <v>27</v>
      </c>
      <c r="N48" s="39"/>
      <c r="P48" s="12"/>
      <c r="U48" s="1"/>
      <c r="V48" s="1"/>
      <c r="W48" s="1"/>
      <c r="X48" s="1"/>
      <c r="Y48" s="1"/>
    </row>
    <row r="49" spans="1:25" s="3" customFormat="1" x14ac:dyDescent="0.25">
      <c r="J49" s="28" t="s">
        <v>31</v>
      </c>
      <c r="N49" s="39"/>
      <c r="P49" s="12"/>
      <c r="U49" s="1"/>
      <c r="V49" s="1"/>
      <c r="W49" s="1"/>
      <c r="X49" s="1"/>
      <c r="Y49" s="1"/>
    </row>
    <row r="50" spans="1:25" s="3" customFormat="1" x14ac:dyDescent="0.25">
      <c r="A50" s="29" t="s">
        <v>20</v>
      </c>
      <c r="B50" s="30"/>
      <c r="C50" s="29"/>
      <c r="D50" s="29"/>
      <c r="E50" s="16"/>
      <c r="H50" s="18"/>
      <c r="P50" s="12"/>
      <c r="U50" s="1"/>
      <c r="V50" s="1"/>
      <c r="W50" s="1"/>
      <c r="X50" s="1"/>
      <c r="Y50" s="1"/>
    </row>
    <row r="51" spans="1:25" s="3" customFormat="1" x14ac:dyDescent="0.25">
      <c r="A51" s="29" t="s">
        <v>7</v>
      </c>
      <c r="B51" s="30"/>
      <c r="C51" s="31">
        <f ca="1">TODAY()</f>
        <v>45320</v>
      </c>
      <c r="D51" s="29"/>
      <c r="E51" s="16"/>
      <c r="J51" s="28" t="s">
        <v>22</v>
      </c>
      <c r="P51" s="12"/>
      <c r="U51" s="1"/>
      <c r="V51" s="1"/>
      <c r="W51" s="1"/>
      <c r="X51" s="1"/>
      <c r="Y51" s="1"/>
    </row>
    <row r="52" spans="1:25" s="3" customFormat="1" x14ac:dyDescent="0.25">
      <c r="A52" s="28"/>
      <c r="B52" s="240" t="s">
        <v>47</v>
      </c>
      <c r="C52" s="240"/>
      <c r="D52" s="240"/>
      <c r="E52" s="240"/>
      <c r="F52" s="240"/>
      <c r="J52" s="240" t="s">
        <v>48</v>
      </c>
      <c r="K52" s="240"/>
      <c r="L52" s="240"/>
      <c r="M52" s="240"/>
      <c r="N52" s="240"/>
      <c r="U52" s="1"/>
      <c r="V52" s="1"/>
      <c r="W52" s="1"/>
      <c r="X52" s="1"/>
      <c r="Y52" s="1"/>
    </row>
    <row r="53" spans="1:25" s="3" customFormat="1" x14ac:dyDescent="0.25">
      <c r="B53" s="240"/>
      <c r="C53" s="240"/>
      <c r="D53" s="240"/>
      <c r="E53" s="240"/>
      <c r="F53" s="240"/>
      <c r="J53" s="240"/>
      <c r="K53" s="240"/>
      <c r="L53" s="240"/>
      <c r="M53" s="240"/>
      <c r="N53" s="240"/>
      <c r="U53" s="1"/>
      <c r="V53" s="1"/>
      <c r="W53" s="1"/>
      <c r="X53" s="1"/>
      <c r="Y53" s="1"/>
    </row>
    <row r="54" spans="1:25" s="3" customFormat="1" x14ac:dyDescent="0.25">
      <c r="B54" s="240"/>
      <c r="C54" s="240"/>
      <c r="D54" s="240"/>
      <c r="E54" s="240"/>
      <c r="F54" s="240"/>
      <c r="J54" s="240"/>
      <c r="K54" s="240"/>
      <c r="L54" s="240"/>
      <c r="M54" s="240"/>
      <c r="N54" s="240"/>
      <c r="U54" s="1"/>
      <c r="V54" s="1"/>
      <c r="W54" s="1"/>
      <c r="X54" s="1"/>
      <c r="Y54" s="1"/>
    </row>
    <row r="55" spans="1:25" s="3" customFormat="1" x14ac:dyDescent="0.25">
      <c r="B55" s="240"/>
      <c r="C55" s="240"/>
      <c r="D55" s="240"/>
      <c r="E55" s="240"/>
      <c r="F55" s="240"/>
      <c r="J55" s="240"/>
      <c r="K55" s="240"/>
      <c r="L55" s="240"/>
      <c r="M55" s="240"/>
      <c r="N55" s="240"/>
      <c r="U55" s="1"/>
      <c r="V55" s="1"/>
      <c r="W55" s="1"/>
      <c r="X55" s="1"/>
      <c r="Y55" s="1"/>
    </row>
    <row r="56" spans="1:25" s="3" customFormat="1" x14ac:dyDescent="0.25">
      <c r="B56" s="240"/>
      <c r="C56" s="240"/>
      <c r="D56" s="240"/>
      <c r="E56" s="240"/>
      <c r="F56" s="240"/>
      <c r="J56" s="240"/>
      <c r="K56" s="240"/>
      <c r="L56" s="240"/>
      <c r="M56" s="240"/>
      <c r="N56" s="240"/>
      <c r="U56" s="1"/>
      <c r="V56" s="1"/>
      <c r="W56" s="1"/>
      <c r="X56" s="1"/>
      <c r="Y56" s="1"/>
    </row>
    <row r="57" spans="1:25" s="3" customFormat="1" x14ac:dyDescent="0.25">
      <c r="B57" s="240"/>
      <c r="C57" s="240"/>
      <c r="D57" s="240"/>
      <c r="E57" s="240"/>
      <c r="F57" s="240"/>
      <c r="J57" s="240"/>
      <c r="K57" s="240"/>
      <c r="L57" s="240"/>
      <c r="M57" s="240"/>
      <c r="N57" s="240"/>
      <c r="U57" s="1"/>
      <c r="V57" s="1"/>
      <c r="W57" s="1"/>
      <c r="X57" s="1"/>
      <c r="Y57" s="1"/>
    </row>
    <row r="58" spans="1:25" s="3" customFormat="1" x14ac:dyDescent="0.25">
      <c r="A58" s="3" t="s">
        <v>46</v>
      </c>
      <c r="B58" s="23"/>
      <c r="J58" s="3" t="s">
        <v>39</v>
      </c>
      <c r="U58" s="1"/>
      <c r="V58" s="1"/>
      <c r="W58" s="1"/>
      <c r="X58" s="1"/>
      <c r="Y58" s="1"/>
    </row>
    <row r="59" spans="1:25" s="3" customFormat="1" x14ac:dyDescent="0.25">
      <c r="B59" s="23"/>
      <c r="U59" s="1"/>
      <c r="V59" s="1"/>
      <c r="W59" s="1"/>
      <c r="X59" s="1"/>
      <c r="Y59" s="1"/>
    </row>
    <row r="60" spans="1:25" s="3" customFormat="1" x14ac:dyDescent="0.25">
      <c r="B60" s="23"/>
      <c r="U60" s="1"/>
      <c r="V60" s="1"/>
      <c r="W60" s="1"/>
      <c r="X60" s="1"/>
      <c r="Y60" s="1"/>
    </row>
    <row r="61" spans="1:25" s="3" customFormat="1" x14ac:dyDescent="0.25">
      <c r="A61" s="29"/>
      <c r="B61" s="23"/>
      <c r="D61" s="29"/>
      <c r="U61" s="1"/>
      <c r="V61" s="1"/>
      <c r="W61" s="1"/>
      <c r="X61" s="1"/>
      <c r="Y61" s="1"/>
    </row>
    <row r="62" spans="1:25" s="3" customFormat="1" x14ac:dyDescent="0.25">
      <c r="U62" s="1"/>
      <c r="V62" s="1"/>
      <c r="W62" s="1"/>
      <c r="X62" s="1"/>
      <c r="Y62" s="1"/>
    </row>
    <row r="63" spans="1:25" s="3" customFormat="1" x14ac:dyDescent="0.25">
      <c r="B63" s="23"/>
      <c r="U63" s="1"/>
      <c r="V63" s="1"/>
      <c r="W63" s="1"/>
      <c r="X63" s="1"/>
      <c r="Y63" s="1"/>
    </row>
    <row r="64" spans="1:25" s="3" customFormat="1" x14ac:dyDescent="0.25">
      <c r="B64" s="23"/>
      <c r="U64" s="1"/>
      <c r="V64" s="1"/>
      <c r="W64" s="1"/>
      <c r="X64" s="1"/>
      <c r="Y64" s="1"/>
    </row>
    <row r="65" spans="2:25" s="3" customFormat="1" x14ac:dyDescent="0.25">
      <c r="B65" s="23"/>
      <c r="U65" s="1"/>
      <c r="V65" s="1"/>
      <c r="W65" s="1"/>
      <c r="X65" s="1"/>
      <c r="Y65" s="1"/>
    </row>
    <row r="66" spans="2:25" s="3" customFormat="1" x14ac:dyDescent="0.25">
      <c r="B66" s="23"/>
      <c r="U66" s="1"/>
      <c r="V66" s="1"/>
      <c r="W66" s="1"/>
      <c r="X66" s="1"/>
      <c r="Y66" s="1"/>
    </row>
    <row r="67" spans="2:25" s="3" customFormat="1" x14ac:dyDescent="0.25">
      <c r="B67" s="23"/>
      <c r="U67" s="1"/>
      <c r="V67" s="1"/>
      <c r="W67" s="1"/>
      <c r="X67" s="1"/>
      <c r="Y67" s="1"/>
    </row>
    <row r="68" spans="2:25" s="3" customFormat="1" x14ac:dyDescent="0.25">
      <c r="B68" s="23"/>
      <c r="U68" s="1"/>
      <c r="V68" s="1"/>
      <c r="W68" s="1"/>
      <c r="X68" s="1"/>
      <c r="Y68" s="1"/>
    </row>
    <row r="69" spans="2:25" s="3" customFormat="1" x14ac:dyDescent="0.25">
      <c r="B69" s="23"/>
      <c r="U69" s="1"/>
      <c r="V69" s="1"/>
      <c r="W69" s="1"/>
      <c r="X69" s="1"/>
      <c r="Y69" s="1"/>
    </row>
    <row r="70" spans="2:25" s="3" customFormat="1" x14ac:dyDescent="0.25">
      <c r="B70" s="23"/>
      <c r="U70" s="1"/>
      <c r="V70" s="1"/>
      <c r="W70" s="1"/>
      <c r="X70" s="1"/>
      <c r="Y70" s="1"/>
    </row>
    <row r="71" spans="2:25" s="3" customFormat="1" x14ac:dyDescent="0.25">
      <c r="B71" s="23"/>
      <c r="U71" s="1"/>
      <c r="V71" s="1"/>
      <c r="W71" s="1"/>
      <c r="X71" s="1"/>
      <c r="Y71" s="1"/>
    </row>
    <row r="72" spans="2:25" s="3" customFormat="1" x14ac:dyDescent="0.25">
      <c r="B72" s="23"/>
      <c r="U72" s="1"/>
      <c r="V72" s="1"/>
      <c r="W72" s="1"/>
      <c r="X72" s="1"/>
      <c r="Y72" s="1"/>
    </row>
    <row r="73" spans="2:25" s="3" customFormat="1" x14ac:dyDescent="0.25">
      <c r="B73" s="23"/>
      <c r="U73" s="1"/>
      <c r="V73" s="1"/>
      <c r="W73" s="1"/>
      <c r="X73" s="1"/>
      <c r="Y73" s="1"/>
    </row>
    <row r="74" spans="2:25" s="3" customFormat="1" x14ac:dyDescent="0.25">
      <c r="B74" s="23"/>
      <c r="U74" s="1"/>
      <c r="V74" s="1"/>
      <c r="W74" s="1"/>
      <c r="X74" s="1"/>
      <c r="Y74" s="1"/>
    </row>
    <row r="75" spans="2:25" s="3" customFormat="1" x14ac:dyDescent="0.25">
      <c r="B75" s="23"/>
      <c r="U75" s="1"/>
      <c r="V75" s="1"/>
      <c r="W75" s="1"/>
      <c r="X75" s="1"/>
      <c r="Y75" s="1"/>
    </row>
    <row r="76" spans="2:25" s="3" customFormat="1" x14ac:dyDescent="0.25">
      <c r="B76" s="23"/>
      <c r="U76" s="1"/>
      <c r="V76" s="1"/>
      <c r="W76" s="1"/>
      <c r="X76" s="1"/>
      <c r="Y76" s="1"/>
    </row>
    <row r="77" spans="2:25" s="3" customFormat="1" x14ac:dyDescent="0.25">
      <c r="B77" s="23"/>
      <c r="U77" s="1"/>
      <c r="V77" s="1"/>
      <c r="W77" s="1"/>
      <c r="X77" s="1"/>
      <c r="Y77" s="1"/>
    </row>
    <row r="78" spans="2:25" s="3" customFormat="1" x14ac:dyDescent="0.25">
      <c r="B78" s="23"/>
      <c r="U78" s="1"/>
      <c r="V78" s="1"/>
      <c r="W78" s="1"/>
      <c r="X78" s="1"/>
      <c r="Y78" s="1"/>
    </row>
    <row r="79" spans="2:25" s="3" customFormat="1" x14ac:dyDescent="0.25">
      <c r="B79" s="23"/>
      <c r="U79" s="1"/>
      <c r="V79" s="1"/>
      <c r="W79" s="1"/>
      <c r="X79" s="1"/>
      <c r="Y79" s="1"/>
    </row>
    <row r="80" spans="2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2:25" s="3" customFormat="1" x14ac:dyDescent="0.25">
      <c r="B225" s="23"/>
      <c r="U225" s="1"/>
      <c r="V225" s="1"/>
      <c r="W225" s="1"/>
      <c r="X225" s="1"/>
      <c r="Y225" s="1"/>
    </row>
    <row r="226" spans="2:25" s="3" customFormat="1" x14ac:dyDescent="0.25">
      <c r="B226" s="23"/>
      <c r="U226" s="1"/>
      <c r="V226" s="1"/>
      <c r="W226" s="1"/>
      <c r="X226" s="1"/>
      <c r="Y226" s="1"/>
    </row>
    <row r="227" spans="2:25" s="3" customFormat="1" x14ac:dyDescent="0.25">
      <c r="B227" s="23"/>
      <c r="U227" s="1"/>
      <c r="V227" s="1"/>
      <c r="W227" s="1"/>
      <c r="X227" s="1"/>
      <c r="Y227" s="1"/>
    </row>
    <row r="228" spans="2:25" s="3" customFormat="1" x14ac:dyDescent="0.25">
      <c r="B228" s="23"/>
      <c r="U228" s="1"/>
      <c r="V228" s="1"/>
      <c r="W228" s="1"/>
      <c r="X228" s="1"/>
      <c r="Y228" s="1"/>
    </row>
    <row r="229" spans="2:25" s="3" customFormat="1" x14ac:dyDescent="0.25">
      <c r="B229" s="23"/>
      <c r="U229" s="1"/>
      <c r="V229" s="1"/>
      <c r="W229" s="1"/>
      <c r="X229" s="1"/>
      <c r="Y229" s="1"/>
    </row>
    <row r="230" spans="2:25" s="3" customFormat="1" x14ac:dyDescent="0.25">
      <c r="B230" s="23"/>
      <c r="U230" s="1"/>
      <c r="V230" s="1"/>
      <c r="W230" s="1"/>
      <c r="X230" s="1"/>
      <c r="Y230" s="1"/>
    </row>
    <row r="231" spans="2:25" s="3" customFormat="1" x14ac:dyDescent="0.25">
      <c r="B231" s="23"/>
      <c r="U231" s="1"/>
      <c r="V231" s="1"/>
      <c r="W231" s="1"/>
      <c r="X231" s="1"/>
      <c r="Y231" s="1"/>
    </row>
    <row r="232" spans="2:25" s="3" customFormat="1" x14ac:dyDescent="0.25">
      <c r="B232" s="23"/>
      <c r="U232" s="1"/>
      <c r="V232" s="1"/>
      <c r="W232" s="1"/>
      <c r="X232" s="1"/>
      <c r="Y232" s="1"/>
    </row>
    <row r="233" spans="2:25" s="3" customFormat="1" x14ac:dyDescent="0.25">
      <c r="B233" s="23"/>
      <c r="U233" s="1"/>
      <c r="V233" s="1"/>
      <c r="W233" s="1"/>
      <c r="X233" s="1"/>
      <c r="Y233" s="1"/>
    </row>
    <row r="234" spans="2:25" s="3" customFormat="1" x14ac:dyDescent="0.25">
      <c r="B234" s="23"/>
      <c r="U234" s="1"/>
      <c r="V234" s="1"/>
      <c r="W234" s="1"/>
      <c r="X234" s="1"/>
      <c r="Y234" s="1"/>
    </row>
    <row r="235" spans="2:25" s="3" customFormat="1" x14ac:dyDescent="0.25">
      <c r="B235" s="23"/>
      <c r="K235" s="6"/>
      <c r="L235" s="6"/>
      <c r="M235" s="6"/>
      <c r="N235" s="6"/>
      <c r="U235" s="1"/>
      <c r="V235" s="1"/>
      <c r="W235" s="1"/>
      <c r="X235" s="1"/>
      <c r="Y235" s="1"/>
    </row>
    <row r="236" spans="2:25" s="3" customFormat="1" x14ac:dyDescent="0.25">
      <c r="B236" s="23"/>
      <c r="K236" s="6"/>
      <c r="L236" s="6"/>
      <c r="M236" s="6"/>
      <c r="N236" s="6"/>
      <c r="U236" s="1"/>
      <c r="V236" s="1"/>
      <c r="W236" s="1"/>
      <c r="X236" s="1"/>
      <c r="Y236" s="1"/>
    </row>
    <row r="237" spans="2:25" s="3" customFormat="1" x14ac:dyDescent="0.25">
      <c r="B237" s="23"/>
      <c r="K237" s="6"/>
      <c r="L237" s="6"/>
      <c r="M237" s="6"/>
      <c r="N237" s="6"/>
      <c r="U237" s="1"/>
      <c r="V237" s="1"/>
      <c r="W237" s="1"/>
      <c r="X237" s="1"/>
      <c r="Y237" s="1"/>
    </row>
    <row r="238" spans="2:25" s="3" customFormat="1" x14ac:dyDescent="0.25">
      <c r="B238" s="23"/>
      <c r="J238" s="6"/>
      <c r="K238" s="6"/>
      <c r="L238" s="6"/>
      <c r="M238" s="6"/>
      <c r="N238" s="6"/>
      <c r="U238" s="1"/>
      <c r="V238" s="1"/>
      <c r="W238" s="1"/>
      <c r="X238" s="1"/>
      <c r="Y238" s="1"/>
    </row>
    <row r="239" spans="2:25" s="3" customFormat="1" x14ac:dyDescent="0.25">
      <c r="B239" s="23"/>
      <c r="J239" s="6"/>
      <c r="K239" s="6"/>
      <c r="L239" s="6"/>
      <c r="M239" s="6"/>
      <c r="N239" s="6"/>
      <c r="U239" s="1"/>
      <c r="V239" s="1"/>
      <c r="W239" s="1"/>
      <c r="X239" s="1"/>
      <c r="Y239" s="1"/>
    </row>
    <row r="240" spans="2:25" s="3" customFormat="1" x14ac:dyDescent="0.25">
      <c r="B240" s="23"/>
      <c r="J240" s="6"/>
      <c r="K240" s="6"/>
      <c r="L240" s="6"/>
      <c r="M240" s="6"/>
      <c r="N240" s="6"/>
      <c r="U240" s="1"/>
      <c r="V240" s="1"/>
      <c r="W240" s="1"/>
      <c r="X240" s="1"/>
      <c r="Y240" s="1"/>
    </row>
    <row r="241" spans="1:25" s="3" customFormat="1" x14ac:dyDescent="0.25">
      <c r="B241" s="23"/>
      <c r="J241" s="6"/>
      <c r="K241" s="6"/>
      <c r="L241" s="6"/>
      <c r="M241" s="6"/>
      <c r="N241" s="6"/>
      <c r="U241" s="1"/>
      <c r="V241" s="1"/>
      <c r="W241" s="1"/>
      <c r="X241" s="1"/>
      <c r="Y241" s="1"/>
    </row>
    <row r="242" spans="1:25" s="3" customFormat="1" x14ac:dyDescent="0.25">
      <c r="B242" s="23"/>
      <c r="J242" s="6"/>
      <c r="K242" s="6"/>
      <c r="L242" s="6"/>
      <c r="M242" s="6"/>
      <c r="N242" s="6"/>
      <c r="O242" s="6"/>
      <c r="U242" s="1"/>
      <c r="V242" s="1"/>
      <c r="W242" s="1"/>
      <c r="X242" s="1"/>
      <c r="Y242" s="1"/>
    </row>
    <row r="243" spans="1:25" s="3" customFormat="1" x14ac:dyDescent="0.25">
      <c r="B243" s="23"/>
      <c r="J243" s="6"/>
      <c r="K243" s="6"/>
      <c r="L243" s="6"/>
      <c r="M243" s="6"/>
      <c r="N243" s="6"/>
      <c r="O243" s="6"/>
      <c r="U243" s="1"/>
      <c r="V243" s="1"/>
      <c r="W243" s="1"/>
      <c r="X243" s="1"/>
      <c r="Y243" s="1"/>
    </row>
    <row r="244" spans="1:25" s="3" customFormat="1" x14ac:dyDescent="0.25">
      <c r="A244" s="6"/>
      <c r="B244" s="25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Q244" s="6"/>
      <c r="R244" s="6"/>
      <c r="S244" s="6"/>
      <c r="U244" s="1"/>
      <c r="V244" s="1"/>
      <c r="W244" s="1"/>
      <c r="X244" s="1"/>
      <c r="Y244" s="1"/>
    </row>
  </sheetData>
  <sheetProtection sheet="1" objects="1" scenarios="1"/>
  <mergeCells count="186">
    <mergeCell ref="M31:N31"/>
    <mergeCell ref="M32:N32"/>
    <mergeCell ref="M33:N33"/>
    <mergeCell ref="M34:N34"/>
    <mergeCell ref="M35:N35"/>
    <mergeCell ref="M36:N36"/>
    <mergeCell ref="M37:N37"/>
    <mergeCell ref="D46:E46"/>
    <mergeCell ref="F46:G46"/>
    <mergeCell ref="H46:I46"/>
    <mergeCell ref="M46:N46"/>
    <mergeCell ref="H42:I42"/>
    <mergeCell ref="K42:L42"/>
    <mergeCell ref="M42:N42"/>
    <mergeCell ref="D41:E41"/>
    <mergeCell ref="F41:G41"/>
    <mergeCell ref="H41:I41"/>
    <mergeCell ref="K41:L41"/>
    <mergeCell ref="M41:N41"/>
    <mergeCell ref="B52:F57"/>
    <mergeCell ref="J52:N57"/>
    <mergeCell ref="A45:C45"/>
    <mergeCell ref="D45:E45"/>
    <mergeCell ref="F45:G45"/>
    <mergeCell ref="H45:I45"/>
    <mergeCell ref="K45:L45"/>
    <mergeCell ref="M45:N45"/>
    <mergeCell ref="A41:C41"/>
    <mergeCell ref="A42:C42"/>
    <mergeCell ref="D44:E44"/>
    <mergeCell ref="F44:G44"/>
    <mergeCell ref="H44:I44"/>
    <mergeCell ref="K44:L44"/>
    <mergeCell ref="M44:N44"/>
    <mergeCell ref="D43:E43"/>
    <mergeCell ref="F43:G43"/>
    <mergeCell ref="H43:I43"/>
    <mergeCell ref="K43:L43"/>
    <mergeCell ref="M43:N43"/>
    <mergeCell ref="A43:C43"/>
    <mergeCell ref="A44:C44"/>
    <mergeCell ref="D42:E42"/>
    <mergeCell ref="F42:G42"/>
    <mergeCell ref="A36:C36"/>
    <mergeCell ref="D35:E35"/>
    <mergeCell ref="A37:C37"/>
    <mergeCell ref="A38:C38"/>
    <mergeCell ref="D40:E40"/>
    <mergeCell ref="F40:G40"/>
    <mergeCell ref="H40:I40"/>
    <mergeCell ref="K40:L40"/>
    <mergeCell ref="M40:N40"/>
    <mergeCell ref="M38:N38"/>
    <mergeCell ref="D39:E39"/>
    <mergeCell ref="F39:G39"/>
    <mergeCell ref="H39:I39"/>
    <mergeCell ref="K39:L39"/>
    <mergeCell ref="M39:N39"/>
    <mergeCell ref="A39:C39"/>
    <mergeCell ref="A40:C40"/>
    <mergeCell ref="D37:E37"/>
    <mergeCell ref="K37:L37"/>
    <mergeCell ref="D38:E38"/>
    <mergeCell ref="F38:G38"/>
    <mergeCell ref="H38:I38"/>
    <mergeCell ref="K38:L38"/>
    <mergeCell ref="H26:I26"/>
    <mergeCell ref="K26:L26"/>
    <mergeCell ref="K35:L35"/>
    <mergeCell ref="D36:E36"/>
    <mergeCell ref="K36:L36"/>
    <mergeCell ref="A29:C29"/>
    <mergeCell ref="A30:C30"/>
    <mergeCell ref="D33:E33"/>
    <mergeCell ref="K33:L33"/>
    <mergeCell ref="D34:E34"/>
    <mergeCell ref="K34:L34"/>
    <mergeCell ref="D31:E31"/>
    <mergeCell ref="K31:L31"/>
    <mergeCell ref="D32:E32"/>
    <mergeCell ref="K32:L32"/>
    <mergeCell ref="A31:C31"/>
    <mergeCell ref="A32:C32"/>
    <mergeCell ref="A33:C33"/>
    <mergeCell ref="A34:C34"/>
    <mergeCell ref="D30:E30"/>
    <mergeCell ref="F30:G30"/>
    <mergeCell ref="H30:I30"/>
    <mergeCell ref="K30:L30"/>
    <mergeCell ref="A35:C35"/>
    <mergeCell ref="H22:I22"/>
    <mergeCell ref="K22:L22"/>
    <mergeCell ref="M30:N30"/>
    <mergeCell ref="D29:E29"/>
    <mergeCell ref="F29:G29"/>
    <mergeCell ref="H29:I29"/>
    <mergeCell ref="K29:L29"/>
    <mergeCell ref="M29:N29"/>
    <mergeCell ref="A25:C25"/>
    <mergeCell ref="A26:C26"/>
    <mergeCell ref="D28:E28"/>
    <mergeCell ref="F28:G28"/>
    <mergeCell ref="H28:I28"/>
    <mergeCell ref="K28:L28"/>
    <mergeCell ref="M28:N28"/>
    <mergeCell ref="D27:E27"/>
    <mergeCell ref="F27:G27"/>
    <mergeCell ref="H27:I27"/>
    <mergeCell ref="K27:L27"/>
    <mergeCell ref="M27:N27"/>
    <mergeCell ref="A27:C27"/>
    <mergeCell ref="A28:C28"/>
    <mergeCell ref="D26:E26"/>
    <mergeCell ref="F26:G26"/>
    <mergeCell ref="H18:I18"/>
    <mergeCell ref="K18:L18"/>
    <mergeCell ref="M26:N26"/>
    <mergeCell ref="D25:E25"/>
    <mergeCell ref="F25:G25"/>
    <mergeCell ref="H25:I25"/>
    <mergeCell ref="K25:L25"/>
    <mergeCell ref="M25:N25"/>
    <mergeCell ref="A21:C21"/>
    <mergeCell ref="A22:C22"/>
    <mergeCell ref="D24:E24"/>
    <mergeCell ref="F24:G24"/>
    <mergeCell ref="H24:I24"/>
    <mergeCell ref="K24:L24"/>
    <mergeCell ref="M24:N24"/>
    <mergeCell ref="D23:E23"/>
    <mergeCell ref="F23:G23"/>
    <mergeCell ref="H23:I23"/>
    <mergeCell ref="K23:L23"/>
    <mergeCell ref="M23:N23"/>
    <mergeCell ref="A23:C23"/>
    <mergeCell ref="A24:C24"/>
    <mergeCell ref="D22:E22"/>
    <mergeCell ref="F22:G22"/>
    <mergeCell ref="C12:F12"/>
    <mergeCell ref="K12:L12"/>
    <mergeCell ref="M22:N22"/>
    <mergeCell ref="D21:E21"/>
    <mergeCell ref="F21:G21"/>
    <mergeCell ref="H21:I21"/>
    <mergeCell ref="K21:L21"/>
    <mergeCell ref="M21:N21"/>
    <mergeCell ref="A17:C17"/>
    <mergeCell ref="A18:C18"/>
    <mergeCell ref="D20:E20"/>
    <mergeCell ref="F20:G20"/>
    <mergeCell ref="H20:I20"/>
    <mergeCell ref="K20:L20"/>
    <mergeCell ref="M20:N20"/>
    <mergeCell ref="D19:E19"/>
    <mergeCell ref="F19:G19"/>
    <mergeCell ref="H19:I19"/>
    <mergeCell ref="K19:L19"/>
    <mergeCell ref="M19:N19"/>
    <mergeCell ref="A19:C19"/>
    <mergeCell ref="A20:C20"/>
    <mergeCell ref="D18:E18"/>
    <mergeCell ref="F18:G18"/>
    <mergeCell ref="M18:N18"/>
    <mergeCell ref="D17:E17"/>
    <mergeCell ref="F17:G17"/>
    <mergeCell ref="H17:I17"/>
    <mergeCell ref="K17:L17"/>
    <mergeCell ref="M17:N17"/>
    <mergeCell ref="D2:K4"/>
    <mergeCell ref="L2:N4"/>
    <mergeCell ref="R3:T3"/>
    <mergeCell ref="B5:K5"/>
    <mergeCell ref="L5:N5"/>
    <mergeCell ref="R5:T5"/>
    <mergeCell ref="K13:L13"/>
    <mergeCell ref="F15:N15"/>
    <mergeCell ref="A16:C16"/>
    <mergeCell ref="D16:E16"/>
    <mergeCell ref="F16:G16"/>
    <mergeCell ref="H16:I16"/>
    <mergeCell ref="K16:L16"/>
    <mergeCell ref="M16:N16"/>
    <mergeCell ref="C8:F8"/>
    <mergeCell ref="K8:N8"/>
    <mergeCell ref="C10:F10"/>
    <mergeCell ref="K10:N10"/>
  </mergeCells>
  <conditionalFormatting sqref="D17:D45">
    <cfRule type="expression" dxfId="115" priority="1">
      <formula>#REF!="Non"</formula>
    </cfRule>
    <cfRule type="expression" dxfId="114" priority="2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BD244"/>
  <sheetViews>
    <sheetView topLeftCell="A13" zoomScale="80" zoomScaleNormal="80" workbookViewId="0">
      <selection activeCell="T39" sqref="T39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2.28515625" style="6" customWidth="1"/>
    <col min="4" max="4" width="8.42578125" style="6" customWidth="1"/>
    <col min="5" max="5" width="6.42578125" style="6" customWidth="1"/>
    <col min="6" max="6" width="5.42578125" style="6" customWidth="1"/>
    <col min="7" max="7" width="8" style="6" customWidth="1"/>
    <col min="8" max="8" width="5.85546875" style="6" customWidth="1"/>
    <col min="9" max="9" width="10" style="6" customWidth="1"/>
    <col min="10" max="10" width="14.42578125" style="6" customWidth="1"/>
    <col min="11" max="12" width="8.140625" style="6" customWidth="1"/>
    <col min="13" max="13" width="8" style="6" customWidth="1"/>
    <col min="14" max="14" width="10.42578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69</v>
      </c>
      <c r="E2" s="195"/>
      <c r="F2" s="195"/>
      <c r="G2" s="195"/>
      <c r="H2" s="195"/>
      <c r="I2" s="195"/>
      <c r="J2" s="195"/>
      <c r="K2" s="195"/>
      <c r="L2" s="251">
        <f>'Niveau 1 Fév'!L2:N4</f>
        <v>45323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4"/>
      <c r="Q3" s="4"/>
      <c r="R3" s="220"/>
      <c r="S3" s="220"/>
      <c r="T3" s="220"/>
      <c r="U3" s="34"/>
      <c r="V3" s="34"/>
      <c r="W3" s="34"/>
      <c r="X3" s="34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4"/>
      <c r="Q4" s="4"/>
      <c r="R4" s="34"/>
      <c r="S4" s="34"/>
      <c r="T4" s="34"/>
      <c r="U4" s="34"/>
      <c r="V4" s="34"/>
      <c r="W4" s="34"/>
      <c r="X4" s="34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f>+'Niveau 2 Fév'!L5:N5</f>
        <v>45328</v>
      </c>
      <c r="M5" s="222"/>
      <c r="N5" s="222"/>
      <c r="O5" s="3"/>
      <c r="P5" s="34"/>
      <c r="Q5" s="5"/>
      <c r="R5" s="220"/>
      <c r="S5" s="220"/>
      <c r="T5" s="220"/>
      <c r="U5" s="34"/>
      <c r="V5" s="34"/>
      <c r="W5" s="34"/>
      <c r="X5" s="34"/>
      <c r="Y5" s="5"/>
    </row>
    <row r="6" spans="1:25" ht="19.5" customHeight="1" x14ac:dyDescent="0.35">
      <c r="A6" s="27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40"/>
      <c r="V6" s="40"/>
      <c r="W6" s="40"/>
      <c r="X6" s="40"/>
      <c r="Y6" s="5"/>
    </row>
    <row r="7" spans="1:25" ht="19.5" customHeight="1" thickBot="1" x14ac:dyDescent="0.4">
      <c r="A7" s="111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40"/>
      <c r="V7" s="40"/>
      <c r="W7" s="40"/>
      <c r="X7" s="40"/>
      <c r="Y7" s="5"/>
    </row>
    <row r="8" spans="1:25" ht="18" customHeight="1" thickBot="1" x14ac:dyDescent="0.3">
      <c r="A8" s="8" t="s">
        <v>2</v>
      </c>
      <c r="B8" s="24"/>
      <c r="C8" s="223"/>
      <c r="D8" s="224"/>
      <c r="E8" s="224"/>
      <c r="F8" s="225"/>
      <c r="G8" s="9"/>
      <c r="H8" s="8" t="s">
        <v>26</v>
      </c>
      <c r="I8" s="8"/>
      <c r="J8" s="8"/>
      <c r="K8" s="223"/>
      <c r="L8" s="224"/>
      <c r="M8" s="224"/>
      <c r="N8" s="225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223"/>
      <c r="D10" s="224"/>
      <c r="E10" s="224"/>
      <c r="F10" s="225"/>
      <c r="G10" s="9"/>
      <c r="H10" s="8" t="s">
        <v>25</v>
      </c>
      <c r="I10" s="8"/>
      <c r="J10" s="8"/>
      <c r="K10" s="223"/>
      <c r="L10" s="224"/>
      <c r="M10" s="224"/>
      <c r="N10" s="225"/>
      <c r="O10" s="26"/>
      <c r="P10" s="26"/>
      <c r="Q10" s="26"/>
      <c r="R10" s="26"/>
      <c r="S10" s="26"/>
      <c r="T10" s="26"/>
      <c r="U10" s="11"/>
    </row>
    <row r="11" spans="1:25" ht="18" customHeight="1" thickBot="1" x14ac:dyDescent="0.35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8" customHeight="1" thickBot="1" x14ac:dyDescent="0.35">
      <c r="A12" s="8" t="s">
        <v>49</v>
      </c>
      <c r="B12" s="24"/>
      <c r="C12" s="223" t="s">
        <v>50</v>
      </c>
      <c r="D12" s="224"/>
      <c r="E12" s="224"/>
      <c r="F12" s="225"/>
      <c r="G12" s="24"/>
      <c r="H12" s="8" t="s">
        <v>52</v>
      </c>
      <c r="I12" s="8"/>
      <c r="J12" s="24"/>
      <c r="K12" s="241"/>
      <c r="L12" s="242"/>
      <c r="M12" s="8" t="s">
        <v>59</v>
      </c>
      <c r="N12" s="24"/>
      <c r="O12" s="26"/>
      <c r="P12" s="26"/>
      <c r="Q12" s="26"/>
      <c r="R12" s="26"/>
      <c r="S12" s="26"/>
      <c r="T12" s="26"/>
      <c r="U12" s="11"/>
    </row>
    <row r="13" spans="1:25" ht="18" customHeight="1" thickBot="1" x14ac:dyDescent="0.35">
      <c r="A13" s="8"/>
      <c r="B13" s="24"/>
      <c r="C13" s="24"/>
      <c r="D13" s="24"/>
      <c r="E13" s="24"/>
      <c r="F13" s="24"/>
      <c r="G13" s="24"/>
      <c r="H13" s="8" t="s">
        <v>51</v>
      </c>
      <c r="I13" s="8"/>
      <c r="J13" s="24"/>
      <c r="K13" s="260"/>
      <c r="L13" s="261"/>
      <c r="M13" s="32" t="s">
        <v>60</v>
      </c>
      <c r="N13" s="24"/>
      <c r="O13" s="26"/>
      <c r="P13" s="26"/>
      <c r="Q13" s="26"/>
      <c r="R13" s="26"/>
      <c r="S13" s="26"/>
      <c r="T13" s="26"/>
      <c r="U13" s="11"/>
    </row>
    <row r="14" spans="1:25" ht="13.5" customHeight="1" thickBot="1" x14ac:dyDescent="0.35">
      <c r="A14" s="8" t="s">
        <v>70</v>
      </c>
      <c r="B14" s="24"/>
      <c r="C14" s="24"/>
      <c r="D14" s="24"/>
      <c r="E14" s="24"/>
      <c r="F14" s="24"/>
      <c r="G14" s="9"/>
      <c r="H14" s="8"/>
      <c r="I14" s="8"/>
      <c r="J14" s="8"/>
      <c r="K14" s="8"/>
      <c r="L14" s="8"/>
      <c r="M14" s="8"/>
      <c r="N14" s="8"/>
      <c r="O14" s="26"/>
      <c r="P14" s="26"/>
      <c r="Q14" s="26"/>
      <c r="R14" s="26"/>
      <c r="S14" s="26"/>
      <c r="T14" s="26"/>
      <c r="U14" s="11"/>
    </row>
    <row r="15" spans="1:25" ht="22.5" customHeight="1" thickBot="1" x14ac:dyDescent="0.35">
      <c r="A15" s="8"/>
      <c r="B15" s="24"/>
      <c r="C15" s="10"/>
      <c r="D15" s="10"/>
      <c r="E15" s="10"/>
      <c r="F15" s="262" t="s">
        <v>28</v>
      </c>
      <c r="G15" s="263"/>
      <c r="H15" s="263"/>
      <c r="I15" s="263"/>
      <c r="J15" s="263"/>
      <c r="K15" s="263"/>
      <c r="L15" s="263"/>
      <c r="M15" s="263"/>
      <c r="N15" s="264"/>
      <c r="O15" s="26"/>
      <c r="P15" s="26"/>
      <c r="Q15" s="26"/>
      <c r="R15" s="26"/>
      <c r="S15" s="26"/>
      <c r="T15" s="26"/>
      <c r="U15" s="11"/>
    </row>
    <row r="16" spans="1:25" s="19" customFormat="1" ht="54.75" customHeight="1" x14ac:dyDescent="0.25">
      <c r="A16" s="200" t="s">
        <v>1</v>
      </c>
      <c r="B16" s="201"/>
      <c r="C16" s="202"/>
      <c r="D16" s="203" t="s">
        <v>58</v>
      </c>
      <c r="E16" s="204"/>
      <c r="F16" s="265" t="s">
        <v>29</v>
      </c>
      <c r="G16" s="265"/>
      <c r="H16" s="266" t="s">
        <v>61</v>
      </c>
      <c r="I16" s="267"/>
      <c r="J16" s="35" t="s">
        <v>63</v>
      </c>
      <c r="K16" s="268" t="s">
        <v>64</v>
      </c>
      <c r="L16" s="269"/>
      <c r="M16" s="266" t="s">
        <v>30</v>
      </c>
      <c r="N16" s="267"/>
      <c r="O16" s="26"/>
      <c r="P16" s="26"/>
      <c r="Q16" s="26"/>
      <c r="R16" s="26"/>
      <c r="S16" s="26"/>
      <c r="T16" s="26"/>
      <c r="U16" s="20"/>
      <c r="V16" s="20"/>
      <c r="W16" s="20"/>
      <c r="X16" s="21"/>
    </row>
    <row r="17" spans="1:24" s="3" customFormat="1" ht="15.75" x14ac:dyDescent="0.25">
      <c r="A17" s="191">
        <v>45299</v>
      </c>
      <c r="B17" s="286"/>
      <c r="C17" s="287"/>
      <c r="D17" s="243"/>
      <c r="E17" s="243"/>
      <c r="F17" s="244"/>
      <c r="G17" s="245"/>
      <c r="H17" s="246"/>
      <c r="I17" s="247"/>
      <c r="J17" s="100"/>
      <c r="K17" s="248"/>
      <c r="L17" s="248"/>
      <c r="M17" s="249">
        <f t="shared" ref="M17" si="0">+K17-J17</f>
        <v>0</v>
      </c>
      <c r="N17" s="250"/>
      <c r="O17" s="26"/>
      <c r="P17" s="26"/>
      <c r="Q17" s="26"/>
      <c r="R17" s="26"/>
      <c r="S17" s="26"/>
      <c r="T17" s="26"/>
      <c r="U17" s="13"/>
      <c r="V17" s="13"/>
      <c r="W17" s="13"/>
      <c r="X17" s="1"/>
    </row>
    <row r="18" spans="1:24" s="3" customFormat="1" ht="15.75" x14ac:dyDescent="0.25">
      <c r="A18" s="191">
        <v>45300</v>
      </c>
      <c r="B18" s="286"/>
      <c r="C18" s="287"/>
      <c r="D18" s="243"/>
      <c r="E18" s="243"/>
      <c r="F18" s="244"/>
      <c r="G18" s="245"/>
      <c r="H18" s="246"/>
      <c r="I18" s="247"/>
      <c r="J18" s="100"/>
      <c r="K18" s="248"/>
      <c r="L18" s="248"/>
      <c r="M18" s="249">
        <f t="shared" ref="M18:M44" si="1">+K18-J18</f>
        <v>0</v>
      </c>
      <c r="N18" s="250"/>
      <c r="P18" s="26"/>
      <c r="Q18" s="26"/>
      <c r="R18" s="26"/>
      <c r="S18" s="26"/>
      <c r="T18" s="26"/>
      <c r="U18" s="13"/>
      <c r="V18" s="13"/>
      <c r="W18" s="13"/>
      <c r="X18" s="1"/>
    </row>
    <row r="19" spans="1:24" s="3" customFormat="1" ht="15.75" x14ac:dyDescent="0.25">
      <c r="A19" s="191">
        <v>45301</v>
      </c>
      <c r="B19" s="286"/>
      <c r="C19" s="287"/>
      <c r="D19" s="243"/>
      <c r="E19" s="243"/>
      <c r="F19" s="244"/>
      <c r="G19" s="245"/>
      <c r="H19" s="246"/>
      <c r="I19" s="247"/>
      <c r="J19" s="100"/>
      <c r="K19" s="248"/>
      <c r="L19" s="248"/>
      <c r="M19" s="249">
        <f t="shared" si="1"/>
        <v>0</v>
      </c>
      <c r="N19" s="250"/>
      <c r="P19" s="26"/>
      <c r="Q19" s="26"/>
      <c r="R19" s="26"/>
      <c r="S19" s="26"/>
      <c r="T19" s="26"/>
      <c r="U19" s="26"/>
      <c r="V19" s="13"/>
      <c r="W19" s="13"/>
      <c r="X19" s="1"/>
    </row>
    <row r="20" spans="1:24" s="3" customFormat="1" x14ac:dyDescent="0.25">
      <c r="A20" s="191">
        <v>45302</v>
      </c>
      <c r="B20" s="286"/>
      <c r="C20" s="287"/>
      <c r="D20" s="243"/>
      <c r="E20" s="243"/>
      <c r="F20" s="244"/>
      <c r="G20" s="245"/>
      <c r="H20" s="246"/>
      <c r="I20" s="247"/>
      <c r="J20" s="100"/>
      <c r="K20" s="248"/>
      <c r="L20" s="248"/>
      <c r="M20" s="249">
        <f t="shared" si="1"/>
        <v>0</v>
      </c>
      <c r="N20" s="250"/>
      <c r="P20" s="12"/>
      <c r="Q20" s="12"/>
      <c r="R20" s="12"/>
      <c r="S20" s="12"/>
      <c r="T20" s="13"/>
      <c r="U20" s="13"/>
      <c r="V20" s="13"/>
      <c r="W20" s="13"/>
      <c r="X20" s="1"/>
    </row>
    <row r="21" spans="1:24" s="3" customFormat="1" x14ac:dyDescent="0.25">
      <c r="A21" s="191">
        <v>45303</v>
      </c>
      <c r="B21" s="286"/>
      <c r="C21" s="287"/>
      <c r="D21" s="243"/>
      <c r="E21" s="243"/>
      <c r="F21" s="244"/>
      <c r="G21" s="245"/>
      <c r="H21" s="246"/>
      <c r="I21" s="247"/>
      <c r="J21" s="100"/>
      <c r="K21" s="248"/>
      <c r="L21" s="248"/>
      <c r="M21" s="249">
        <f t="shared" si="1"/>
        <v>0</v>
      </c>
      <c r="N21" s="250"/>
      <c r="P21" s="12"/>
      <c r="Q21" s="12"/>
      <c r="R21" s="12"/>
      <c r="S21" s="12"/>
      <c r="T21" s="13"/>
      <c r="U21" s="13"/>
      <c r="V21" s="13"/>
      <c r="W21" s="13"/>
      <c r="X21" s="1"/>
    </row>
    <row r="22" spans="1:24" s="3" customFormat="1" x14ac:dyDescent="0.25">
      <c r="A22" s="191">
        <v>45304</v>
      </c>
      <c r="B22" s="286"/>
      <c r="C22" s="287"/>
      <c r="D22" s="243"/>
      <c r="E22" s="243"/>
      <c r="F22" s="244"/>
      <c r="G22" s="245"/>
      <c r="H22" s="246"/>
      <c r="I22" s="247"/>
      <c r="J22" s="100"/>
      <c r="K22" s="248"/>
      <c r="L22" s="248"/>
      <c r="M22" s="249">
        <f t="shared" si="1"/>
        <v>0</v>
      </c>
      <c r="N22" s="250"/>
      <c r="P22" s="12"/>
      <c r="Q22" s="12"/>
      <c r="R22" s="12"/>
      <c r="S22" s="12"/>
      <c r="T22" s="13"/>
      <c r="U22" s="13"/>
      <c r="V22" s="13"/>
      <c r="W22" s="13"/>
      <c r="X22" s="1"/>
    </row>
    <row r="23" spans="1:24" s="3" customFormat="1" x14ac:dyDescent="0.25">
      <c r="A23" s="191">
        <v>45305</v>
      </c>
      <c r="B23" s="286"/>
      <c r="C23" s="287"/>
      <c r="D23" s="243"/>
      <c r="E23" s="243"/>
      <c r="F23" s="244"/>
      <c r="G23" s="245"/>
      <c r="H23" s="246"/>
      <c r="I23" s="247"/>
      <c r="J23" s="100"/>
      <c r="K23" s="248"/>
      <c r="L23" s="248"/>
      <c r="M23" s="249">
        <f t="shared" si="1"/>
        <v>0</v>
      </c>
      <c r="N23" s="250"/>
      <c r="P23" s="12"/>
      <c r="Q23" s="12"/>
      <c r="R23" s="12"/>
      <c r="S23" s="12"/>
      <c r="T23" s="13"/>
      <c r="U23" s="13"/>
      <c r="V23" s="13"/>
      <c r="W23" s="13"/>
      <c r="X23" s="1"/>
    </row>
    <row r="24" spans="1:24" s="3" customFormat="1" x14ac:dyDescent="0.25">
      <c r="A24" s="191">
        <v>45306</v>
      </c>
      <c r="B24" s="286"/>
      <c r="C24" s="287"/>
      <c r="D24" s="243"/>
      <c r="E24" s="243"/>
      <c r="F24" s="244"/>
      <c r="G24" s="245"/>
      <c r="H24" s="246"/>
      <c r="I24" s="247"/>
      <c r="J24" s="100"/>
      <c r="K24" s="248"/>
      <c r="L24" s="248"/>
      <c r="M24" s="249">
        <f t="shared" si="1"/>
        <v>0</v>
      </c>
      <c r="N24" s="250"/>
      <c r="P24" s="12"/>
      <c r="Q24" s="12"/>
      <c r="R24" s="12"/>
      <c r="S24" s="12"/>
      <c r="T24" s="13"/>
      <c r="U24" s="13"/>
      <c r="V24" s="13"/>
      <c r="W24" s="13"/>
      <c r="X24" s="1"/>
    </row>
    <row r="25" spans="1:24" s="3" customFormat="1" x14ac:dyDescent="0.25">
      <c r="A25" s="191">
        <v>45307</v>
      </c>
      <c r="B25" s="286"/>
      <c r="C25" s="287"/>
      <c r="D25" s="243"/>
      <c r="E25" s="243"/>
      <c r="F25" s="244"/>
      <c r="G25" s="245"/>
      <c r="H25" s="246"/>
      <c r="I25" s="247"/>
      <c r="J25" s="100"/>
      <c r="K25" s="248"/>
      <c r="L25" s="248"/>
      <c r="M25" s="249">
        <f t="shared" si="1"/>
        <v>0</v>
      </c>
      <c r="N25" s="250"/>
      <c r="P25" s="12"/>
      <c r="Q25" s="12"/>
      <c r="R25" s="12"/>
      <c r="S25" s="12"/>
      <c r="T25" s="13"/>
      <c r="U25" s="13"/>
      <c r="V25" s="13"/>
      <c r="W25" s="13"/>
      <c r="X25" s="1"/>
    </row>
    <row r="26" spans="1:24" s="3" customFormat="1" x14ac:dyDescent="0.25">
      <c r="A26" s="191">
        <v>45308</v>
      </c>
      <c r="B26" s="286"/>
      <c r="C26" s="287"/>
      <c r="D26" s="243"/>
      <c r="E26" s="243"/>
      <c r="F26" s="244"/>
      <c r="G26" s="245"/>
      <c r="H26" s="246"/>
      <c r="I26" s="247"/>
      <c r="J26" s="100"/>
      <c r="K26" s="248"/>
      <c r="L26" s="248"/>
      <c r="M26" s="249">
        <f t="shared" si="1"/>
        <v>0</v>
      </c>
      <c r="N26" s="250"/>
      <c r="P26" s="12"/>
      <c r="Q26" s="12"/>
      <c r="R26" s="12"/>
      <c r="S26" s="12"/>
      <c r="T26" s="13"/>
      <c r="U26" s="13"/>
      <c r="V26" s="13"/>
      <c r="W26" s="13"/>
      <c r="X26" s="1"/>
    </row>
    <row r="27" spans="1:24" s="3" customFormat="1" x14ac:dyDescent="0.25">
      <c r="A27" s="191">
        <v>45309</v>
      </c>
      <c r="B27" s="286"/>
      <c r="C27" s="287"/>
      <c r="D27" s="243"/>
      <c r="E27" s="243"/>
      <c r="F27" s="244"/>
      <c r="G27" s="245"/>
      <c r="H27" s="246"/>
      <c r="I27" s="247"/>
      <c r="J27" s="100"/>
      <c r="K27" s="248"/>
      <c r="L27" s="248"/>
      <c r="M27" s="249">
        <f t="shared" si="1"/>
        <v>0</v>
      </c>
      <c r="N27" s="250"/>
      <c r="P27" s="12"/>
      <c r="Q27" s="15"/>
      <c r="R27" s="15"/>
      <c r="S27" s="15"/>
      <c r="T27" s="13"/>
      <c r="U27" s="13"/>
      <c r="V27" s="13"/>
      <c r="W27" s="13"/>
      <c r="X27" s="1"/>
    </row>
    <row r="28" spans="1:24" s="3" customFormat="1" x14ac:dyDescent="0.25">
      <c r="A28" s="191">
        <v>45310</v>
      </c>
      <c r="B28" s="286"/>
      <c r="C28" s="287"/>
      <c r="D28" s="243"/>
      <c r="E28" s="243"/>
      <c r="F28" s="244"/>
      <c r="G28" s="245"/>
      <c r="H28" s="246"/>
      <c r="I28" s="247"/>
      <c r="J28" s="100"/>
      <c r="K28" s="248"/>
      <c r="L28" s="248"/>
      <c r="M28" s="249">
        <f t="shared" si="1"/>
        <v>0</v>
      </c>
      <c r="N28" s="250"/>
      <c r="P28" s="12"/>
      <c r="Q28" s="15"/>
      <c r="R28" s="15"/>
      <c r="S28" s="15"/>
      <c r="T28" s="13"/>
      <c r="U28" s="13"/>
      <c r="V28" s="13"/>
      <c r="W28" s="13"/>
      <c r="X28" s="1"/>
    </row>
    <row r="29" spans="1:24" s="3" customFormat="1" x14ac:dyDescent="0.25">
      <c r="A29" s="191">
        <v>45311</v>
      </c>
      <c r="B29" s="286"/>
      <c r="C29" s="287"/>
      <c r="D29" s="243"/>
      <c r="E29" s="243"/>
      <c r="F29" s="244"/>
      <c r="G29" s="245"/>
      <c r="H29" s="246"/>
      <c r="I29" s="247"/>
      <c r="J29" s="100"/>
      <c r="K29" s="248"/>
      <c r="L29" s="248"/>
      <c r="M29" s="249">
        <f t="shared" si="1"/>
        <v>0</v>
      </c>
      <c r="N29" s="250"/>
      <c r="P29" s="12"/>
      <c r="Q29" s="15"/>
      <c r="R29" s="15"/>
      <c r="S29" s="15"/>
      <c r="T29" s="13"/>
      <c r="U29" s="13"/>
      <c r="V29" s="13"/>
      <c r="W29" s="13"/>
      <c r="X29" s="1"/>
    </row>
    <row r="30" spans="1:24" s="3" customFormat="1" x14ac:dyDescent="0.25">
      <c r="A30" s="191">
        <v>45312</v>
      </c>
      <c r="B30" s="286"/>
      <c r="C30" s="287"/>
      <c r="D30" s="243"/>
      <c r="E30" s="243"/>
      <c r="F30" s="244"/>
      <c r="G30" s="245"/>
      <c r="H30" s="246"/>
      <c r="I30" s="247"/>
      <c r="J30" s="100"/>
      <c r="K30" s="248"/>
      <c r="L30" s="248"/>
      <c r="M30" s="249">
        <f t="shared" si="1"/>
        <v>0</v>
      </c>
      <c r="N30" s="250"/>
      <c r="O30" s="1"/>
      <c r="P30" s="12"/>
      <c r="Q30" s="15"/>
      <c r="R30" s="15"/>
      <c r="S30" s="15"/>
      <c r="T30" s="13"/>
      <c r="U30" s="13"/>
      <c r="V30" s="13"/>
      <c r="W30" s="13"/>
      <c r="X30" s="1"/>
    </row>
    <row r="31" spans="1:24" s="3" customFormat="1" x14ac:dyDescent="0.25">
      <c r="A31" s="191">
        <v>45313</v>
      </c>
      <c r="B31" s="286"/>
      <c r="C31" s="287"/>
      <c r="D31" s="270"/>
      <c r="E31" s="271"/>
      <c r="F31" s="101"/>
      <c r="G31" s="102"/>
      <c r="H31" s="103"/>
      <c r="I31" s="104"/>
      <c r="J31" s="100"/>
      <c r="K31" s="249"/>
      <c r="L31" s="250"/>
      <c r="M31" s="249">
        <f t="shared" si="1"/>
        <v>0</v>
      </c>
      <c r="N31" s="250"/>
      <c r="O31" s="1"/>
      <c r="P31" s="12"/>
      <c r="Q31" s="15"/>
      <c r="R31" s="15"/>
      <c r="S31" s="15"/>
      <c r="T31" s="13"/>
      <c r="U31" s="13"/>
      <c r="V31" s="13"/>
      <c r="W31" s="13"/>
      <c r="X31" s="1"/>
    </row>
    <row r="32" spans="1:24" s="3" customFormat="1" x14ac:dyDescent="0.25">
      <c r="A32" s="191">
        <v>45314</v>
      </c>
      <c r="B32" s="286"/>
      <c r="C32" s="287"/>
      <c r="D32" s="270"/>
      <c r="E32" s="271"/>
      <c r="F32" s="101"/>
      <c r="G32" s="102"/>
      <c r="H32" s="103"/>
      <c r="I32" s="104"/>
      <c r="J32" s="100"/>
      <c r="K32" s="249"/>
      <c r="L32" s="250"/>
      <c r="M32" s="249">
        <f t="shared" si="1"/>
        <v>0</v>
      </c>
      <c r="N32" s="250"/>
      <c r="O32" s="1"/>
      <c r="P32" s="12"/>
      <c r="Q32" s="15"/>
      <c r="R32" s="15"/>
      <c r="S32" s="15"/>
      <c r="T32" s="13"/>
      <c r="U32" s="13"/>
      <c r="V32" s="13"/>
      <c r="W32" s="13"/>
      <c r="X32" s="1"/>
    </row>
    <row r="33" spans="1:25" s="3" customFormat="1" x14ac:dyDescent="0.25">
      <c r="A33" s="191">
        <v>45315</v>
      </c>
      <c r="B33" s="286"/>
      <c r="C33" s="287"/>
      <c r="D33" s="270"/>
      <c r="E33" s="271"/>
      <c r="F33" s="101"/>
      <c r="G33" s="102"/>
      <c r="H33" s="103"/>
      <c r="I33" s="104"/>
      <c r="J33" s="100"/>
      <c r="K33" s="249"/>
      <c r="L33" s="250"/>
      <c r="M33" s="249">
        <f t="shared" si="1"/>
        <v>0</v>
      </c>
      <c r="N33" s="250"/>
      <c r="O33" s="1"/>
      <c r="P33" s="12"/>
      <c r="Q33" s="15"/>
      <c r="R33" s="15"/>
      <c r="S33" s="15"/>
      <c r="T33" s="13"/>
      <c r="U33" s="13"/>
      <c r="V33" s="13"/>
      <c r="W33" s="13"/>
      <c r="X33" s="1"/>
    </row>
    <row r="34" spans="1:25" s="3" customFormat="1" x14ac:dyDescent="0.25">
      <c r="A34" s="191">
        <v>45316</v>
      </c>
      <c r="B34" s="286"/>
      <c r="C34" s="287"/>
      <c r="D34" s="270"/>
      <c r="E34" s="271"/>
      <c r="F34" s="101"/>
      <c r="G34" s="102"/>
      <c r="H34" s="103"/>
      <c r="I34" s="104"/>
      <c r="J34" s="100"/>
      <c r="K34" s="249"/>
      <c r="L34" s="250"/>
      <c r="M34" s="249">
        <f t="shared" si="1"/>
        <v>0</v>
      </c>
      <c r="N34" s="250"/>
      <c r="O34" s="1"/>
      <c r="P34" s="12"/>
      <c r="Q34" s="15"/>
      <c r="R34" s="15"/>
      <c r="S34" s="15"/>
      <c r="T34" s="13"/>
      <c r="U34" s="13"/>
      <c r="V34" s="13"/>
      <c r="W34" s="13"/>
      <c r="X34" s="1"/>
    </row>
    <row r="35" spans="1:25" s="3" customFormat="1" x14ac:dyDescent="0.25">
      <c r="A35" s="191">
        <v>45317</v>
      </c>
      <c r="B35" s="286"/>
      <c r="C35" s="287"/>
      <c r="D35" s="270"/>
      <c r="E35" s="271"/>
      <c r="F35" s="101"/>
      <c r="G35" s="102"/>
      <c r="H35" s="103"/>
      <c r="I35" s="104"/>
      <c r="J35" s="100"/>
      <c r="K35" s="249"/>
      <c r="L35" s="250"/>
      <c r="M35" s="249">
        <f t="shared" si="1"/>
        <v>0</v>
      </c>
      <c r="N35" s="250"/>
      <c r="O35" s="1"/>
      <c r="P35" s="12"/>
      <c r="Q35" s="15"/>
      <c r="R35" s="15"/>
      <c r="S35" s="15"/>
      <c r="T35" s="13"/>
      <c r="U35" s="13"/>
      <c r="V35" s="13"/>
      <c r="W35" s="13"/>
      <c r="X35" s="1"/>
    </row>
    <row r="36" spans="1:25" s="3" customFormat="1" x14ac:dyDescent="0.25">
      <c r="A36" s="191">
        <v>45318</v>
      </c>
      <c r="B36" s="286"/>
      <c r="C36" s="287"/>
      <c r="D36" s="270"/>
      <c r="E36" s="271"/>
      <c r="F36" s="101"/>
      <c r="G36" s="102"/>
      <c r="H36" s="103"/>
      <c r="I36" s="104"/>
      <c r="J36" s="100"/>
      <c r="K36" s="249"/>
      <c r="L36" s="250"/>
      <c r="M36" s="249">
        <f t="shared" si="1"/>
        <v>0</v>
      </c>
      <c r="N36" s="250"/>
      <c r="O36" s="1"/>
      <c r="P36" s="12"/>
      <c r="Q36" s="15"/>
      <c r="R36" s="15"/>
      <c r="S36" s="15"/>
      <c r="T36" s="13"/>
      <c r="U36" s="13"/>
      <c r="V36" s="13"/>
      <c r="W36" s="13"/>
      <c r="X36" s="1"/>
    </row>
    <row r="37" spans="1:25" s="3" customFormat="1" x14ac:dyDescent="0.25">
      <c r="A37" s="191">
        <v>45319</v>
      </c>
      <c r="B37" s="286"/>
      <c r="C37" s="287"/>
      <c r="D37" s="270"/>
      <c r="E37" s="271"/>
      <c r="F37" s="101"/>
      <c r="G37" s="102"/>
      <c r="H37" s="103"/>
      <c r="I37" s="104"/>
      <c r="J37" s="100"/>
      <c r="K37" s="249"/>
      <c r="L37" s="250"/>
      <c r="M37" s="249">
        <f t="shared" si="1"/>
        <v>0</v>
      </c>
      <c r="N37" s="250"/>
      <c r="O37" s="1"/>
      <c r="P37" s="12"/>
      <c r="Q37" s="15"/>
      <c r="R37" s="15"/>
      <c r="S37" s="15"/>
      <c r="T37" s="13"/>
      <c r="U37" s="13"/>
      <c r="V37" s="13"/>
      <c r="W37" s="13"/>
      <c r="X37" s="1"/>
    </row>
    <row r="38" spans="1:25" s="3" customFormat="1" x14ac:dyDescent="0.25">
      <c r="A38" s="191">
        <v>45320</v>
      </c>
      <c r="B38" s="286"/>
      <c r="C38" s="287"/>
      <c r="D38" s="243"/>
      <c r="E38" s="243"/>
      <c r="F38" s="244"/>
      <c r="G38" s="245"/>
      <c r="H38" s="246"/>
      <c r="I38" s="247"/>
      <c r="J38" s="100"/>
      <c r="K38" s="248"/>
      <c r="L38" s="248"/>
      <c r="M38" s="249">
        <f t="shared" si="1"/>
        <v>0</v>
      </c>
      <c r="N38" s="250"/>
      <c r="P38" s="12"/>
      <c r="Q38" s="15"/>
      <c r="R38" s="15"/>
      <c r="S38" s="15"/>
      <c r="T38" s="13"/>
      <c r="U38" s="13"/>
      <c r="V38" s="13"/>
      <c r="W38" s="13"/>
      <c r="X38" s="1"/>
    </row>
    <row r="39" spans="1:25" s="3" customFormat="1" x14ac:dyDescent="0.25">
      <c r="A39" s="191">
        <v>45321</v>
      </c>
      <c r="B39" s="286"/>
      <c r="C39" s="287"/>
      <c r="D39" s="243"/>
      <c r="E39" s="243"/>
      <c r="F39" s="244"/>
      <c r="G39" s="245"/>
      <c r="H39" s="246"/>
      <c r="I39" s="247"/>
      <c r="J39" s="100"/>
      <c r="K39" s="248"/>
      <c r="L39" s="248"/>
      <c r="M39" s="249">
        <f t="shared" si="1"/>
        <v>0</v>
      </c>
      <c r="N39" s="250"/>
      <c r="P39" s="12"/>
      <c r="Q39" s="15"/>
      <c r="R39" s="15"/>
      <c r="S39" s="15"/>
      <c r="T39" s="13"/>
      <c r="U39" s="13"/>
      <c r="V39" s="13"/>
      <c r="W39" s="13"/>
      <c r="X39" s="1"/>
    </row>
    <row r="40" spans="1:25" s="3" customFormat="1" x14ac:dyDescent="0.25">
      <c r="A40" s="191">
        <v>45322</v>
      </c>
      <c r="B40" s="286"/>
      <c r="C40" s="287"/>
      <c r="D40" s="243"/>
      <c r="E40" s="243"/>
      <c r="F40" s="244"/>
      <c r="G40" s="245"/>
      <c r="H40" s="246"/>
      <c r="I40" s="247"/>
      <c r="J40" s="100"/>
      <c r="K40" s="248"/>
      <c r="L40" s="248"/>
      <c r="M40" s="249">
        <f t="shared" si="1"/>
        <v>0</v>
      </c>
      <c r="N40" s="250"/>
      <c r="P40" s="12"/>
      <c r="Q40" s="15"/>
      <c r="R40" s="15"/>
      <c r="S40" s="15"/>
      <c r="T40" s="13"/>
      <c r="U40" s="13"/>
      <c r="V40" s="13"/>
      <c r="W40" s="13"/>
      <c r="X40" s="1"/>
    </row>
    <row r="41" spans="1:25" s="3" customFormat="1" x14ac:dyDescent="0.25">
      <c r="A41" s="191">
        <v>45323</v>
      </c>
      <c r="B41" s="286"/>
      <c r="C41" s="287"/>
      <c r="D41" s="243"/>
      <c r="E41" s="243"/>
      <c r="F41" s="244"/>
      <c r="G41" s="245"/>
      <c r="H41" s="246"/>
      <c r="I41" s="247"/>
      <c r="J41" s="100"/>
      <c r="K41" s="248"/>
      <c r="L41" s="248"/>
      <c r="M41" s="249">
        <f t="shared" si="1"/>
        <v>0</v>
      </c>
      <c r="N41" s="250"/>
      <c r="P41" s="12"/>
      <c r="Q41" s="15"/>
      <c r="R41" s="15"/>
      <c r="S41" s="15"/>
      <c r="T41" s="13"/>
      <c r="U41" s="13"/>
      <c r="V41" s="13"/>
      <c r="W41" s="13"/>
      <c r="X41" s="1"/>
    </row>
    <row r="42" spans="1:25" s="3" customFormat="1" x14ac:dyDescent="0.25">
      <c r="A42" s="191">
        <v>45324</v>
      </c>
      <c r="B42" s="286"/>
      <c r="C42" s="287"/>
      <c r="D42" s="243"/>
      <c r="E42" s="243"/>
      <c r="F42" s="244"/>
      <c r="G42" s="245"/>
      <c r="H42" s="246"/>
      <c r="I42" s="247"/>
      <c r="J42" s="100"/>
      <c r="K42" s="248"/>
      <c r="L42" s="248"/>
      <c r="M42" s="249">
        <f t="shared" si="1"/>
        <v>0</v>
      </c>
      <c r="N42" s="250"/>
      <c r="P42" s="12"/>
      <c r="Q42" s="15"/>
      <c r="R42" s="15"/>
      <c r="S42" s="15"/>
      <c r="T42" s="13"/>
      <c r="U42" s="13"/>
      <c r="V42" s="13"/>
      <c r="W42" s="13"/>
      <c r="X42" s="1"/>
    </row>
    <row r="43" spans="1:25" s="3" customFormat="1" x14ac:dyDescent="0.25">
      <c r="A43" s="191">
        <v>45325</v>
      </c>
      <c r="B43" s="286"/>
      <c r="C43" s="287"/>
      <c r="D43" s="243"/>
      <c r="E43" s="243"/>
      <c r="F43" s="244"/>
      <c r="G43" s="245"/>
      <c r="H43" s="246"/>
      <c r="I43" s="247"/>
      <c r="J43" s="100"/>
      <c r="K43" s="248"/>
      <c r="L43" s="248"/>
      <c r="M43" s="249">
        <f t="shared" si="1"/>
        <v>0</v>
      </c>
      <c r="N43" s="250"/>
      <c r="P43" s="12"/>
      <c r="Q43" s="15"/>
      <c r="R43" s="15"/>
      <c r="S43" s="15"/>
      <c r="T43" s="13"/>
      <c r="U43" s="13"/>
      <c r="V43" s="13"/>
      <c r="W43" s="13"/>
      <c r="X43" s="1"/>
    </row>
    <row r="44" spans="1:25" s="3" customFormat="1" x14ac:dyDescent="0.25">
      <c r="A44" s="191">
        <v>45326</v>
      </c>
      <c r="B44" s="286"/>
      <c r="C44" s="287"/>
      <c r="D44" s="243"/>
      <c r="E44" s="243"/>
      <c r="F44" s="244"/>
      <c r="G44" s="245"/>
      <c r="H44" s="246"/>
      <c r="I44" s="247"/>
      <c r="J44" s="100"/>
      <c r="K44" s="248"/>
      <c r="L44" s="248"/>
      <c r="M44" s="249">
        <f t="shared" si="1"/>
        <v>0</v>
      </c>
      <c r="N44" s="250"/>
      <c r="P44" s="12"/>
      <c r="Q44" s="15"/>
      <c r="R44" s="15"/>
      <c r="S44" s="15"/>
      <c r="T44" s="13"/>
      <c r="U44" s="13"/>
      <c r="V44" s="13"/>
      <c r="W44" s="13"/>
      <c r="X44" s="1"/>
    </row>
    <row r="45" spans="1:25" s="3" customFormat="1" ht="15.75" x14ac:dyDescent="0.25">
      <c r="A45" s="231" t="s">
        <v>21</v>
      </c>
      <c r="B45" s="232"/>
      <c r="C45" s="233"/>
      <c r="D45" s="278">
        <f>+COUNTA(D17:E44)</f>
        <v>0</v>
      </c>
      <c r="E45" s="279"/>
      <c r="F45" s="280">
        <f>+COUNTA(F17:G44)</f>
        <v>0</v>
      </c>
      <c r="G45" s="281"/>
      <c r="H45" s="282">
        <f>SUM(H17:I44)</f>
        <v>0</v>
      </c>
      <c r="I45" s="282"/>
      <c r="J45" s="107"/>
      <c r="K45" s="283"/>
      <c r="L45" s="283"/>
      <c r="M45" s="284">
        <f>+SUM(M17:O44)</f>
        <v>0</v>
      </c>
      <c r="N45" s="285"/>
      <c r="P45" s="12"/>
      <c r="Q45" s="12"/>
      <c r="R45" s="12"/>
      <c r="S45" s="12"/>
      <c r="T45" s="13"/>
      <c r="U45" s="13"/>
      <c r="V45" s="13"/>
      <c r="W45" s="13"/>
      <c r="X45" s="1"/>
    </row>
    <row r="46" spans="1:25" s="3" customFormat="1" x14ac:dyDescent="0.25">
      <c r="A46" s="12"/>
      <c r="B46" s="12"/>
      <c r="C46" s="12"/>
      <c r="D46" s="272" t="s">
        <v>65</v>
      </c>
      <c r="E46" s="273"/>
      <c r="F46" s="274" t="s">
        <v>24</v>
      </c>
      <c r="G46" s="274"/>
      <c r="H46" s="275" t="s">
        <v>62</v>
      </c>
      <c r="I46" s="275"/>
      <c r="K46" s="12"/>
      <c r="L46" s="12"/>
      <c r="M46" s="276" t="s">
        <v>66</v>
      </c>
      <c r="N46" s="277"/>
      <c r="O46" s="12"/>
      <c r="P46" s="12"/>
      <c r="Q46" s="12"/>
      <c r="R46" s="12"/>
      <c r="S46" s="12"/>
      <c r="T46" s="13"/>
      <c r="U46" s="13"/>
      <c r="V46" s="13"/>
      <c r="W46" s="13"/>
      <c r="X46" s="1"/>
    </row>
    <row r="47" spans="1:25" s="3" customFormat="1" x14ac:dyDescent="0.25">
      <c r="K47" s="12"/>
      <c r="L47" s="12"/>
      <c r="M47" s="12"/>
      <c r="N47" s="12"/>
      <c r="O47" s="12"/>
      <c r="P47" s="12"/>
      <c r="U47" s="1"/>
      <c r="V47" s="1"/>
      <c r="W47" s="1"/>
      <c r="X47" s="1"/>
      <c r="Y47" s="1"/>
    </row>
    <row r="48" spans="1:25" s="3" customFormat="1" x14ac:dyDescent="0.25">
      <c r="A48" s="28" t="s">
        <v>23</v>
      </c>
      <c r="J48" s="28" t="s">
        <v>27</v>
      </c>
      <c r="N48" s="39"/>
      <c r="P48" s="12"/>
      <c r="U48" s="1"/>
      <c r="V48" s="1"/>
      <c r="W48" s="1"/>
      <c r="X48" s="1"/>
      <c r="Y48" s="1"/>
    </row>
    <row r="49" spans="1:25" s="3" customFormat="1" x14ac:dyDescent="0.25">
      <c r="J49" s="28" t="s">
        <v>31</v>
      </c>
      <c r="N49" s="39"/>
      <c r="P49" s="12"/>
      <c r="U49" s="1"/>
      <c r="V49" s="1"/>
      <c r="W49" s="1"/>
      <c r="X49" s="1"/>
      <c r="Y49" s="1"/>
    </row>
    <row r="50" spans="1:25" s="3" customFormat="1" x14ac:dyDescent="0.25">
      <c r="A50" s="29" t="s">
        <v>20</v>
      </c>
      <c r="B50" s="30"/>
      <c r="C50" s="29"/>
      <c r="D50" s="29"/>
      <c r="E50" s="16"/>
      <c r="H50" s="18"/>
      <c r="P50" s="12"/>
      <c r="U50" s="1"/>
      <c r="V50" s="1"/>
      <c r="W50" s="1"/>
      <c r="X50" s="1"/>
      <c r="Y50" s="1"/>
    </row>
    <row r="51" spans="1:25" s="3" customFormat="1" x14ac:dyDescent="0.25">
      <c r="A51" s="29" t="s">
        <v>7</v>
      </c>
      <c r="B51" s="30"/>
      <c r="C51" s="31">
        <f ca="1">TODAY()</f>
        <v>45320</v>
      </c>
      <c r="D51" s="29"/>
      <c r="E51" s="16"/>
      <c r="J51" s="28" t="s">
        <v>22</v>
      </c>
      <c r="P51" s="12"/>
      <c r="U51" s="1"/>
      <c r="V51" s="1"/>
      <c r="W51" s="1"/>
      <c r="X51" s="1"/>
      <c r="Y51" s="1"/>
    </row>
    <row r="52" spans="1:25" s="3" customFormat="1" x14ac:dyDescent="0.25">
      <c r="A52" s="28"/>
      <c r="B52" s="240" t="s">
        <v>47</v>
      </c>
      <c r="C52" s="240"/>
      <c r="D52" s="240"/>
      <c r="E52" s="240"/>
      <c r="F52" s="240"/>
      <c r="J52" s="240" t="s">
        <v>48</v>
      </c>
      <c r="K52" s="240"/>
      <c r="L52" s="240"/>
      <c r="M52" s="240"/>
      <c r="N52" s="240"/>
      <c r="U52" s="1"/>
      <c r="V52" s="1"/>
      <c r="W52" s="1"/>
      <c r="X52" s="1"/>
      <c r="Y52" s="1"/>
    </row>
    <row r="53" spans="1:25" s="3" customFormat="1" x14ac:dyDescent="0.25">
      <c r="B53" s="240"/>
      <c r="C53" s="240"/>
      <c r="D53" s="240"/>
      <c r="E53" s="240"/>
      <c r="F53" s="240"/>
      <c r="J53" s="240"/>
      <c r="K53" s="240"/>
      <c r="L53" s="240"/>
      <c r="M53" s="240"/>
      <c r="N53" s="240"/>
      <c r="U53" s="1"/>
      <c r="V53" s="1"/>
      <c r="W53" s="1"/>
      <c r="X53" s="1"/>
      <c r="Y53" s="1"/>
    </row>
    <row r="54" spans="1:25" s="3" customFormat="1" x14ac:dyDescent="0.25">
      <c r="B54" s="240"/>
      <c r="C54" s="240"/>
      <c r="D54" s="240"/>
      <c r="E54" s="240"/>
      <c r="F54" s="240"/>
      <c r="J54" s="240"/>
      <c r="K54" s="240"/>
      <c r="L54" s="240"/>
      <c r="M54" s="240"/>
      <c r="N54" s="240"/>
      <c r="U54" s="1"/>
      <c r="V54" s="1"/>
      <c r="W54" s="1"/>
      <c r="X54" s="1"/>
      <c r="Y54" s="1"/>
    </row>
    <row r="55" spans="1:25" s="3" customFormat="1" x14ac:dyDescent="0.25">
      <c r="B55" s="240"/>
      <c r="C55" s="240"/>
      <c r="D55" s="240"/>
      <c r="E55" s="240"/>
      <c r="F55" s="240"/>
      <c r="J55" s="240"/>
      <c r="K55" s="240"/>
      <c r="L55" s="240"/>
      <c r="M55" s="240"/>
      <c r="N55" s="240"/>
      <c r="U55" s="1"/>
      <c r="V55" s="1"/>
      <c r="W55" s="1"/>
      <c r="X55" s="1"/>
      <c r="Y55" s="1"/>
    </row>
    <row r="56" spans="1:25" s="3" customFormat="1" x14ac:dyDescent="0.25">
      <c r="B56" s="240"/>
      <c r="C56" s="240"/>
      <c r="D56" s="240"/>
      <c r="E56" s="240"/>
      <c r="F56" s="240"/>
      <c r="J56" s="240"/>
      <c r="K56" s="240"/>
      <c r="L56" s="240"/>
      <c r="M56" s="240"/>
      <c r="N56" s="240"/>
      <c r="U56" s="1"/>
      <c r="V56" s="1"/>
      <c r="W56" s="1"/>
      <c r="X56" s="1"/>
      <c r="Y56" s="1"/>
    </row>
    <row r="57" spans="1:25" s="3" customFormat="1" x14ac:dyDescent="0.25">
      <c r="B57" s="240"/>
      <c r="C57" s="240"/>
      <c r="D57" s="240"/>
      <c r="E57" s="240"/>
      <c r="F57" s="240"/>
      <c r="J57" s="240"/>
      <c r="K57" s="240"/>
      <c r="L57" s="240"/>
      <c r="M57" s="240"/>
      <c r="N57" s="240"/>
      <c r="U57" s="1"/>
      <c r="V57" s="1"/>
      <c r="W57" s="1"/>
      <c r="X57" s="1"/>
      <c r="Y57" s="1"/>
    </row>
    <row r="58" spans="1:25" s="3" customFormat="1" x14ac:dyDescent="0.25">
      <c r="A58" s="3" t="s">
        <v>46</v>
      </c>
      <c r="B58" s="23"/>
      <c r="J58" s="3" t="s">
        <v>39</v>
      </c>
      <c r="U58" s="1"/>
      <c r="V58" s="1"/>
      <c r="W58" s="1"/>
      <c r="X58" s="1"/>
      <c r="Y58" s="1"/>
    </row>
    <row r="59" spans="1:25" s="3" customFormat="1" x14ac:dyDescent="0.25">
      <c r="B59" s="23"/>
      <c r="U59" s="1"/>
      <c r="V59" s="1"/>
      <c r="W59" s="1"/>
      <c r="X59" s="1"/>
      <c r="Y59" s="1"/>
    </row>
    <row r="60" spans="1:25" s="3" customFormat="1" x14ac:dyDescent="0.25">
      <c r="B60" s="23"/>
      <c r="U60" s="1"/>
      <c r="V60" s="1"/>
      <c r="W60" s="1"/>
      <c r="X60" s="1"/>
      <c r="Y60" s="1"/>
    </row>
    <row r="61" spans="1:25" s="3" customFormat="1" x14ac:dyDescent="0.25">
      <c r="A61" s="29"/>
      <c r="B61" s="23"/>
      <c r="D61" s="29"/>
      <c r="U61" s="1"/>
      <c r="V61" s="1"/>
      <c r="W61" s="1"/>
      <c r="X61" s="1"/>
      <c r="Y61" s="1"/>
    </row>
    <row r="62" spans="1:25" s="3" customFormat="1" x14ac:dyDescent="0.25">
      <c r="U62" s="1"/>
      <c r="V62" s="1"/>
      <c r="W62" s="1"/>
      <c r="X62" s="1"/>
      <c r="Y62" s="1"/>
    </row>
    <row r="63" spans="1:25" s="3" customFormat="1" x14ac:dyDescent="0.25">
      <c r="B63" s="23"/>
      <c r="U63" s="1"/>
      <c r="V63" s="1"/>
      <c r="W63" s="1"/>
      <c r="X63" s="1"/>
      <c r="Y63" s="1"/>
    </row>
    <row r="64" spans="1:25" s="3" customFormat="1" x14ac:dyDescent="0.25">
      <c r="B64" s="23"/>
      <c r="U64" s="1"/>
      <c r="V64" s="1"/>
      <c r="W64" s="1"/>
      <c r="X64" s="1"/>
      <c r="Y64" s="1"/>
    </row>
    <row r="65" spans="2:25" s="3" customFormat="1" x14ac:dyDescent="0.25">
      <c r="B65" s="23"/>
      <c r="U65" s="1"/>
      <c r="V65" s="1"/>
      <c r="W65" s="1"/>
      <c r="X65" s="1"/>
      <c r="Y65" s="1"/>
    </row>
    <row r="66" spans="2:25" s="3" customFormat="1" x14ac:dyDescent="0.25">
      <c r="B66" s="23"/>
      <c r="U66" s="1"/>
      <c r="V66" s="1"/>
      <c r="W66" s="1"/>
      <c r="X66" s="1"/>
      <c r="Y66" s="1"/>
    </row>
    <row r="67" spans="2:25" s="3" customFormat="1" x14ac:dyDescent="0.25">
      <c r="B67" s="23"/>
      <c r="U67" s="1"/>
      <c r="V67" s="1"/>
      <c r="W67" s="1"/>
      <c r="X67" s="1"/>
      <c r="Y67" s="1"/>
    </row>
    <row r="68" spans="2:25" s="3" customFormat="1" x14ac:dyDescent="0.25">
      <c r="B68" s="23"/>
      <c r="U68" s="1"/>
      <c r="V68" s="1"/>
      <c r="W68" s="1"/>
      <c r="X68" s="1"/>
      <c r="Y68" s="1"/>
    </row>
    <row r="69" spans="2:25" s="3" customFormat="1" x14ac:dyDescent="0.25">
      <c r="B69" s="23"/>
      <c r="U69" s="1"/>
      <c r="V69" s="1"/>
      <c r="W69" s="1"/>
      <c r="X69" s="1"/>
      <c r="Y69" s="1"/>
    </row>
    <row r="70" spans="2:25" s="3" customFormat="1" x14ac:dyDescent="0.25">
      <c r="B70" s="23"/>
      <c r="U70" s="1"/>
      <c r="V70" s="1"/>
      <c r="W70" s="1"/>
      <c r="X70" s="1"/>
      <c r="Y70" s="1"/>
    </row>
    <row r="71" spans="2:25" s="3" customFormat="1" x14ac:dyDescent="0.25">
      <c r="B71" s="23"/>
      <c r="U71" s="1"/>
      <c r="V71" s="1"/>
      <c r="W71" s="1"/>
      <c r="X71" s="1"/>
      <c r="Y71" s="1"/>
    </row>
    <row r="72" spans="2:25" s="3" customFormat="1" x14ac:dyDescent="0.25">
      <c r="B72" s="23"/>
      <c r="U72" s="1"/>
      <c r="V72" s="1"/>
      <c r="W72" s="1"/>
      <c r="X72" s="1"/>
      <c r="Y72" s="1"/>
    </row>
    <row r="73" spans="2:25" s="3" customFormat="1" x14ac:dyDescent="0.25">
      <c r="B73" s="23"/>
      <c r="U73" s="1"/>
      <c r="V73" s="1"/>
      <c r="W73" s="1"/>
      <c r="X73" s="1"/>
      <c r="Y73" s="1"/>
    </row>
    <row r="74" spans="2:25" s="3" customFormat="1" x14ac:dyDescent="0.25">
      <c r="B74" s="23"/>
      <c r="U74" s="1"/>
      <c r="V74" s="1"/>
      <c r="W74" s="1"/>
      <c r="X74" s="1"/>
      <c r="Y74" s="1"/>
    </row>
    <row r="75" spans="2:25" s="3" customFormat="1" x14ac:dyDescent="0.25">
      <c r="B75" s="23"/>
      <c r="U75" s="1"/>
      <c r="V75" s="1"/>
      <c r="W75" s="1"/>
      <c r="X75" s="1"/>
      <c r="Y75" s="1"/>
    </row>
    <row r="76" spans="2:25" s="3" customFormat="1" x14ac:dyDescent="0.25">
      <c r="B76" s="23"/>
      <c r="U76" s="1"/>
      <c r="V76" s="1"/>
      <c r="W76" s="1"/>
      <c r="X76" s="1"/>
      <c r="Y76" s="1"/>
    </row>
    <row r="77" spans="2:25" s="3" customFormat="1" x14ac:dyDescent="0.25">
      <c r="B77" s="23"/>
      <c r="U77" s="1"/>
      <c r="V77" s="1"/>
      <c r="W77" s="1"/>
      <c r="X77" s="1"/>
      <c r="Y77" s="1"/>
    </row>
    <row r="78" spans="2:25" s="3" customFormat="1" x14ac:dyDescent="0.25">
      <c r="B78" s="23"/>
      <c r="U78" s="1"/>
      <c r="V78" s="1"/>
      <c r="W78" s="1"/>
      <c r="X78" s="1"/>
      <c r="Y78" s="1"/>
    </row>
    <row r="79" spans="2:25" s="3" customFormat="1" x14ac:dyDescent="0.25">
      <c r="B79" s="23"/>
      <c r="U79" s="1"/>
      <c r="V79" s="1"/>
      <c r="W79" s="1"/>
      <c r="X79" s="1"/>
      <c r="Y79" s="1"/>
    </row>
    <row r="80" spans="2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2:25" s="3" customFormat="1" x14ac:dyDescent="0.25">
      <c r="B225" s="23"/>
      <c r="U225" s="1"/>
      <c r="V225" s="1"/>
      <c r="W225" s="1"/>
      <c r="X225" s="1"/>
      <c r="Y225" s="1"/>
    </row>
    <row r="226" spans="2:25" s="3" customFormat="1" x14ac:dyDescent="0.25">
      <c r="B226" s="23"/>
      <c r="U226" s="1"/>
      <c r="V226" s="1"/>
      <c r="W226" s="1"/>
      <c r="X226" s="1"/>
      <c r="Y226" s="1"/>
    </row>
    <row r="227" spans="2:25" s="3" customFormat="1" x14ac:dyDescent="0.25">
      <c r="B227" s="23"/>
      <c r="U227" s="1"/>
      <c r="V227" s="1"/>
      <c r="W227" s="1"/>
      <c r="X227" s="1"/>
      <c r="Y227" s="1"/>
    </row>
    <row r="228" spans="2:25" s="3" customFormat="1" x14ac:dyDescent="0.25">
      <c r="B228" s="23"/>
      <c r="U228" s="1"/>
      <c r="V228" s="1"/>
      <c r="W228" s="1"/>
      <c r="X228" s="1"/>
      <c r="Y228" s="1"/>
    </row>
    <row r="229" spans="2:25" s="3" customFormat="1" x14ac:dyDescent="0.25">
      <c r="B229" s="23"/>
      <c r="U229" s="1"/>
      <c r="V229" s="1"/>
      <c r="W229" s="1"/>
      <c r="X229" s="1"/>
      <c r="Y229" s="1"/>
    </row>
    <row r="230" spans="2:25" s="3" customFormat="1" x14ac:dyDescent="0.25">
      <c r="B230" s="23"/>
      <c r="U230" s="1"/>
      <c r="V230" s="1"/>
      <c r="W230" s="1"/>
      <c r="X230" s="1"/>
      <c r="Y230" s="1"/>
    </row>
    <row r="231" spans="2:25" s="3" customFormat="1" x14ac:dyDescent="0.25">
      <c r="B231" s="23"/>
      <c r="U231" s="1"/>
      <c r="V231" s="1"/>
      <c r="W231" s="1"/>
      <c r="X231" s="1"/>
      <c r="Y231" s="1"/>
    </row>
    <row r="232" spans="2:25" s="3" customFormat="1" x14ac:dyDescent="0.25">
      <c r="B232" s="23"/>
      <c r="U232" s="1"/>
      <c r="V232" s="1"/>
      <c r="W232" s="1"/>
      <c r="X232" s="1"/>
      <c r="Y232" s="1"/>
    </row>
    <row r="233" spans="2:25" s="3" customFormat="1" x14ac:dyDescent="0.25">
      <c r="B233" s="23"/>
      <c r="U233" s="1"/>
      <c r="V233" s="1"/>
      <c r="W233" s="1"/>
      <c r="X233" s="1"/>
      <c r="Y233" s="1"/>
    </row>
    <row r="234" spans="2:25" s="3" customFormat="1" x14ac:dyDescent="0.25">
      <c r="B234" s="23"/>
      <c r="U234" s="1"/>
      <c r="V234" s="1"/>
      <c r="W234" s="1"/>
      <c r="X234" s="1"/>
      <c r="Y234" s="1"/>
    </row>
    <row r="235" spans="2:25" s="3" customFormat="1" x14ac:dyDescent="0.25">
      <c r="B235" s="23"/>
      <c r="K235" s="6"/>
      <c r="L235" s="6"/>
      <c r="M235" s="6"/>
      <c r="N235" s="6"/>
      <c r="U235" s="1"/>
      <c r="V235" s="1"/>
      <c r="W235" s="1"/>
      <c r="X235" s="1"/>
      <c r="Y235" s="1"/>
    </row>
    <row r="236" spans="2:25" s="3" customFormat="1" x14ac:dyDescent="0.25">
      <c r="B236" s="23"/>
      <c r="K236" s="6"/>
      <c r="L236" s="6"/>
      <c r="M236" s="6"/>
      <c r="N236" s="6"/>
      <c r="U236" s="1"/>
      <c r="V236" s="1"/>
      <c r="W236" s="1"/>
      <c r="X236" s="1"/>
      <c r="Y236" s="1"/>
    </row>
    <row r="237" spans="2:25" s="3" customFormat="1" x14ac:dyDescent="0.25">
      <c r="B237" s="23"/>
      <c r="K237" s="6"/>
      <c r="L237" s="6"/>
      <c r="M237" s="6"/>
      <c r="N237" s="6"/>
      <c r="U237" s="1"/>
      <c r="V237" s="1"/>
      <c r="W237" s="1"/>
      <c r="X237" s="1"/>
      <c r="Y237" s="1"/>
    </row>
    <row r="238" spans="2:25" s="3" customFormat="1" x14ac:dyDescent="0.25">
      <c r="B238" s="23"/>
      <c r="J238" s="6"/>
      <c r="K238" s="6"/>
      <c r="L238" s="6"/>
      <c r="M238" s="6"/>
      <c r="N238" s="6"/>
      <c r="U238" s="1"/>
      <c r="V238" s="1"/>
      <c r="W238" s="1"/>
      <c r="X238" s="1"/>
      <c r="Y238" s="1"/>
    </row>
    <row r="239" spans="2:25" s="3" customFormat="1" x14ac:dyDescent="0.25">
      <c r="B239" s="23"/>
      <c r="J239" s="6"/>
      <c r="K239" s="6"/>
      <c r="L239" s="6"/>
      <c r="M239" s="6"/>
      <c r="N239" s="6"/>
      <c r="U239" s="1"/>
      <c r="V239" s="1"/>
      <c r="W239" s="1"/>
      <c r="X239" s="1"/>
      <c r="Y239" s="1"/>
    </row>
    <row r="240" spans="2:25" s="3" customFormat="1" x14ac:dyDescent="0.25">
      <c r="B240" s="23"/>
      <c r="J240" s="6"/>
      <c r="K240" s="6"/>
      <c r="L240" s="6"/>
      <c r="M240" s="6"/>
      <c r="N240" s="6"/>
      <c r="U240" s="1"/>
      <c r="V240" s="1"/>
      <c r="W240" s="1"/>
      <c r="X240" s="1"/>
      <c r="Y240" s="1"/>
    </row>
    <row r="241" spans="1:25" s="3" customFormat="1" x14ac:dyDescent="0.25">
      <c r="B241" s="23"/>
      <c r="J241" s="6"/>
      <c r="K241" s="6"/>
      <c r="L241" s="6"/>
      <c r="M241" s="6"/>
      <c r="N241" s="6"/>
      <c r="U241" s="1"/>
      <c r="V241" s="1"/>
      <c r="W241" s="1"/>
      <c r="X241" s="1"/>
      <c r="Y241" s="1"/>
    </row>
    <row r="242" spans="1:25" s="3" customFormat="1" x14ac:dyDescent="0.25">
      <c r="B242" s="23"/>
      <c r="J242" s="6"/>
      <c r="K242" s="6"/>
      <c r="L242" s="6"/>
      <c r="M242" s="6"/>
      <c r="N242" s="6"/>
      <c r="O242" s="6"/>
      <c r="U242" s="1"/>
      <c r="V242" s="1"/>
      <c r="W242" s="1"/>
      <c r="X242" s="1"/>
      <c r="Y242" s="1"/>
    </row>
    <row r="243" spans="1:25" s="3" customFormat="1" x14ac:dyDescent="0.25">
      <c r="B243" s="23"/>
      <c r="J243" s="6"/>
      <c r="K243" s="6"/>
      <c r="L243" s="6"/>
      <c r="M243" s="6"/>
      <c r="N243" s="6"/>
      <c r="O243" s="6"/>
      <c r="U243" s="1"/>
      <c r="V243" s="1"/>
      <c r="W243" s="1"/>
      <c r="X243" s="1"/>
      <c r="Y243" s="1"/>
    </row>
    <row r="244" spans="1:25" s="3" customFormat="1" x14ac:dyDescent="0.25">
      <c r="A244" s="6"/>
      <c r="B244" s="25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Q244" s="6"/>
      <c r="R244" s="6"/>
      <c r="S244" s="6"/>
      <c r="U244" s="1"/>
      <c r="V244" s="1"/>
      <c r="W244" s="1"/>
      <c r="X244" s="1"/>
      <c r="Y244" s="1"/>
    </row>
  </sheetData>
  <sheetProtection sheet="1" objects="1" scenarios="1"/>
  <mergeCells count="186">
    <mergeCell ref="M31:N31"/>
    <mergeCell ref="M32:N32"/>
    <mergeCell ref="M33:N33"/>
    <mergeCell ref="M34:N34"/>
    <mergeCell ref="M35:N35"/>
    <mergeCell ref="M36:N36"/>
    <mergeCell ref="M37:N37"/>
    <mergeCell ref="D46:E46"/>
    <mergeCell ref="F46:G46"/>
    <mergeCell ref="H46:I46"/>
    <mergeCell ref="M46:N46"/>
    <mergeCell ref="H42:I42"/>
    <mergeCell ref="K42:L42"/>
    <mergeCell ref="M42:N42"/>
    <mergeCell ref="D41:E41"/>
    <mergeCell ref="F41:G41"/>
    <mergeCell ref="H41:I41"/>
    <mergeCell ref="K41:L41"/>
    <mergeCell ref="M41:N41"/>
    <mergeCell ref="B52:F57"/>
    <mergeCell ref="J52:N57"/>
    <mergeCell ref="A45:C45"/>
    <mergeCell ref="D45:E45"/>
    <mergeCell ref="F45:G45"/>
    <mergeCell ref="H45:I45"/>
    <mergeCell ref="K45:L45"/>
    <mergeCell ref="M45:N45"/>
    <mergeCell ref="A41:C41"/>
    <mergeCell ref="A42:C42"/>
    <mergeCell ref="D44:E44"/>
    <mergeCell ref="F44:G44"/>
    <mergeCell ref="H44:I44"/>
    <mergeCell ref="K44:L44"/>
    <mergeCell ref="M44:N44"/>
    <mergeCell ref="D43:E43"/>
    <mergeCell ref="F43:G43"/>
    <mergeCell ref="H43:I43"/>
    <mergeCell ref="K43:L43"/>
    <mergeCell ref="M43:N43"/>
    <mergeCell ref="A43:C43"/>
    <mergeCell ref="A44:C44"/>
    <mergeCell ref="D42:E42"/>
    <mergeCell ref="F42:G42"/>
    <mergeCell ref="A36:C36"/>
    <mergeCell ref="D35:E35"/>
    <mergeCell ref="A37:C37"/>
    <mergeCell ref="A38:C38"/>
    <mergeCell ref="D40:E40"/>
    <mergeCell ref="F40:G40"/>
    <mergeCell ref="H40:I40"/>
    <mergeCell ref="K40:L40"/>
    <mergeCell ref="M40:N40"/>
    <mergeCell ref="M38:N38"/>
    <mergeCell ref="D39:E39"/>
    <mergeCell ref="F39:G39"/>
    <mergeCell ref="H39:I39"/>
    <mergeCell ref="K39:L39"/>
    <mergeCell ref="M39:N39"/>
    <mergeCell ref="A39:C39"/>
    <mergeCell ref="A40:C40"/>
    <mergeCell ref="D37:E37"/>
    <mergeCell ref="K37:L37"/>
    <mergeCell ref="D38:E38"/>
    <mergeCell ref="F38:G38"/>
    <mergeCell ref="H38:I38"/>
    <mergeCell ref="K38:L38"/>
    <mergeCell ref="H26:I26"/>
    <mergeCell ref="K26:L26"/>
    <mergeCell ref="K35:L35"/>
    <mergeCell ref="D36:E36"/>
    <mergeCell ref="K36:L36"/>
    <mergeCell ref="A29:C29"/>
    <mergeCell ref="A30:C30"/>
    <mergeCell ref="D33:E33"/>
    <mergeCell ref="K33:L33"/>
    <mergeCell ref="D34:E34"/>
    <mergeCell ref="K34:L34"/>
    <mergeCell ref="D31:E31"/>
    <mergeCell ref="K31:L31"/>
    <mergeCell ref="D32:E32"/>
    <mergeCell ref="K32:L32"/>
    <mergeCell ref="A31:C31"/>
    <mergeCell ref="A32:C32"/>
    <mergeCell ref="A33:C33"/>
    <mergeCell ref="A34:C34"/>
    <mergeCell ref="D30:E30"/>
    <mergeCell ref="F30:G30"/>
    <mergeCell ref="H30:I30"/>
    <mergeCell ref="K30:L30"/>
    <mergeCell ref="A35:C35"/>
    <mergeCell ref="H22:I22"/>
    <mergeCell ref="K22:L22"/>
    <mergeCell ref="M30:N30"/>
    <mergeCell ref="D29:E29"/>
    <mergeCell ref="F29:G29"/>
    <mergeCell ref="H29:I29"/>
    <mergeCell ref="K29:L29"/>
    <mergeCell ref="M29:N29"/>
    <mergeCell ref="A25:C25"/>
    <mergeCell ref="A26:C26"/>
    <mergeCell ref="D28:E28"/>
    <mergeCell ref="F28:G28"/>
    <mergeCell ref="H28:I28"/>
    <mergeCell ref="K28:L28"/>
    <mergeCell ref="M28:N28"/>
    <mergeCell ref="D27:E27"/>
    <mergeCell ref="F27:G27"/>
    <mergeCell ref="H27:I27"/>
    <mergeCell ref="K27:L27"/>
    <mergeCell ref="M27:N27"/>
    <mergeCell ref="A27:C27"/>
    <mergeCell ref="A28:C28"/>
    <mergeCell ref="D26:E26"/>
    <mergeCell ref="F26:G26"/>
    <mergeCell ref="H18:I18"/>
    <mergeCell ref="K18:L18"/>
    <mergeCell ref="M26:N26"/>
    <mergeCell ref="D25:E25"/>
    <mergeCell ref="F25:G25"/>
    <mergeCell ref="H25:I25"/>
    <mergeCell ref="K25:L25"/>
    <mergeCell ref="M25:N25"/>
    <mergeCell ref="A21:C21"/>
    <mergeCell ref="A22:C22"/>
    <mergeCell ref="D24:E24"/>
    <mergeCell ref="F24:G24"/>
    <mergeCell ref="H24:I24"/>
    <mergeCell ref="K24:L24"/>
    <mergeCell ref="M24:N24"/>
    <mergeCell ref="D23:E23"/>
    <mergeCell ref="F23:G23"/>
    <mergeCell ref="H23:I23"/>
    <mergeCell ref="K23:L23"/>
    <mergeCell ref="M23:N23"/>
    <mergeCell ref="A23:C23"/>
    <mergeCell ref="A24:C24"/>
    <mergeCell ref="D22:E22"/>
    <mergeCell ref="F22:G22"/>
    <mergeCell ref="C12:F12"/>
    <mergeCell ref="K12:L12"/>
    <mergeCell ref="M22:N22"/>
    <mergeCell ref="D21:E21"/>
    <mergeCell ref="F21:G21"/>
    <mergeCell ref="H21:I21"/>
    <mergeCell ref="K21:L21"/>
    <mergeCell ref="M21:N21"/>
    <mergeCell ref="A17:C17"/>
    <mergeCell ref="A18:C18"/>
    <mergeCell ref="D20:E20"/>
    <mergeCell ref="F20:G20"/>
    <mergeCell ref="H20:I20"/>
    <mergeCell ref="K20:L20"/>
    <mergeCell ref="M20:N20"/>
    <mergeCell ref="D19:E19"/>
    <mergeCell ref="F19:G19"/>
    <mergeCell ref="H19:I19"/>
    <mergeCell ref="K19:L19"/>
    <mergeCell ref="M19:N19"/>
    <mergeCell ref="A19:C19"/>
    <mergeCell ref="A20:C20"/>
    <mergeCell ref="D18:E18"/>
    <mergeCell ref="F18:G18"/>
    <mergeCell ref="M18:N18"/>
    <mergeCell ref="D17:E17"/>
    <mergeCell ref="F17:G17"/>
    <mergeCell ref="H17:I17"/>
    <mergeCell ref="K17:L17"/>
    <mergeCell ref="M17:N17"/>
    <mergeCell ref="D2:K4"/>
    <mergeCell ref="L2:N4"/>
    <mergeCell ref="R3:T3"/>
    <mergeCell ref="B5:K5"/>
    <mergeCell ref="L5:N5"/>
    <mergeCell ref="R5:T5"/>
    <mergeCell ref="K13:L13"/>
    <mergeCell ref="F15:N15"/>
    <mergeCell ref="A16:C16"/>
    <mergeCell ref="D16:E16"/>
    <mergeCell ref="F16:G16"/>
    <mergeCell ref="H16:I16"/>
    <mergeCell ref="K16:L16"/>
    <mergeCell ref="M16:N16"/>
    <mergeCell ref="C8:F8"/>
    <mergeCell ref="K8:N8"/>
    <mergeCell ref="C10:F10"/>
    <mergeCell ref="K10:N10"/>
  </mergeCells>
  <conditionalFormatting sqref="D17:D45">
    <cfRule type="expression" dxfId="113" priority="1">
      <formula>#REF!="Non"</formula>
    </cfRule>
    <cfRule type="expression" dxfId="112" priority="2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BD239"/>
  <sheetViews>
    <sheetView topLeftCell="A4" zoomScale="85" zoomScaleNormal="85" workbookViewId="0">
      <selection activeCell="T39" sqref="T39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1" style="6" customWidth="1"/>
    <col min="4" max="4" width="8.42578125" style="6" customWidth="1"/>
    <col min="5" max="5" width="10.42578125" style="6" customWidth="1"/>
    <col min="6" max="6" width="5.42578125" style="6" customWidth="1"/>
    <col min="7" max="7" width="9.85546875" style="6" customWidth="1"/>
    <col min="8" max="8" width="5.85546875" style="6" customWidth="1"/>
    <col min="9" max="9" width="1.85546875" style="6" customWidth="1"/>
    <col min="10" max="10" width="11.85546875" style="6" customWidth="1"/>
    <col min="11" max="12" width="8.140625" style="6" customWidth="1"/>
    <col min="13" max="13" width="6.5703125" style="6" customWidth="1"/>
    <col min="14" max="14" width="9.5703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68</v>
      </c>
      <c r="E2" s="195"/>
      <c r="F2" s="195"/>
      <c r="G2" s="195"/>
      <c r="H2" s="195"/>
      <c r="I2" s="195"/>
      <c r="J2" s="195"/>
      <c r="K2" s="195"/>
      <c r="L2" s="251">
        <v>45352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6"/>
      <c r="Q3" s="4"/>
      <c r="R3" s="220"/>
      <c r="S3" s="220"/>
      <c r="T3" s="220"/>
      <c r="U3" s="36"/>
      <c r="V3" s="36"/>
      <c r="W3" s="36"/>
      <c r="X3" s="36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6"/>
      <c r="Q4" s="4"/>
      <c r="R4" s="36"/>
      <c r="S4" s="36"/>
      <c r="T4" s="36"/>
      <c r="U4" s="36"/>
      <c r="V4" s="36"/>
      <c r="W4" s="36"/>
      <c r="X4" s="36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v>45356</v>
      </c>
      <c r="M5" s="222"/>
      <c r="N5" s="222"/>
      <c r="O5" s="3"/>
      <c r="P5" s="36"/>
      <c r="Q5" s="5"/>
      <c r="R5" s="220"/>
      <c r="S5" s="220"/>
      <c r="T5" s="220"/>
      <c r="U5" s="36"/>
      <c r="V5" s="36"/>
      <c r="W5" s="36"/>
      <c r="X5" s="36"/>
      <c r="Y5" s="5"/>
    </row>
    <row r="6" spans="1:25" ht="19.5" customHeight="1" x14ac:dyDescent="0.35">
      <c r="A6" s="27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41"/>
      <c r="M6" s="26"/>
      <c r="N6" s="26"/>
      <c r="O6" s="26"/>
      <c r="P6" s="26"/>
      <c r="Q6" s="26"/>
      <c r="R6" s="26"/>
      <c r="S6" s="26"/>
      <c r="T6" s="26"/>
      <c r="U6" s="40"/>
      <c r="V6" s="40"/>
      <c r="W6" s="40"/>
      <c r="X6" s="40"/>
      <c r="Y6" s="5"/>
    </row>
    <row r="7" spans="1:25" ht="19.5" customHeight="1" thickBot="1" x14ac:dyDescent="0.4">
      <c r="A7" s="111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40"/>
      <c r="V7" s="40"/>
      <c r="W7" s="40"/>
      <c r="X7" s="40"/>
      <c r="Y7" s="5"/>
    </row>
    <row r="8" spans="1:25" ht="18" customHeight="1" thickBot="1" x14ac:dyDescent="0.3">
      <c r="A8" s="8" t="s">
        <v>2</v>
      </c>
      <c r="B8" s="24"/>
      <c r="C8" s="223"/>
      <c r="D8" s="224"/>
      <c r="E8" s="224"/>
      <c r="F8" s="225"/>
      <c r="G8" s="9"/>
      <c r="H8" s="8" t="s">
        <v>26</v>
      </c>
      <c r="I8" s="8"/>
      <c r="J8" s="8"/>
      <c r="K8" s="223"/>
      <c r="L8" s="224"/>
      <c r="M8" s="224"/>
      <c r="N8" s="225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223"/>
      <c r="D10" s="224"/>
      <c r="E10" s="224"/>
      <c r="F10" s="225"/>
      <c r="G10" s="9"/>
      <c r="H10" s="8" t="s">
        <v>25</v>
      </c>
      <c r="I10" s="8"/>
      <c r="J10" s="8"/>
      <c r="K10" s="223"/>
      <c r="L10" s="224"/>
      <c r="M10" s="224"/>
      <c r="N10" s="225"/>
      <c r="O10" s="26"/>
      <c r="P10" s="26"/>
      <c r="Q10" s="26"/>
      <c r="R10" s="26"/>
      <c r="S10" s="26"/>
      <c r="T10" s="26"/>
      <c r="U10" s="11"/>
    </row>
    <row r="11" spans="1:25" ht="13.5" customHeight="1" x14ac:dyDescent="0.3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3.5" customHeight="1" x14ac:dyDescent="0.3">
      <c r="A12" s="8"/>
      <c r="B12" s="24"/>
      <c r="C12" s="24"/>
      <c r="D12" s="24"/>
      <c r="E12" s="24"/>
      <c r="F12" s="24"/>
      <c r="G12" s="9"/>
      <c r="H12" s="8"/>
      <c r="I12" s="8"/>
      <c r="J12" s="8"/>
      <c r="K12" s="8"/>
      <c r="L12" s="8"/>
      <c r="M12" s="8"/>
      <c r="N12" s="8"/>
      <c r="O12" s="26"/>
      <c r="P12" s="26"/>
      <c r="Q12" s="26"/>
      <c r="R12" s="26"/>
      <c r="S12" s="26"/>
      <c r="T12" s="26"/>
      <c r="U12" s="11"/>
    </row>
    <row r="13" spans="1:25" s="19" customFormat="1" ht="54.75" customHeight="1" x14ac:dyDescent="0.25">
      <c r="A13" s="200" t="s">
        <v>1</v>
      </c>
      <c r="B13" s="201"/>
      <c r="C13" s="202"/>
      <c r="D13" s="203" t="s">
        <v>55</v>
      </c>
      <c r="E13" s="204"/>
      <c r="F13" s="205" t="s">
        <v>54</v>
      </c>
      <c r="G13" s="205"/>
      <c r="H13" s="203" t="s">
        <v>56</v>
      </c>
      <c r="I13" s="206"/>
      <c r="J13" s="207"/>
      <c r="K13" s="203" t="s">
        <v>57</v>
      </c>
      <c r="L13" s="208"/>
      <c r="M13" s="205" t="s">
        <v>53</v>
      </c>
      <c r="N13" s="205"/>
      <c r="O13" s="26"/>
      <c r="P13" s="26"/>
      <c r="Q13" s="26"/>
      <c r="R13" s="26"/>
      <c r="S13" s="26"/>
      <c r="T13" s="26"/>
      <c r="U13" s="20"/>
      <c r="V13" s="20"/>
      <c r="W13" s="20"/>
      <c r="X13" s="21"/>
    </row>
    <row r="14" spans="1:25" s="3" customFormat="1" ht="15.75" x14ac:dyDescent="0.25">
      <c r="A14" s="191">
        <v>45327</v>
      </c>
      <c r="B14" s="286"/>
      <c r="C14" s="287"/>
      <c r="D14" s="295"/>
      <c r="E14" s="295"/>
      <c r="F14" s="296"/>
      <c r="G14" s="296"/>
      <c r="H14" s="296"/>
      <c r="I14" s="296"/>
      <c r="J14" s="296"/>
      <c r="K14" s="296"/>
      <c r="L14" s="296"/>
      <c r="M14" s="249"/>
      <c r="N14" s="250"/>
      <c r="O14" s="26"/>
      <c r="P14" s="26"/>
      <c r="Q14" s="26"/>
      <c r="R14" s="26"/>
      <c r="S14" s="26"/>
      <c r="T14" s="26"/>
      <c r="U14" s="13"/>
      <c r="V14" s="13"/>
      <c r="W14" s="13"/>
      <c r="X14" s="1"/>
    </row>
    <row r="15" spans="1:25" s="3" customFormat="1" ht="15.75" x14ac:dyDescent="0.25">
      <c r="A15" s="191">
        <v>45328</v>
      </c>
      <c r="B15" s="286"/>
      <c r="C15" s="287"/>
      <c r="D15" s="295"/>
      <c r="E15" s="295"/>
      <c r="F15" s="296"/>
      <c r="G15" s="296"/>
      <c r="H15" s="296"/>
      <c r="I15" s="296"/>
      <c r="J15" s="296"/>
      <c r="K15" s="296"/>
      <c r="L15" s="296"/>
      <c r="M15" s="249"/>
      <c r="N15" s="250"/>
      <c r="P15" s="26"/>
      <c r="Q15" s="26"/>
      <c r="R15" s="26"/>
      <c r="S15" s="26"/>
      <c r="T15" s="26"/>
      <c r="U15" s="13"/>
      <c r="V15" s="13"/>
      <c r="W15" s="13"/>
      <c r="X15" s="1"/>
    </row>
    <row r="16" spans="1:25" s="3" customFormat="1" ht="15.75" x14ac:dyDescent="0.25">
      <c r="A16" s="191">
        <v>45329</v>
      </c>
      <c r="B16" s="286"/>
      <c r="C16" s="287"/>
      <c r="D16" s="295"/>
      <c r="E16" s="295"/>
      <c r="F16" s="296"/>
      <c r="G16" s="296"/>
      <c r="H16" s="296"/>
      <c r="I16" s="296"/>
      <c r="J16" s="296"/>
      <c r="K16" s="296"/>
      <c r="L16" s="296"/>
      <c r="M16" s="249"/>
      <c r="N16" s="250"/>
      <c r="P16" s="26"/>
      <c r="Q16" s="26"/>
      <c r="R16" s="26"/>
      <c r="S16" s="26"/>
      <c r="T16" s="26"/>
      <c r="U16" s="26"/>
      <c r="V16" s="13"/>
      <c r="W16" s="13"/>
      <c r="X16" s="1"/>
    </row>
    <row r="17" spans="1:24" s="3" customFormat="1" x14ac:dyDescent="0.25">
      <c r="A17" s="191">
        <v>45330</v>
      </c>
      <c r="B17" s="286"/>
      <c r="C17" s="287"/>
      <c r="D17" s="295"/>
      <c r="E17" s="295"/>
      <c r="F17" s="296"/>
      <c r="G17" s="296"/>
      <c r="H17" s="296"/>
      <c r="I17" s="296"/>
      <c r="J17" s="296"/>
      <c r="K17" s="296"/>
      <c r="L17" s="296"/>
      <c r="M17" s="249"/>
      <c r="N17" s="250"/>
      <c r="P17" s="12"/>
      <c r="Q17" s="12"/>
      <c r="R17" s="12"/>
      <c r="S17" s="12"/>
      <c r="T17" s="13"/>
      <c r="U17" s="13"/>
      <c r="V17" s="13"/>
      <c r="W17" s="13"/>
      <c r="X17" s="1"/>
    </row>
    <row r="18" spans="1:24" s="3" customFormat="1" x14ac:dyDescent="0.25">
      <c r="A18" s="191">
        <v>45331</v>
      </c>
      <c r="B18" s="286"/>
      <c r="C18" s="287"/>
      <c r="D18" s="295"/>
      <c r="E18" s="295"/>
      <c r="F18" s="296"/>
      <c r="G18" s="296"/>
      <c r="H18" s="249"/>
      <c r="I18" s="297"/>
      <c r="J18" s="250"/>
      <c r="K18" s="296"/>
      <c r="L18" s="296"/>
      <c r="M18" s="249"/>
      <c r="N18" s="250"/>
      <c r="P18" s="12"/>
      <c r="Q18" s="12"/>
      <c r="R18" s="12"/>
      <c r="S18" s="12"/>
      <c r="T18" s="13"/>
      <c r="U18" s="13"/>
      <c r="V18" s="13"/>
      <c r="W18" s="13"/>
      <c r="X18" s="1"/>
    </row>
    <row r="19" spans="1:24" s="3" customFormat="1" x14ac:dyDescent="0.25">
      <c r="A19" s="191">
        <v>45332</v>
      </c>
      <c r="B19" s="286"/>
      <c r="C19" s="287"/>
      <c r="D19" s="295"/>
      <c r="E19" s="295"/>
      <c r="F19" s="296"/>
      <c r="G19" s="296"/>
      <c r="H19" s="296"/>
      <c r="I19" s="296"/>
      <c r="J19" s="296"/>
      <c r="K19" s="296"/>
      <c r="L19" s="296"/>
      <c r="M19" s="249"/>
      <c r="N19" s="250"/>
      <c r="P19" s="12"/>
      <c r="Q19" s="12"/>
      <c r="R19" s="12"/>
      <c r="S19" s="12"/>
      <c r="T19" s="13"/>
      <c r="U19" s="13"/>
      <c r="V19" s="13"/>
      <c r="W19" s="13"/>
      <c r="X19" s="1"/>
    </row>
    <row r="20" spans="1:24" s="3" customFormat="1" x14ac:dyDescent="0.25">
      <c r="A20" s="191">
        <v>45333</v>
      </c>
      <c r="B20" s="286"/>
      <c r="C20" s="287"/>
      <c r="D20" s="295"/>
      <c r="E20" s="295"/>
      <c r="F20" s="296"/>
      <c r="G20" s="296"/>
      <c r="H20" s="296"/>
      <c r="I20" s="296"/>
      <c r="J20" s="296"/>
      <c r="K20" s="296"/>
      <c r="L20" s="296"/>
      <c r="M20" s="249"/>
      <c r="N20" s="250"/>
      <c r="P20" s="12"/>
      <c r="Q20" s="12"/>
      <c r="R20" s="12"/>
      <c r="S20" s="12"/>
      <c r="T20" s="13"/>
      <c r="U20" s="13"/>
      <c r="V20" s="13"/>
      <c r="W20" s="13"/>
      <c r="X20" s="1"/>
    </row>
    <row r="21" spans="1:24" s="3" customFormat="1" x14ac:dyDescent="0.25">
      <c r="A21" s="191">
        <v>45334</v>
      </c>
      <c r="B21" s="286"/>
      <c r="C21" s="287"/>
      <c r="D21" s="295"/>
      <c r="E21" s="295"/>
      <c r="F21" s="296"/>
      <c r="G21" s="296"/>
      <c r="H21" s="296"/>
      <c r="I21" s="296"/>
      <c r="J21" s="296"/>
      <c r="K21" s="296"/>
      <c r="L21" s="296"/>
      <c r="M21" s="249"/>
      <c r="N21" s="250"/>
      <c r="P21" s="12"/>
      <c r="Q21" s="12"/>
      <c r="R21" s="12"/>
      <c r="S21" s="12"/>
      <c r="T21" s="13"/>
      <c r="U21" s="13"/>
      <c r="V21" s="13"/>
      <c r="W21" s="13"/>
      <c r="X21" s="1"/>
    </row>
    <row r="22" spans="1:24" s="3" customFormat="1" x14ac:dyDescent="0.25">
      <c r="A22" s="191">
        <v>45335</v>
      </c>
      <c r="B22" s="286"/>
      <c r="C22" s="287"/>
      <c r="D22" s="295"/>
      <c r="E22" s="295"/>
      <c r="F22" s="296"/>
      <c r="G22" s="296"/>
      <c r="H22" s="296"/>
      <c r="I22" s="296"/>
      <c r="J22" s="296"/>
      <c r="K22" s="296"/>
      <c r="L22" s="296"/>
      <c r="M22" s="249"/>
      <c r="N22" s="250"/>
      <c r="P22" s="12"/>
      <c r="Q22" s="12"/>
      <c r="R22" s="12"/>
      <c r="S22" s="12"/>
      <c r="T22" s="13"/>
      <c r="U22" s="13"/>
      <c r="V22" s="13"/>
      <c r="W22" s="13"/>
      <c r="X22" s="1"/>
    </row>
    <row r="23" spans="1:24" s="3" customFormat="1" x14ac:dyDescent="0.25">
      <c r="A23" s="191">
        <v>45336</v>
      </c>
      <c r="B23" s="286"/>
      <c r="C23" s="287"/>
      <c r="D23" s="295"/>
      <c r="E23" s="295"/>
      <c r="F23" s="296"/>
      <c r="G23" s="296"/>
      <c r="H23" s="296"/>
      <c r="I23" s="296"/>
      <c r="J23" s="296"/>
      <c r="K23" s="296"/>
      <c r="L23" s="296"/>
      <c r="M23" s="249"/>
      <c r="N23" s="250"/>
      <c r="P23" s="12"/>
      <c r="Q23" s="12"/>
      <c r="R23" s="12"/>
      <c r="S23" s="12"/>
      <c r="T23" s="13"/>
      <c r="U23" s="13"/>
      <c r="V23" s="13"/>
      <c r="W23" s="13"/>
      <c r="X23" s="1"/>
    </row>
    <row r="24" spans="1:24" s="3" customFormat="1" x14ac:dyDescent="0.25">
      <c r="A24" s="191">
        <v>45337</v>
      </c>
      <c r="B24" s="286"/>
      <c r="C24" s="287"/>
      <c r="D24" s="295"/>
      <c r="E24" s="295"/>
      <c r="F24" s="296"/>
      <c r="G24" s="296"/>
      <c r="H24" s="296"/>
      <c r="I24" s="296"/>
      <c r="J24" s="296"/>
      <c r="K24" s="296"/>
      <c r="L24" s="296"/>
      <c r="M24" s="249"/>
      <c r="N24" s="250"/>
      <c r="P24" s="12"/>
      <c r="Q24" s="15"/>
      <c r="R24" s="15"/>
      <c r="S24" s="15"/>
      <c r="T24" s="13"/>
      <c r="U24" s="13"/>
      <c r="V24" s="13"/>
      <c r="W24" s="13"/>
      <c r="X24" s="1"/>
    </row>
    <row r="25" spans="1:24" s="3" customFormat="1" x14ac:dyDescent="0.25">
      <c r="A25" s="191">
        <v>45338</v>
      </c>
      <c r="B25" s="286"/>
      <c r="C25" s="287"/>
      <c r="D25" s="295"/>
      <c r="E25" s="295"/>
      <c r="F25" s="296"/>
      <c r="G25" s="296"/>
      <c r="H25" s="296"/>
      <c r="I25" s="296"/>
      <c r="J25" s="296"/>
      <c r="K25" s="296"/>
      <c r="L25" s="296"/>
      <c r="M25" s="249"/>
      <c r="N25" s="250"/>
      <c r="P25" s="12"/>
      <c r="Q25" s="15"/>
      <c r="R25" s="15"/>
      <c r="S25" s="15"/>
      <c r="T25" s="13"/>
      <c r="U25" s="13"/>
      <c r="V25" s="13"/>
      <c r="W25" s="13"/>
      <c r="X25" s="1"/>
    </row>
    <row r="26" spans="1:24" s="3" customFormat="1" x14ac:dyDescent="0.25">
      <c r="A26" s="191">
        <v>45339</v>
      </c>
      <c r="B26" s="286"/>
      <c r="C26" s="287"/>
      <c r="D26" s="295"/>
      <c r="E26" s="295"/>
      <c r="F26" s="296"/>
      <c r="G26" s="296"/>
      <c r="H26" s="296"/>
      <c r="I26" s="296"/>
      <c r="J26" s="296"/>
      <c r="K26" s="296"/>
      <c r="L26" s="296"/>
      <c r="M26" s="249"/>
      <c r="N26" s="250"/>
      <c r="P26" s="12"/>
      <c r="Q26" s="15"/>
      <c r="R26" s="15"/>
      <c r="S26" s="15"/>
      <c r="T26" s="13"/>
      <c r="U26" s="13"/>
      <c r="V26" s="13"/>
      <c r="W26" s="13"/>
      <c r="X26" s="1"/>
    </row>
    <row r="27" spans="1:24" s="3" customFormat="1" x14ac:dyDescent="0.25">
      <c r="A27" s="191">
        <v>45340</v>
      </c>
      <c r="B27" s="286"/>
      <c r="C27" s="287"/>
      <c r="D27" s="295"/>
      <c r="E27" s="295"/>
      <c r="F27" s="296"/>
      <c r="G27" s="296"/>
      <c r="H27" s="296"/>
      <c r="I27" s="296"/>
      <c r="J27" s="296"/>
      <c r="K27" s="296"/>
      <c r="L27" s="296"/>
      <c r="M27" s="249"/>
      <c r="N27" s="250"/>
      <c r="O27" s="1"/>
      <c r="P27" s="12"/>
      <c r="Q27" s="15"/>
      <c r="R27" s="15"/>
      <c r="S27" s="15"/>
      <c r="T27" s="13"/>
      <c r="U27" s="13"/>
      <c r="V27" s="13"/>
      <c r="W27" s="13"/>
      <c r="X27" s="1"/>
    </row>
    <row r="28" spans="1:24" s="3" customFormat="1" x14ac:dyDescent="0.25">
      <c r="A28" s="191">
        <v>45341</v>
      </c>
      <c r="B28" s="286"/>
      <c r="C28" s="287"/>
      <c r="D28" s="295"/>
      <c r="E28" s="295"/>
      <c r="F28" s="296"/>
      <c r="G28" s="296"/>
      <c r="H28" s="296"/>
      <c r="I28" s="296"/>
      <c r="J28" s="296"/>
      <c r="K28" s="296"/>
      <c r="L28" s="296"/>
      <c r="M28" s="249"/>
      <c r="N28" s="250"/>
      <c r="P28" s="12"/>
      <c r="Q28" s="15"/>
      <c r="R28" s="15"/>
      <c r="S28" s="15"/>
      <c r="T28" s="13"/>
      <c r="U28" s="13"/>
      <c r="V28" s="13"/>
      <c r="W28" s="13"/>
      <c r="X28" s="1"/>
    </row>
    <row r="29" spans="1:24" s="3" customFormat="1" x14ac:dyDescent="0.25">
      <c r="A29" s="191">
        <v>45342</v>
      </c>
      <c r="B29" s="286"/>
      <c r="C29" s="287"/>
      <c r="D29" s="295"/>
      <c r="E29" s="295"/>
      <c r="F29" s="296"/>
      <c r="G29" s="296"/>
      <c r="H29" s="296"/>
      <c r="I29" s="296"/>
      <c r="J29" s="296"/>
      <c r="K29" s="296"/>
      <c r="L29" s="296"/>
      <c r="M29" s="249"/>
      <c r="N29" s="250"/>
      <c r="P29" s="12"/>
      <c r="Q29" s="15"/>
      <c r="R29" s="15"/>
      <c r="S29" s="15"/>
      <c r="T29" s="13"/>
      <c r="U29" s="13"/>
      <c r="V29" s="13"/>
      <c r="W29" s="13"/>
      <c r="X29" s="1"/>
    </row>
    <row r="30" spans="1:24" s="3" customFormat="1" x14ac:dyDescent="0.25">
      <c r="A30" s="191">
        <v>45343</v>
      </c>
      <c r="B30" s="286"/>
      <c r="C30" s="287"/>
      <c r="D30" s="295"/>
      <c r="E30" s="295"/>
      <c r="F30" s="296"/>
      <c r="G30" s="296"/>
      <c r="H30" s="296"/>
      <c r="I30" s="296"/>
      <c r="J30" s="296"/>
      <c r="K30" s="296"/>
      <c r="L30" s="296"/>
      <c r="M30" s="249"/>
      <c r="N30" s="250"/>
      <c r="P30" s="12"/>
      <c r="Q30" s="15"/>
      <c r="R30" s="15"/>
      <c r="S30" s="15"/>
      <c r="T30" s="13"/>
      <c r="U30" s="13"/>
      <c r="V30" s="13"/>
      <c r="W30" s="13"/>
      <c r="X30" s="1"/>
    </row>
    <row r="31" spans="1:24" s="3" customFormat="1" x14ac:dyDescent="0.25">
      <c r="A31" s="191">
        <v>45344</v>
      </c>
      <c r="B31" s="286"/>
      <c r="C31" s="287"/>
      <c r="D31" s="295"/>
      <c r="E31" s="295"/>
      <c r="F31" s="296"/>
      <c r="G31" s="296"/>
      <c r="H31" s="296"/>
      <c r="I31" s="296"/>
      <c r="J31" s="296"/>
      <c r="K31" s="296"/>
      <c r="L31" s="296"/>
      <c r="M31" s="249"/>
      <c r="N31" s="250"/>
      <c r="P31" s="12"/>
      <c r="Q31" s="15"/>
      <c r="R31" s="15"/>
      <c r="S31" s="15"/>
      <c r="T31" s="13"/>
      <c r="U31" s="13"/>
      <c r="V31" s="13"/>
      <c r="W31" s="13"/>
      <c r="X31" s="1"/>
    </row>
    <row r="32" spans="1:24" s="3" customFormat="1" x14ac:dyDescent="0.25">
      <c r="A32" s="191">
        <v>45345</v>
      </c>
      <c r="B32" s="286"/>
      <c r="C32" s="287"/>
      <c r="D32" s="295"/>
      <c r="E32" s="295"/>
      <c r="F32" s="296"/>
      <c r="G32" s="296"/>
      <c r="H32" s="296"/>
      <c r="I32" s="296"/>
      <c r="J32" s="296"/>
      <c r="K32" s="296"/>
      <c r="L32" s="296"/>
      <c r="M32" s="249"/>
      <c r="N32" s="250"/>
      <c r="P32" s="12"/>
      <c r="Q32" s="15"/>
      <c r="R32" s="15"/>
      <c r="S32" s="15"/>
      <c r="T32" s="13"/>
      <c r="U32" s="13"/>
      <c r="V32" s="13"/>
      <c r="W32" s="13"/>
      <c r="X32" s="1"/>
    </row>
    <row r="33" spans="1:25" s="3" customFormat="1" x14ac:dyDescent="0.25">
      <c r="A33" s="191">
        <v>45346</v>
      </c>
      <c r="B33" s="286"/>
      <c r="C33" s="287"/>
      <c r="D33" s="295"/>
      <c r="E33" s="295"/>
      <c r="F33" s="296"/>
      <c r="G33" s="296"/>
      <c r="H33" s="296"/>
      <c r="I33" s="296"/>
      <c r="J33" s="296"/>
      <c r="K33" s="296"/>
      <c r="L33" s="296"/>
      <c r="M33" s="249"/>
      <c r="N33" s="250"/>
      <c r="P33" s="12"/>
      <c r="Q33" s="15"/>
      <c r="R33" s="15"/>
      <c r="S33" s="15"/>
      <c r="T33" s="13"/>
      <c r="U33" s="13"/>
      <c r="V33" s="13"/>
      <c r="W33" s="13"/>
      <c r="X33" s="1"/>
    </row>
    <row r="34" spans="1:25" s="3" customFormat="1" x14ac:dyDescent="0.25">
      <c r="A34" s="191">
        <v>45347</v>
      </c>
      <c r="B34" s="286"/>
      <c r="C34" s="287"/>
      <c r="D34" s="295"/>
      <c r="E34" s="295"/>
      <c r="F34" s="296"/>
      <c r="G34" s="296"/>
      <c r="H34" s="296"/>
      <c r="I34" s="296"/>
      <c r="J34" s="296"/>
      <c r="K34" s="296"/>
      <c r="L34" s="296"/>
      <c r="M34" s="249"/>
      <c r="N34" s="250"/>
      <c r="P34" s="12"/>
      <c r="Q34" s="15"/>
      <c r="R34" s="15"/>
      <c r="S34" s="15"/>
      <c r="T34" s="13"/>
      <c r="U34" s="13"/>
      <c r="V34" s="13"/>
      <c r="W34" s="13"/>
      <c r="X34" s="1"/>
    </row>
    <row r="35" spans="1:25" s="3" customFormat="1" x14ac:dyDescent="0.25">
      <c r="A35" s="191">
        <v>45348</v>
      </c>
      <c r="B35" s="286"/>
      <c r="C35" s="287"/>
      <c r="D35" s="293"/>
      <c r="E35" s="294"/>
      <c r="F35" s="249"/>
      <c r="G35" s="250"/>
      <c r="H35" s="105"/>
      <c r="I35" s="108"/>
      <c r="J35" s="106"/>
      <c r="K35" s="249"/>
      <c r="L35" s="250"/>
      <c r="M35" s="105"/>
      <c r="N35" s="106"/>
      <c r="P35" s="12"/>
      <c r="Q35" s="15"/>
      <c r="R35" s="15"/>
      <c r="S35" s="15"/>
      <c r="T35" s="13"/>
      <c r="U35" s="13"/>
      <c r="V35" s="13"/>
      <c r="W35" s="13"/>
      <c r="X35" s="1"/>
    </row>
    <row r="36" spans="1:25" s="3" customFormat="1" x14ac:dyDescent="0.25">
      <c r="A36" s="191">
        <v>45349</v>
      </c>
      <c r="B36" s="286"/>
      <c r="C36" s="287"/>
      <c r="D36" s="293"/>
      <c r="E36" s="294"/>
      <c r="F36" s="249"/>
      <c r="G36" s="250"/>
      <c r="H36" s="105"/>
      <c r="I36" s="108"/>
      <c r="J36" s="106"/>
      <c r="K36" s="249"/>
      <c r="L36" s="250"/>
      <c r="M36" s="105"/>
      <c r="N36" s="106"/>
      <c r="P36" s="12"/>
      <c r="Q36" s="15"/>
      <c r="R36" s="15"/>
      <c r="S36" s="15"/>
      <c r="T36" s="13"/>
      <c r="U36" s="13"/>
      <c r="V36" s="13"/>
      <c r="W36" s="13"/>
      <c r="X36" s="1"/>
    </row>
    <row r="37" spans="1:25" s="3" customFormat="1" x14ac:dyDescent="0.25">
      <c r="A37" s="191">
        <v>45350</v>
      </c>
      <c r="B37" s="286"/>
      <c r="C37" s="287"/>
      <c r="D37" s="293"/>
      <c r="E37" s="294"/>
      <c r="F37" s="249"/>
      <c r="G37" s="250"/>
      <c r="H37" s="105"/>
      <c r="I37" s="108"/>
      <c r="J37" s="106"/>
      <c r="K37" s="249"/>
      <c r="L37" s="250"/>
      <c r="M37" s="105"/>
      <c r="N37" s="106"/>
      <c r="P37" s="12"/>
      <c r="Q37" s="15"/>
      <c r="R37" s="15"/>
      <c r="S37" s="15"/>
      <c r="T37" s="13"/>
      <c r="U37" s="13"/>
      <c r="V37" s="13"/>
      <c r="W37" s="13"/>
      <c r="X37" s="1"/>
    </row>
    <row r="38" spans="1:25" s="3" customFormat="1" x14ac:dyDescent="0.25">
      <c r="A38" s="191">
        <v>45351</v>
      </c>
      <c r="B38" s="286"/>
      <c r="C38" s="287"/>
      <c r="D38" s="293"/>
      <c r="E38" s="294"/>
      <c r="F38" s="249"/>
      <c r="G38" s="250"/>
      <c r="H38" s="105"/>
      <c r="I38" s="108"/>
      <c r="J38" s="106"/>
      <c r="K38" s="249"/>
      <c r="L38" s="250"/>
      <c r="M38" s="105"/>
      <c r="N38" s="106"/>
      <c r="P38" s="12"/>
      <c r="Q38" s="15"/>
      <c r="R38" s="15"/>
      <c r="S38" s="15"/>
      <c r="T38" s="13"/>
      <c r="U38" s="13"/>
      <c r="V38" s="13"/>
      <c r="W38" s="13"/>
      <c r="X38" s="1"/>
    </row>
    <row r="39" spans="1:25" s="3" customFormat="1" x14ac:dyDescent="0.25">
      <c r="A39" s="191">
        <v>45352</v>
      </c>
      <c r="B39" s="286"/>
      <c r="C39" s="287"/>
      <c r="D39" s="293"/>
      <c r="E39" s="294"/>
      <c r="F39" s="249"/>
      <c r="G39" s="250"/>
      <c r="H39" s="105"/>
      <c r="I39" s="108"/>
      <c r="J39" s="106"/>
      <c r="K39" s="249"/>
      <c r="L39" s="250"/>
      <c r="M39" s="105"/>
      <c r="N39" s="106"/>
      <c r="P39" s="12"/>
      <c r="Q39" s="15"/>
      <c r="R39" s="15"/>
      <c r="S39" s="15"/>
      <c r="T39" s="13"/>
      <c r="U39" s="13"/>
      <c r="V39" s="13"/>
      <c r="W39" s="13"/>
      <c r="X39" s="1"/>
    </row>
    <row r="40" spans="1:25" s="3" customFormat="1" x14ac:dyDescent="0.25">
      <c r="A40" s="191">
        <v>45353</v>
      </c>
      <c r="B40" s="286"/>
      <c r="C40" s="287"/>
      <c r="D40" s="293"/>
      <c r="E40" s="294"/>
      <c r="F40" s="249"/>
      <c r="G40" s="250"/>
      <c r="H40" s="105"/>
      <c r="I40" s="108"/>
      <c r="J40" s="106"/>
      <c r="K40" s="249"/>
      <c r="L40" s="250"/>
      <c r="M40" s="105"/>
      <c r="N40" s="106"/>
      <c r="P40" s="12"/>
      <c r="Q40" s="15"/>
      <c r="R40" s="15"/>
      <c r="S40" s="15"/>
      <c r="T40" s="13"/>
      <c r="U40" s="13"/>
      <c r="V40" s="13"/>
      <c r="W40" s="13"/>
      <c r="X40" s="1"/>
    </row>
    <row r="41" spans="1:25" s="3" customFormat="1" x14ac:dyDescent="0.25">
      <c r="A41" s="191">
        <v>45354</v>
      </c>
      <c r="B41" s="286"/>
      <c r="C41" s="287"/>
      <c r="D41" s="109"/>
      <c r="E41" s="110"/>
      <c r="F41" s="105"/>
      <c r="G41" s="106"/>
      <c r="H41" s="105"/>
      <c r="I41" s="108"/>
      <c r="J41" s="106"/>
      <c r="K41" s="105"/>
      <c r="L41" s="106"/>
      <c r="M41" s="105"/>
      <c r="N41" s="106"/>
      <c r="P41" s="12"/>
      <c r="Q41" s="15"/>
      <c r="R41" s="15"/>
      <c r="S41" s="15"/>
      <c r="T41" s="13"/>
      <c r="U41" s="13"/>
      <c r="V41" s="13"/>
      <c r="W41" s="13"/>
      <c r="X41" s="1"/>
    </row>
    <row r="42" spans="1:25" s="3" customFormat="1" ht="15.75" x14ac:dyDescent="0.25">
      <c r="A42" s="231" t="s">
        <v>21</v>
      </c>
      <c r="B42" s="232"/>
      <c r="C42" s="233"/>
      <c r="D42" s="234">
        <f>+COUNTA(D14:E41)</f>
        <v>0</v>
      </c>
      <c r="E42" s="235"/>
      <c r="F42" s="236">
        <f>+COUNTA(F14:G41)</f>
        <v>0</v>
      </c>
      <c r="G42" s="237"/>
      <c r="H42" s="292"/>
      <c r="I42" s="290"/>
      <c r="J42" s="289"/>
      <c r="K42" s="249"/>
      <c r="L42" s="250"/>
      <c r="M42" s="292"/>
      <c r="N42" s="289"/>
      <c r="O42" s="12"/>
      <c r="P42" s="12"/>
      <c r="Q42" s="12"/>
      <c r="R42" s="12"/>
      <c r="S42" s="12"/>
      <c r="T42" s="13"/>
      <c r="U42" s="13"/>
      <c r="V42" s="13"/>
      <c r="W42" s="13"/>
      <c r="X42" s="1"/>
    </row>
    <row r="43" spans="1:25" s="3" customFormat="1" x14ac:dyDescent="0.25">
      <c r="A43" s="12"/>
      <c r="B43" s="12"/>
      <c r="C43" s="12"/>
      <c r="D43" s="238" t="s">
        <v>38</v>
      </c>
      <c r="E43" s="239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3"/>
      <c r="U43" s="13"/>
      <c r="V43" s="13"/>
      <c r="W43" s="13"/>
      <c r="X43" s="1"/>
    </row>
    <row r="44" spans="1:25" s="3" customFormat="1" x14ac:dyDescent="0.25">
      <c r="K44" s="12"/>
      <c r="L44" s="12"/>
      <c r="M44" s="12"/>
      <c r="N44" s="12"/>
      <c r="O44" s="12"/>
      <c r="P44" s="12"/>
      <c r="U44" s="1"/>
      <c r="V44" s="1"/>
      <c r="W44" s="1"/>
      <c r="X44" s="1"/>
      <c r="Y44" s="1"/>
    </row>
    <row r="45" spans="1:25" s="3" customFormat="1" x14ac:dyDescent="0.25">
      <c r="A45" s="29" t="s">
        <v>20</v>
      </c>
      <c r="B45" s="30"/>
      <c r="C45" s="29"/>
      <c r="D45" s="29"/>
      <c r="E45" s="16"/>
      <c r="H45" s="18"/>
      <c r="P45" s="12"/>
      <c r="U45" s="1"/>
      <c r="V45" s="1"/>
      <c r="W45" s="1"/>
      <c r="X45" s="1"/>
      <c r="Y45" s="1"/>
    </row>
    <row r="46" spans="1:25" s="3" customFormat="1" x14ac:dyDescent="0.25">
      <c r="A46" s="29" t="s">
        <v>7</v>
      </c>
      <c r="B46" s="30"/>
      <c r="C46" s="31">
        <f ca="1">TODAY()</f>
        <v>45320</v>
      </c>
      <c r="D46" s="29"/>
      <c r="E46" s="16"/>
      <c r="J46" s="28" t="s">
        <v>22</v>
      </c>
      <c r="P46" s="12"/>
      <c r="U46" s="1"/>
      <c r="V46" s="1"/>
      <c r="W46" s="1"/>
      <c r="X46" s="1"/>
      <c r="Y46" s="1"/>
    </row>
    <row r="47" spans="1:25" s="3" customFormat="1" x14ac:dyDescent="0.25">
      <c r="A47" s="28"/>
      <c r="B47" s="240" t="s">
        <v>47</v>
      </c>
      <c r="C47" s="240"/>
      <c r="D47" s="240"/>
      <c r="E47" s="240"/>
      <c r="F47" s="240"/>
      <c r="J47" s="240" t="s">
        <v>48</v>
      </c>
      <c r="K47" s="240"/>
      <c r="L47" s="240"/>
      <c r="M47" s="240"/>
      <c r="N47" s="240"/>
      <c r="U47" s="1"/>
      <c r="V47" s="1"/>
      <c r="W47" s="1"/>
      <c r="X47" s="1"/>
      <c r="Y47" s="1"/>
    </row>
    <row r="48" spans="1:25" s="3" customFormat="1" x14ac:dyDescent="0.25">
      <c r="B48" s="240"/>
      <c r="C48" s="240"/>
      <c r="D48" s="240"/>
      <c r="E48" s="240"/>
      <c r="F48" s="240"/>
      <c r="J48" s="240"/>
      <c r="K48" s="240"/>
      <c r="L48" s="240"/>
      <c r="M48" s="240"/>
      <c r="N48" s="240"/>
      <c r="U48" s="1"/>
      <c r="V48" s="1"/>
      <c r="W48" s="1"/>
      <c r="X48" s="1"/>
      <c r="Y48" s="1"/>
    </row>
    <row r="49" spans="1:25" s="3" customFormat="1" x14ac:dyDescent="0.25">
      <c r="B49" s="240"/>
      <c r="C49" s="240"/>
      <c r="D49" s="240"/>
      <c r="E49" s="240"/>
      <c r="F49" s="240"/>
      <c r="J49" s="240"/>
      <c r="K49" s="240"/>
      <c r="L49" s="240"/>
      <c r="M49" s="240"/>
      <c r="N49" s="240"/>
      <c r="U49" s="1"/>
      <c r="V49" s="1"/>
      <c r="W49" s="1"/>
      <c r="X49" s="1"/>
      <c r="Y49" s="1"/>
    </row>
    <row r="50" spans="1:25" s="3" customFormat="1" x14ac:dyDescent="0.25">
      <c r="B50" s="240"/>
      <c r="C50" s="240"/>
      <c r="D50" s="240"/>
      <c r="E50" s="240"/>
      <c r="F50" s="240"/>
      <c r="J50" s="240"/>
      <c r="K50" s="240"/>
      <c r="L50" s="240"/>
      <c r="M50" s="240"/>
      <c r="N50" s="240"/>
      <c r="U50" s="1"/>
      <c r="V50" s="1"/>
      <c r="W50" s="1"/>
      <c r="X50" s="1"/>
      <c r="Y50" s="1"/>
    </row>
    <row r="51" spans="1:25" s="3" customFormat="1" x14ac:dyDescent="0.25">
      <c r="B51" s="240"/>
      <c r="C51" s="240"/>
      <c r="D51" s="240"/>
      <c r="E51" s="240"/>
      <c r="F51" s="240"/>
      <c r="J51" s="240"/>
      <c r="K51" s="240"/>
      <c r="L51" s="240"/>
      <c r="M51" s="240"/>
      <c r="N51" s="240"/>
      <c r="U51" s="1"/>
      <c r="V51" s="1"/>
      <c r="W51" s="1"/>
      <c r="X51" s="1"/>
      <c r="Y51" s="1"/>
    </row>
    <row r="52" spans="1:25" s="3" customFormat="1" x14ac:dyDescent="0.25">
      <c r="B52" s="240"/>
      <c r="C52" s="240"/>
      <c r="D52" s="240"/>
      <c r="E52" s="240"/>
      <c r="F52" s="240"/>
      <c r="J52" s="240"/>
      <c r="K52" s="240"/>
      <c r="L52" s="240"/>
      <c r="M52" s="240"/>
      <c r="N52" s="240"/>
      <c r="U52" s="1"/>
      <c r="V52" s="1"/>
      <c r="W52" s="1"/>
      <c r="X52" s="1"/>
      <c r="Y52" s="1"/>
    </row>
    <row r="53" spans="1:25" s="3" customFormat="1" x14ac:dyDescent="0.25">
      <c r="A53" s="3" t="s">
        <v>46</v>
      </c>
      <c r="B53" s="23"/>
      <c r="J53" s="3" t="s">
        <v>39</v>
      </c>
      <c r="U53" s="1"/>
      <c r="V53" s="1"/>
      <c r="W53" s="1"/>
      <c r="X53" s="1"/>
      <c r="Y53" s="1"/>
    </row>
    <row r="54" spans="1:25" s="3" customFormat="1" x14ac:dyDescent="0.25">
      <c r="B54" s="23"/>
      <c r="U54" s="1"/>
      <c r="V54" s="1"/>
      <c r="W54" s="1"/>
      <c r="X54" s="1"/>
      <c r="Y54" s="1"/>
    </row>
    <row r="55" spans="1:25" s="3" customFormat="1" x14ac:dyDescent="0.25">
      <c r="B55" s="23"/>
      <c r="U55" s="1"/>
      <c r="V55" s="1"/>
      <c r="W55" s="1"/>
      <c r="X55" s="1"/>
      <c r="Y55" s="1"/>
    </row>
    <row r="56" spans="1:25" s="3" customFormat="1" x14ac:dyDescent="0.25">
      <c r="A56" s="29"/>
      <c r="B56" s="23"/>
      <c r="D56" s="29"/>
      <c r="U56" s="1"/>
      <c r="V56" s="1"/>
      <c r="W56" s="1"/>
      <c r="X56" s="1"/>
      <c r="Y56" s="1"/>
    </row>
    <row r="57" spans="1:25" s="3" customFormat="1" x14ac:dyDescent="0.25">
      <c r="U57" s="1"/>
      <c r="V57" s="1"/>
      <c r="W57" s="1"/>
      <c r="X57" s="1"/>
      <c r="Y57" s="1"/>
    </row>
    <row r="58" spans="1:25" s="3" customFormat="1" x14ac:dyDescent="0.25">
      <c r="B58" s="23"/>
      <c r="U58" s="1"/>
      <c r="V58" s="1"/>
      <c r="W58" s="1"/>
      <c r="X58" s="1"/>
      <c r="Y58" s="1"/>
    </row>
    <row r="59" spans="1:25" s="3" customFormat="1" x14ac:dyDescent="0.25">
      <c r="B59" s="23"/>
      <c r="U59" s="1"/>
      <c r="V59" s="1"/>
      <c r="W59" s="1"/>
      <c r="X59" s="1"/>
      <c r="Y59" s="1"/>
    </row>
    <row r="60" spans="1:25" s="3" customFormat="1" x14ac:dyDescent="0.25">
      <c r="B60" s="23"/>
      <c r="U60" s="1"/>
      <c r="V60" s="1"/>
      <c r="W60" s="1"/>
      <c r="X60" s="1"/>
      <c r="Y60" s="1"/>
    </row>
    <row r="61" spans="1:25" s="3" customFormat="1" x14ac:dyDescent="0.25">
      <c r="B61" s="23"/>
      <c r="U61" s="1"/>
      <c r="V61" s="1"/>
      <c r="W61" s="1"/>
      <c r="X61" s="1"/>
      <c r="Y61" s="1"/>
    </row>
    <row r="62" spans="1:25" s="3" customFormat="1" x14ac:dyDescent="0.25">
      <c r="B62" s="23"/>
      <c r="U62" s="1"/>
      <c r="V62" s="1"/>
      <c r="W62" s="1"/>
      <c r="X62" s="1"/>
      <c r="Y62" s="1"/>
    </row>
    <row r="63" spans="1:25" s="3" customFormat="1" x14ac:dyDescent="0.25">
      <c r="B63" s="23"/>
      <c r="U63" s="1"/>
      <c r="V63" s="1"/>
      <c r="W63" s="1"/>
      <c r="X63" s="1"/>
      <c r="Y63" s="1"/>
    </row>
    <row r="64" spans="1:25" s="3" customFormat="1" x14ac:dyDescent="0.25">
      <c r="B64" s="23"/>
      <c r="U64" s="1"/>
      <c r="V64" s="1"/>
      <c r="W64" s="1"/>
      <c r="X64" s="1"/>
      <c r="Y64" s="1"/>
    </row>
    <row r="65" spans="2:25" s="3" customFormat="1" x14ac:dyDescent="0.25">
      <c r="B65" s="23"/>
      <c r="U65" s="1"/>
      <c r="V65" s="1"/>
      <c r="W65" s="1"/>
      <c r="X65" s="1"/>
      <c r="Y65" s="1"/>
    </row>
    <row r="66" spans="2:25" s="3" customFormat="1" x14ac:dyDescent="0.25">
      <c r="B66" s="23"/>
      <c r="U66" s="1"/>
      <c r="V66" s="1"/>
      <c r="W66" s="1"/>
      <c r="X66" s="1"/>
      <c r="Y66" s="1"/>
    </row>
    <row r="67" spans="2:25" s="3" customFormat="1" x14ac:dyDescent="0.25">
      <c r="B67" s="23"/>
      <c r="U67" s="1"/>
      <c r="V67" s="1"/>
      <c r="W67" s="1"/>
      <c r="X67" s="1"/>
      <c r="Y67" s="1"/>
    </row>
    <row r="68" spans="2:25" s="3" customFormat="1" x14ac:dyDescent="0.25">
      <c r="B68" s="23"/>
      <c r="U68" s="1"/>
      <c r="V68" s="1"/>
      <c r="W68" s="1"/>
      <c r="X68" s="1"/>
      <c r="Y68" s="1"/>
    </row>
    <row r="69" spans="2:25" s="3" customFormat="1" x14ac:dyDescent="0.25">
      <c r="B69" s="23"/>
      <c r="U69" s="1"/>
      <c r="V69" s="1"/>
      <c r="W69" s="1"/>
      <c r="X69" s="1"/>
      <c r="Y69" s="1"/>
    </row>
    <row r="70" spans="2:25" s="3" customFormat="1" x14ac:dyDescent="0.25">
      <c r="B70" s="23"/>
      <c r="U70" s="1"/>
      <c r="V70" s="1"/>
      <c r="W70" s="1"/>
      <c r="X70" s="1"/>
      <c r="Y70" s="1"/>
    </row>
    <row r="71" spans="2:25" s="3" customFormat="1" x14ac:dyDescent="0.25">
      <c r="B71" s="23"/>
      <c r="U71" s="1"/>
      <c r="V71" s="1"/>
      <c r="W71" s="1"/>
      <c r="X71" s="1"/>
      <c r="Y71" s="1"/>
    </row>
    <row r="72" spans="2:25" s="3" customFormat="1" x14ac:dyDescent="0.25">
      <c r="B72" s="23"/>
      <c r="U72" s="1"/>
      <c r="V72" s="1"/>
      <c r="W72" s="1"/>
      <c r="X72" s="1"/>
      <c r="Y72" s="1"/>
    </row>
    <row r="73" spans="2:25" s="3" customFormat="1" x14ac:dyDescent="0.25">
      <c r="B73" s="23"/>
      <c r="U73" s="1"/>
      <c r="V73" s="1"/>
      <c r="W73" s="1"/>
      <c r="X73" s="1"/>
      <c r="Y73" s="1"/>
    </row>
    <row r="74" spans="2:25" s="3" customFormat="1" x14ac:dyDescent="0.25">
      <c r="B74" s="23"/>
      <c r="U74" s="1"/>
      <c r="V74" s="1"/>
      <c r="W74" s="1"/>
      <c r="X74" s="1"/>
      <c r="Y74" s="1"/>
    </row>
    <row r="75" spans="2:25" s="3" customFormat="1" x14ac:dyDescent="0.25">
      <c r="B75" s="23"/>
      <c r="U75" s="1"/>
      <c r="V75" s="1"/>
      <c r="W75" s="1"/>
      <c r="X75" s="1"/>
      <c r="Y75" s="1"/>
    </row>
    <row r="76" spans="2:25" s="3" customFormat="1" x14ac:dyDescent="0.25">
      <c r="B76" s="23"/>
      <c r="U76" s="1"/>
      <c r="V76" s="1"/>
      <c r="W76" s="1"/>
      <c r="X76" s="1"/>
      <c r="Y76" s="1"/>
    </row>
    <row r="77" spans="2:25" s="3" customFormat="1" x14ac:dyDescent="0.25">
      <c r="B77" s="23"/>
      <c r="U77" s="1"/>
      <c r="V77" s="1"/>
      <c r="W77" s="1"/>
      <c r="X77" s="1"/>
      <c r="Y77" s="1"/>
    </row>
    <row r="78" spans="2:25" s="3" customFormat="1" x14ac:dyDescent="0.25">
      <c r="B78" s="23"/>
      <c r="U78" s="1"/>
      <c r="V78" s="1"/>
      <c r="W78" s="1"/>
      <c r="X78" s="1"/>
      <c r="Y78" s="1"/>
    </row>
    <row r="79" spans="2:25" s="3" customFormat="1" x14ac:dyDescent="0.25">
      <c r="B79" s="23"/>
      <c r="U79" s="1"/>
      <c r="V79" s="1"/>
      <c r="W79" s="1"/>
      <c r="X79" s="1"/>
      <c r="Y79" s="1"/>
    </row>
    <row r="80" spans="2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1:25" s="3" customFormat="1" x14ac:dyDescent="0.25">
      <c r="B225" s="23"/>
      <c r="U225" s="1"/>
      <c r="V225" s="1"/>
      <c r="W225" s="1"/>
      <c r="X225" s="1"/>
      <c r="Y225" s="1"/>
    </row>
    <row r="226" spans="1:25" s="3" customFormat="1" x14ac:dyDescent="0.25">
      <c r="B226" s="23"/>
      <c r="U226" s="1"/>
      <c r="V226" s="1"/>
      <c r="W226" s="1"/>
      <c r="X226" s="1"/>
      <c r="Y226" s="1"/>
    </row>
    <row r="227" spans="1:25" s="3" customFormat="1" x14ac:dyDescent="0.25">
      <c r="B227" s="23"/>
      <c r="U227" s="1"/>
      <c r="V227" s="1"/>
      <c r="W227" s="1"/>
      <c r="X227" s="1"/>
      <c r="Y227" s="1"/>
    </row>
    <row r="228" spans="1:25" s="3" customFormat="1" x14ac:dyDescent="0.25">
      <c r="B228" s="23"/>
      <c r="U228" s="1"/>
      <c r="V228" s="1"/>
      <c r="W228" s="1"/>
      <c r="X228" s="1"/>
      <c r="Y228" s="1"/>
    </row>
    <row r="229" spans="1:25" s="3" customFormat="1" x14ac:dyDescent="0.25">
      <c r="B229" s="23"/>
      <c r="U229" s="1"/>
      <c r="V229" s="1"/>
      <c r="W229" s="1"/>
      <c r="X229" s="1"/>
      <c r="Y229" s="1"/>
    </row>
    <row r="230" spans="1:25" s="3" customFormat="1" x14ac:dyDescent="0.25">
      <c r="B230" s="23"/>
      <c r="K230" s="6"/>
      <c r="L230" s="6"/>
      <c r="M230" s="6"/>
      <c r="N230" s="6"/>
      <c r="U230" s="1"/>
      <c r="V230" s="1"/>
      <c r="W230" s="1"/>
      <c r="X230" s="1"/>
      <c r="Y230" s="1"/>
    </row>
    <row r="231" spans="1:25" s="3" customFormat="1" x14ac:dyDescent="0.25">
      <c r="B231" s="23"/>
      <c r="K231" s="6"/>
      <c r="L231" s="6"/>
      <c r="M231" s="6"/>
      <c r="N231" s="6"/>
      <c r="U231" s="1"/>
      <c r="V231" s="1"/>
      <c r="W231" s="1"/>
      <c r="X231" s="1"/>
      <c r="Y231" s="1"/>
    </row>
    <row r="232" spans="1:25" s="3" customFormat="1" x14ac:dyDescent="0.25">
      <c r="B232" s="23"/>
      <c r="K232" s="6"/>
      <c r="L232" s="6"/>
      <c r="M232" s="6"/>
      <c r="N232" s="6"/>
      <c r="U232" s="1"/>
      <c r="V232" s="1"/>
      <c r="W232" s="1"/>
      <c r="X232" s="1"/>
      <c r="Y232" s="1"/>
    </row>
    <row r="233" spans="1:25" s="3" customFormat="1" x14ac:dyDescent="0.25">
      <c r="B233" s="23"/>
      <c r="J233" s="6"/>
      <c r="K233" s="6"/>
      <c r="L233" s="6"/>
      <c r="M233" s="6"/>
      <c r="N233" s="6"/>
      <c r="U233" s="1"/>
      <c r="V233" s="1"/>
      <c r="W233" s="1"/>
      <c r="X233" s="1"/>
      <c r="Y233" s="1"/>
    </row>
    <row r="234" spans="1:25" s="3" customFormat="1" x14ac:dyDescent="0.25">
      <c r="B234" s="23"/>
      <c r="J234" s="6"/>
      <c r="K234" s="6"/>
      <c r="L234" s="6"/>
      <c r="M234" s="6"/>
      <c r="N234" s="6"/>
      <c r="U234" s="1"/>
      <c r="V234" s="1"/>
      <c r="W234" s="1"/>
      <c r="X234" s="1"/>
      <c r="Y234" s="1"/>
    </row>
    <row r="235" spans="1:25" s="3" customFormat="1" x14ac:dyDescent="0.25">
      <c r="B235" s="23"/>
      <c r="J235" s="6"/>
      <c r="K235" s="6"/>
      <c r="L235" s="6"/>
      <c r="M235" s="6"/>
      <c r="N235" s="6"/>
      <c r="U235" s="1"/>
      <c r="V235" s="1"/>
      <c r="W235" s="1"/>
      <c r="X235" s="1"/>
      <c r="Y235" s="1"/>
    </row>
    <row r="236" spans="1:25" s="3" customFormat="1" x14ac:dyDescent="0.25">
      <c r="B236" s="23"/>
      <c r="J236" s="6"/>
      <c r="K236" s="6"/>
      <c r="L236" s="6"/>
      <c r="M236" s="6"/>
      <c r="N236" s="6"/>
      <c r="U236" s="1"/>
      <c r="V236" s="1"/>
      <c r="W236" s="1"/>
      <c r="X236" s="1"/>
      <c r="Y236" s="1"/>
    </row>
    <row r="237" spans="1:25" s="3" customFormat="1" x14ac:dyDescent="0.25">
      <c r="B237" s="23"/>
      <c r="J237" s="6"/>
      <c r="K237" s="6"/>
      <c r="L237" s="6"/>
      <c r="M237" s="6"/>
      <c r="N237" s="6"/>
      <c r="O237" s="6"/>
      <c r="U237" s="1"/>
      <c r="V237" s="1"/>
      <c r="W237" s="1"/>
      <c r="X237" s="1"/>
      <c r="Y237" s="1"/>
    </row>
    <row r="238" spans="1:25" s="3" customFormat="1" x14ac:dyDescent="0.25">
      <c r="B238" s="23"/>
      <c r="J238" s="6"/>
      <c r="K238" s="6"/>
      <c r="L238" s="6"/>
      <c r="M238" s="6"/>
      <c r="N238" s="6"/>
      <c r="O238" s="6"/>
      <c r="U238" s="1"/>
      <c r="V238" s="1"/>
      <c r="W238" s="1"/>
      <c r="X238" s="1"/>
      <c r="Y238" s="1"/>
    </row>
    <row r="239" spans="1:25" s="3" customFormat="1" x14ac:dyDescent="0.25">
      <c r="A239" s="6"/>
      <c r="B239" s="25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Q239" s="6"/>
      <c r="R239" s="6"/>
      <c r="S239" s="6"/>
      <c r="U239" s="1"/>
      <c r="V239" s="1"/>
      <c r="W239" s="1"/>
      <c r="X239" s="1"/>
      <c r="Y239" s="1"/>
    </row>
  </sheetData>
  <sheetProtection sheet="1" objects="1" scenarios="1"/>
  <mergeCells count="176">
    <mergeCell ref="D15:E15"/>
    <mergeCell ref="F15:G15"/>
    <mergeCell ref="H15:J15"/>
    <mergeCell ref="K15:L15"/>
    <mergeCell ref="M15:N15"/>
    <mergeCell ref="D14:E14"/>
    <mergeCell ref="F14:G14"/>
    <mergeCell ref="H14:J14"/>
    <mergeCell ref="K14:L14"/>
    <mergeCell ref="M14:N14"/>
    <mergeCell ref="R3:T3"/>
    <mergeCell ref="B5:K5"/>
    <mergeCell ref="L5:N5"/>
    <mergeCell ref="R5:T5"/>
    <mergeCell ref="C8:F8"/>
    <mergeCell ref="K8:N8"/>
    <mergeCell ref="C10:F10"/>
    <mergeCell ref="K10:N10"/>
    <mergeCell ref="A13:C13"/>
    <mergeCell ref="D13:E13"/>
    <mergeCell ref="F13:G13"/>
    <mergeCell ref="H13:J13"/>
    <mergeCell ref="K13:L13"/>
    <mergeCell ref="M13:N13"/>
    <mergeCell ref="D2:K4"/>
    <mergeCell ref="L2:N4"/>
    <mergeCell ref="H16:J16"/>
    <mergeCell ref="K16:L16"/>
    <mergeCell ref="M16:N16"/>
    <mergeCell ref="D19:E19"/>
    <mergeCell ref="F19:G19"/>
    <mergeCell ref="H19:J19"/>
    <mergeCell ref="K19:L19"/>
    <mergeCell ref="M19:N19"/>
    <mergeCell ref="D18:E18"/>
    <mergeCell ref="F18:G18"/>
    <mergeCell ref="H18:J18"/>
    <mergeCell ref="K18:L18"/>
    <mergeCell ref="M18:N18"/>
    <mergeCell ref="D17:E17"/>
    <mergeCell ref="F17:G17"/>
    <mergeCell ref="H17:J17"/>
    <mergeCell ref="K17:L17"/>
    <mergeCell ref="M17:N17"/>
    <mergeCell ref="D16:E16"/>
    <mergeCell ref="F16:G16"/>
    <mergeCell ref="A23:C23"/>
    <mergeCell ref="D21:E21"/>
    <mergeCell ref="F21:G21"/>
    <mergeCell ref="H21:J21"/>
    <mergeCell ref="K21:L21"/>
    <mergeCell ref="M21:N21"/>
    <mergeCell ref="D20:E20"/>
    <mergeCell ref="F20:G20"/>
    <mergeCell ref="H20:J20"/>
    <mergeCell ref="K20:L20"/>
    <mergeCell ref="M20:N20"/>
    <mergeCell ref="D23:E23"/>
    <mergeCell ref="F23:G23"/>
    <mergeCell ref="H23:J23"/>
    <mergeCell ref="K23:L23"/>
    <mergeCell ref="M23:N23"/>
    <mergeCell ref="D22:E22"/>
    <mergeCell ref="F22:G22"/>
    <mergeCell ref="H22:J22"/>
    <mergeCell ref="K22:L22"/>
    <mergeCell ref="M22:N22"/>
    <mergeCell ref="A27:C27"/>
    <mergeCell ref="D25:E25"/>
    <mergeCell ref="F25:G25"/>
    <mergeCell ref="H25:J25"/>
    <mergeCell ref="K25:L25"/>
    <mergeCell ref="M25:N25"/>
    <mergeCell ref="D24:E24"/>
    <mergeCell ref="F24:G24"/>
    <mergeCell ref="H24:J24"/>
    <mergeCell ref="K24:L24"/>
    <mergeCell ref="M24:N24"/>
    <mergeCell ref="A24:C24"/>
    <mergeCell ref="A25:C25"/>
    <mergeCell ref="D27:E27"/>
    <mergeCell ref="F27:G27"/>
    <mergeCell ref="H27:J27"/>
    <mergeCell ref="K27:L27"/>
    <mergeCell ref="M27:N27"/>
    <mergeCell ref="D26:E26"/>
    <mergeCell ref="F26:G26"/>
    <mergeCell ref="H26:J26"/>
    <mergeCell ref="K26:L26"/>
    <mergeCell ref="M26:N26"/>
    <mergeCell ref="D29:E29"/>
    <mergeCell ref="F29:G29"/>
    <mergeCell ref="H29:J29"/>
    <mergeCell ref="K29:L29"/>
    <mergeCell ref="M29:N29"/>
    <mergeCell ref="D28:E28"/>
    <mergeCell ref="F28:G28"/>
    <mergeCell ref="H28:J28"/>
    <mergeCell ref="K28:L28"/>
    <mergeCell ref="M28:N28"/>
    <mergeCell ref="D31:E31"/>
    <mergeCell ref="F31:G31"/>
    <mergeCell ref="H31:J31"/>
    <mergeCell ref="K31:L31"/>
    <mergeCell ref="M31:N31"/>
    <mergeCell ref="D30:E30"/>
    <mergeCell ref="F30:G30"/>
    <mergeCell ref="H30:J30"/>
    <mergeCell ref="K30:L30"/>
    <mergeCell ref="M30:N30"/>
    <mergeCell ref="M34:N34"/>
    <mergeCell ref="D33:E33"/>
    <mergeCell ref="F33:G33"/>
    <mergeCell ref="H33:J33"/>
    <mergeCell ref="K33:L33"/>
    <mergeCell ref="M33:N33"/>
    <mergeCell ref="D32:E32"/>
    <mergeCell ref="F32:G32"/>
    <mergeCell ref="H32:J32"/>
    <mergeCell ref="K32:L32"/>
    <mergeCell ref="M32:N32"/>
    <mergeCell ref="D35:E35"/>
    <mergeCell ref="F35:G35"/>
    <mergeCell ref="K35:L35"/>
    <mergeCell ref="D36:E36"/>
    <mergeCell ref="F36:G36"/>
    <mergeCell ref="K36:L36"/>
    <mergeCell ref="D34:E34"/>
    <mergeCell ref="F34:G34"/>
    <mergeCell ref="H34:J34"/>
    <mergeCell ref="K34:L34"/>
    <mergeCell ref="D39:E39"/>
    <mergeCell ref="F39:G39"/>
    <mergeCell ref="K39:L39"/>
    <mergeCell ref="D40:E40"/>
    <mergeCell ref="F40:G40"/>
    <mergeCell ref="K40:L40"/>
    <mergeCell ref="D37:E37"/>
    <mergeCell ref="F37:G37"/>
    <mergeCell ref="K37:L37"/>
    <mergeCell ref="D38:E38"/>
    <mergeCell ref="F38:G38"/>
    <mergeCell ref="K38:L38"/>
    <mergeCell ref="A42:C42"/>
    <mergeCell ref="D42:E42"/>
    <mergeCell ref="F42:G42"/>
    <mergeCell ref="D43:E43"/>
    <mergeCell ref="B47:F52"/>
    <mergeCell ref="J47:N52"/>
    <mergeCell ref="H42:J42"/>
    <mergeCell ref="K42:L42"/>
    <mergeCell ref="M42:N42"/>
    <mergeCell ref="A41:C41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37:C37"/>
    <mergeCell ref="A38:C38"/>
    <mergeCell ref="A39:C39"/>
    <mergeCell ref="A40:C40"/>
    <mergeCell ref="A34:C34"/>
    <mergeCell ref="A35:C35"/>
    <mergeCell ref="A36:C36"/>
    <mergeCell ref="A32:C32"/>
    <mergeCell ref="A33:C33"/>
    <mergeCell ref="A30:C30"/>
    <mergeCell ref="A31:C31"/>
    <mergeCell ref="A28:C28"/>
    <mergeCell ref="A29:C29"/>
    <mergeCell ref="A26:C26"/>
  </mergeCells>
  <conditionalFormatting sqref="D14:D42">
    <cfRule type="expression" dxfId="111" priority="1">
      <formula>#REF!="Non"</formula>
    </cfRule>
    <cfRule type="expression" dxfId="110" priority="2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BD244"/>
  <sheetViews>
    <sheetView topLeftCell="A10" zoomScale="80" zoomScaleNormal="80" workbookViewId="0">
      <selection activeCell="T39" sqref="T39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1.85546875" style="6" customWidth="1"/>
    <col min="4" max="4" width="8.42578125" style="6" customWidth="1"/>
    <col min="5" max="5" width="6.42578125" style="6" customWidth="1"/>
    <col min="6" max="6" width="5.42578125" style="6" customWidth="1"/>
    <col min="7" max="7" width="8" style="6" customWidth="1"/>
    <col min="8" max="8" width="5.85546875" style="6" customWidth="1"/>
    <col min="9" max="9" width="9.42578125" style="6" customWidth="1"/>
    <col min="10" max="10" width="14.42578125" style="6" customWidth="1"/>
    <col min="11" max="12" width="8.140625" style="6" customWidth="1"/>
    <col min="13" max="13" width="8" style="6" customWidth="1"/>
    <col min="14" max="14" width="10.42578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67</v>
      </c>
      <c r="E2" s="195"/>
      <c r="F2" s="195"/>
      <c r="G2" s="195"/>
      <c r="H2" s="195"/>
      <c r="I2" s="195"/>
      <c r="J2" s="195"/>
      <c r="K2" s="195"/>
      <c r="L2" s="251">
        <f>'Niveau 1 Mars'!L2:N4</f>
        <v>45352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6"/>
      <c r="Q3" s="4"/>
      <c r="R3" s="220"/>
      <c r="S3" s="220"/>
      <c r="T3" s="220"/>
      <c r="U3" s="36"/>
      <c r="V3" s="36"/>
      <c r="W3" s="36"/>
      <c r="X3" s="36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6"/>
      <c r="Q4" s="4"/>
      <c r="R4" s="36"/>
      <c r="S4" s="36"/>
      <c r="T4" s="36"/>
      <c r="U4" s="36"/>
      <c r="V4" s="36"/>
      <c r="W4" s="36"/>
      <c r="X4" s="36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f>+'Niveau 1 Mars'!L5:N5</f>
        <v>45356</v>
      </c>
      <c r="M5" s="222"/>
      <c r="N5" s="222"/>
      <c r="O5" s="3"/>
      <c r="P5" s="36"/>
      <c r="Q5" s="5"/>
      <c r="R5" s="220"/>
      <c r="S5" s="220"/>
      <c r="T5" s="220"/>
      <c r="U5" s="36"/>
      <c r="V5" s="36"/>
      <c r="W5" s="36"/>
      <c r="X5" s="36"/>
      <c r="Y5" s="5"/>
    </row>
    <row r="6" spans="1:25" ht="19.5" customHeight="1" x14ac:dyDescent="0.35">
      <c r="A6" s="27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40"/>
      <c r="V6" s="40"/>
      <c r="W6" s="40"/>
      <c r="X6" s="40"/>
      <c r="Y6" s="5"/>
    </row>
    <row r="7" spans="1:25" ht="19.5" customHeight="1" thickBot="1" x14ac:dyDescent="0.4">
      <c r="A7" s="111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40"/>
      <c r="V7" s="40"/>
      <c r="W7" s="40"/>
      <c r="X7" s="40"/>
      <c r="Y7" s="5"/>
    </row>
    <row r="8" spans="1:25" ht="18" customHeight="1" thickBot="1" x14ac:dyDescent="0.3">
      <c r="A8" s="8" t="s">
        <v>2</v>
      </c>
      <c r="B8" s="24"/>
      <c r="C8" s="223"/>
      <c r="D8" s="224"/>
      <c r="E8" s="224"/>
      <c r="F8" s="225"/>
      <c r="G8" s="9"/>
      <c r="H8" s="8" t="s">
        <v>26</v>
      </c>
      <c r="I8" s="8"/>
      <c r="J8" s="8"/>
      <c r="K8" s="223"/>
      <c r="L8" s="224"/>
      <c r="M8" s="224"/>
      <c r="N8" s="225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223"/>
      <c r="D10" s="224"/>
      <c r="E10" s="224"/>
      <c r="F10" s="225"/>
      <c r="G10" s="9"/>
      <c r="H10" s="8" t="s">
        <v>25</v>
      </c>
      <c r="I10" s="8"/>
      <c r="J10" s="8"/>
      <c r="K10" s="223"/>
      <c r="L10" s="224"/>
      <c r="M10" s="224"/>
      <c r="N10" s="225"/>
      <c r="O10" s="26"/>
      <c r="P10" s="26"/>
      <c r="Q10" s="26"/>
      <c r="R10" s="26"/>
      <c r="S10" s="26"/>
      <c r="T10" s="26"/>
      <c r="U10" s="11"/>
    </row>
    <row r="11" spans="1:25" ht="18" customHeight="1" thickBot="1" x14ac:dyDescent="0.35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8" customHeight="1" thickBot="1" x14ac:dyDescent="0.35">
      <c r="A12" s="8" t="s">
        <v>49</v>
      </c>
      <c r="B12" s="24"/>
      <c r="C12" s="223"/>
      <c r="D12" s="224"/>
      <c r="E12" s="224"/>
      <c r="F12" s="225"/>
      <c r="G12" s="24"/>
      <c r="H12" s="8" t="s">
        <v>52</v>
      </c>
      <c r="I12" s="8"/>
      <c r="J12" s="24"/>
      <c r="K12" s="241"/>
      <c r="L12" s="242"/>
      <c r="M12" s="8" t="s">
        <v>59</v>
      </c>
      <c r="N12" s="24"/>
      <c r="O12" s="26"/>
      <c r="P12" s="26"/>
      <c r="Q12" s="26"/>
      <c r="R12" s="26"/>
      <c r="S12" s="26"/>
      <c r="T12" s="26"/>
      <c r="U12" s="11"/>
    </row>
    <row r="13" spans="1:25" ht="18" customHeight="1" thickBot="1" x14ac:dyDescent="0.35">
      <c r="A13" s="8"/>
      <c r="B13" s="24"/>
      <c r="C13" s="24"/>
      <c r="D13" s="24"/>
      <c r="E13" s="24"/>
      <c r="F13" s="24"/>
      <c r="G13" s="24"/>
      <c r="H13" s="8" t="s">
        <v>51</v>
      </c>
      <c r="I13" s="8"/>
      <c r="J13" s="24"/>
      <c r="K13" s="260"/>
      <c r="L13" s="261"/>
      <c r="M13" s="32" t="s">
        <v>60</v>
      </c>
      <c r="N13" s="24"/>
      <c r="O13" s="26"/>
      <c r="P13" s="26"/>
      <c r="Q13" s="26"/>
      <c r="R13" s="26"/>
      <c r="S13" s="26"/>
      <c r="T13" s="26"/>
      <c r="U13" s="11"/>
    </row>
    <row r="14" spans="1:25" ht="13.5" customHeight="1" thickBot="1" x14ac:dyDescent="0.35">
      <c r="A14" s="8"/>
      <c r="B14" s="24"/>
      <c r="C14" s="24"/>
      <c r="D14" s="24"/>
      <c r="E14" s="24"/>
      <c r="F14" s="24"/>
      <c r="G14" s="9"/>
      <c r="H14" s="8"/>
      <c r="I14" s="8"/>
      <c r="J14" s="8"/>
      <c r="K14" s="8"/>
      <c r="L14" s="8"/>
      <c r="M14" s="8"/>
      <c r="N14" s="8"/>
      <c r="O14" s="26"/>
      <c r="P14" s="26"/>
      <c r="Q14" s="26"/>
      <c r="R14" s="26"/>
      <c r="S14" s="26"/>
      <c r="T14" s="26"/>
      <c r="U14" s="11"/>
    </row>
    <row r="15" spans="1:25" ht="22.5" customHeight="1" thickBot="1" x14ac:dyDescent="0.35">
      <c r="A15" s="8"/>
      <c r="B15" s="24"/>
      <c r="C15" s="10"/>
      <c r="D15" s="10"/>
      <c r="E15" s="10"/>
      <c r="F15" s="262" t="s">
        <v>28</v>
      </c>
      <c r="G15" s="263"/>
      <c r="H15" s="263"/>
      <c r="I15" s="263"/>
      <c r="J15" s="263"/>
      <c r="K15" s="263"/>
      <c r="L15" s="263"/>
      <c r="M15" s="263"/>
      <c r="N15" s="264"/>
      <c r="O15" s="26"/>
      <c r="P15" s="26"/>
      <c r="Q15" s="26"/>
      <c r="R15" s="26"/>
      <c r="S15" s="26"/>
      <c r="T15" s="26"/>
      <c r="U15" s="11"/>
    </row>
    <row r="16" spans="1:25" s="19" customFormat="1" ht="54.75" customHeight="1" x14ac:dyDescent="0.25">
      <c r="A16" s="200" t="s">
        <v>1</v>
      </c>
      <c r="B16" s="201"/>
      <c r="C16" s="202"/>
      <c r="D16" s="203" t="s">
        <v>58</v>
      </c>
      <c r="E16" s="204"/>
      <c r="F16" s="265" t="s">
        <v>29</v>
      </c>
      <c r="G16" s="265"/>
      <c r="H16" s="266" t="s">
        <v>61</v>
      </c>
      <c r="I16" s="267"/>
      <c r="J16" s="37" t="s">
        <v>63</v>
      </c>
      <c r="K16" s="268" t="s">
        <v>64</v>
      </c>
      <c r="L16" s="269"/>
      <c r="M16" s="266" t="s">
        <v>30</v>
      </c>
      <c r="N16" s="267"/>
      <c r="O16" s="26"/>
      <c r="P16" s="26"/>
      <c r="Q16" s="26"/>
      <c r="R16" s="26"/>
      <c r="S16" s="26"/>
      <c r="T16" s="26"/>
      <c r="U16" s="20"/>
      <c r="V16" s="20"/>
      <c r="W16" s="20"/>
      <c r="X16" s="21"/>
    </row>
    <row r="17" spans="1:24" s="3" customFormat="1" ht="15.75" x14ac:dyDescent="0.25">
      <c r="A17" s="191">
        <v>45327</v>
      </c>
      <c r="B17" s="286"/>
      <c r="C17" s="287"/>
      <c r="D17" s="243"/>
      <c r="E17" s="243"/>
      <c r="F17" s="244"/>
      <c r="G17" s="245"/>
      <c r="H17" s="246"/>
      <c r="I17" s="247"/>
      <c r="J17" s="100"/>
      <c r="K17" s="248"/>
      <c r="L17" s="248"/>
      <c r="M17" s="249">
        <f t="shared" ref="M17" si="0">+K17-J17</f>
        <v>0</v>
      </c>
      <c r="N17" s="250"/>
      <c r="O17" s="26"/>
      <c r="P17" s="26"/>
      <c r="Q17" s="26"/>
      <c r="R17" s="26"/>
      <c r="S17" s="26"/>
      <c r="T17" s="26"/>
      <c r="U17" s="13"/>
      <c r="V17" s="13"/>
      <c r="W17" s="13"/>
      <c r="X17" s="1"/>
    </row>
    <row r="18" spans="1:24" s="3" customFormat="1" ht="15.75" x14ac:dyDescent="0.25">
      <c r="A18" s="191">
        <v>45328</v>
      </c>
      <c r="B18" s="286"/>
      <c r="C18" s="287"/>
      <c r="D18" s="243"/>
      <c r="E18" s="243"/>
      <c r="F18" s="244"/>
      <c r="G18" s="245"/>
      <c r="H18" s="246"/>
      <c r="I18" s="247"/>
      <c r="J18" s="100"/>
      <c r="K18" s="248"/>
      <c r="L18" s="248"/>
      <c r="M18" s="249">
        <f t="shared" ref="M18:M44" si="1">+K18-J18</f>
        <v>0</v>
      </c>
      <c r="N18" s="250"/>
      <c r="P18" s="26"/>
      <c r="Q18" s="26"/>
      <c r="R18" s="26"/>
      <c r="S18" s="26"/>
      <c r="T18" s="26"/>
      <c r="U18" s="13"/>
      <c r="V18" s="13"/>
      <c r="W18" s="13"/>
      <c r="X18" s="1"/>
    </row>
    <row r="19" spans="1:24" s="3" customFormat="1" ht="15.75" x14ac:dyDescent="0.25">
      <c r="A19" s="191">
        <v>45329</v>
      </c>
      <c r="B19" s="286"/>
      <c r="C19" s="287"/>
      <c r="D19" s="243"/>
      <c r="E19" s="243"/>
      <c r="F19" s="244"/>
      <c r="G19" s="245"/>
      <c r="H19" s="246"/>
      <c r="I19" s="247"/>
      <c r="J19" s="100"/>
      <c r="K19" s="248"/>
      <c r="L19" s="248"/>
      <c r="M19" s="249">
        <f t="shared" si="1"/>
        <v>0</v>
      </c>
      <c r="N19" s="250"/>
      <c r="P19" s="26"/>
      <c r="Q19" s="26"/>
      <c r="R19" s="26"/>
      <c r="S19" s="26"/>
      <c r="T19" s="26"/>
      <c r="U19" s="26"/>
      <c r="V19" s="13"/>
      <c r="W19" s="13"/>
      <c r="X19" s="1"/>
    </row>
    <row r="20" spans="1:24" s="3" customFormat="1" x14ac:dyDescent="0.25">
      <c r="A20" s="191">
        <v>45330</v>
      </c>
      <c r="B20" s="286"/>
      <c r="C20" s="287"/>
      <c r="D20" s="243"/>
      <c r="E20" s="243"/>
      <c r="F20" s="244"/>
      <c r="G20" s="245"/>
      <c r="H20" s="246"/>
      <c r="I20" s="247"/>
      <c r="J20" s="100"/>
      <c r="K20" s="248"/>
      <c r="L20" s="248"/>
      <c r="M20" s="249">
        <f t="shared" si="1"/>
        <v>0</v>
      </c>
      <c r="N20" s="250"/>
      <c r="P20" s="12"/>
      <c r="Q20" s="12"/>
      <c r="R20" s="12"/>
      <c r="S20" s="12"/>
      <c r="T20" s="13"/>
      <c r="U20" s="13"/>
      <c r="V20" s="13"/>
      <c r="W20" s="13"/>
      <c r="X20" s="1"/>
    </row>
    <row r="21" spans="1:24" s="3" customFormat="1" x14ac:dyDescent="0.25">
      <c r="A21" s="191">
        <v>45331</v>
      </c>
      <c r="B21" s="286"/>
      <c r="C21" s="287"/>
      <c r="D21" s="243"/>
      <c r="E21" s="243"/>
      <c r="F21" s="244"/>
      <c r="G21" s="245"/>
      <c r="H21" s="246"/>
      <c r="I21" s="247"/>
      <c r="J21" s="100"/>
      <c r="K21" s="248"/>
      <c r="L21" s="248"/>
      <c r="M21" s="249">
        <f t="shared" si="1"/>
        <v>0</v>
      </c>
      <c r="N21" s="250"/>
      <c r="P21" s="12"/>
      <c r="Q21" s="12"/>
      <c r="R21" s="12"/>
      <c r="S21" s="12"/>
      <c r="T21" s="13"/>
      <c r="U21" s="13"/>
      <c r="V21" s="13"/>
      <c r="W21" s="13"/>
      <c r="X21" s="1"/>
    </row>
    <row r="22" spans="1:24" s="3" customFormat="1" x14ac:dyDescent="0.25">
      <c r="A22" s="191">
        <v>45332</v>
      </c>
      <c r="B22" s="286"/>
      <c r="C22" s="287"/>
      <c r="D22" s="243"/>
      <c r="E22" s="243"/>
      <c r="F22" s="244"/>
      <c r="G22" s="245"/>
      <c r="H22" s="246"/>
      <c r="I22" s="247"/>
      <c r="J22" s="100"/>
      <c r="K22" s="248"/>
      <c r="L22" s="248"/>
      <c r="M22" s="249">
        <f t="shared" si="1"/>
        <v>0</v>
      </c>
      <c r="N22" s="250"/>
      <c r="P22" s="12"/>
      <c r="Q22" s="12"/>
      <c r="R22" s="12"/>
      <c r="S22" s="12"/>
      <c r="T22" s="13"/>
      <c r="U22" s="13"/>
      <c r="V22" s="13"/>
      <c r="W22" s="13"/>
      <c r="X22" s="1"/>
    </row>
    <row r="23" spans="1:24" s="3" customFormat="1" x14ac:dyDescent="0.25">
      <c r="A23" s="191">
        <v>45333</v>
      </c>
      <c r="B23" s="286"/>
      <c r="C23" s="287"/>
      <c r="D23" s="243"/>
      <c r="E23" s="243"/>
      <c r="F23" s="244"/>
      <c r="G23" s="245"/>
      <c r="H23" s="246"/>
      <c r="I23" s="247"/>
      <c r="J23" s="100"/>
      <c r="K23" s="248"/>
      <c r="L23" s="248"/>
      <c r="M23" s="249">
        <f t="shared" si="1"/>
        <v>0</v>
      </c>
      <c r="N23" s="250"/>
      <c r="P23" s="12"/>
      <c r="Q23" s="12"/>
      <c r="R23" s="12"/>
      <c r="S23" s="12"/>
      <c r="T23" s="13"/>
      <c r="U23" s="13"/>
      <c r="V23" s="13"/>
      <c r="W23" s="13"/>
      <c r="X23" s="1"/>
    </row>
    <row r="24" spans="1:24" s="3" customFormat="1" x14ac:dyDescent="0.25">
      <c r="A24" s="191">
        <v>45334</v>
      </c>
      <c r="B24" s="286"/>
      <c r="C24" s="287"/>
      <c r="D24" s="243"/>
      <c r="E24" s="243"/>
      <c r="F24" s="244"/>
      <c r="G24" s="245"/>
      <c r="H24" s="246"/>
      <c r="I24" s="247"/>
      <c r="J24" s="100"/>
      <c r="K24" s="248"/>
      <c r="L24" s="248"/>
      <c r="M24" s="249">
        <f t="shared" si="1"/>
        <v>0</v>
      </c>
      <c r="N24" s="250"/>
      <c r="P24" s="12"/>
      <c r="Q24" s="12"/>
      <c r="R24" s="12"/>
      <c r="S24" s="12"/>
      <c r="T24" s="13"/>
      <c r="U24" s="13"/>
      <c r="V24" s="13"/>
      <c r="W24" s="13"/>
      <c r="X24" s="1"/>
    </row>
    <row r="25" spans="1:24" s="3" customFormat="1" x14ac:dyDescent="0.25">
      <c r="A25" s="191">
        <v>45335</v>
      </c>
      <c r="B25" s="286"/>
      <c r="C25" s="287"/>
      <c r="D25" s="243"/>
      <c r="E25" s="243"/>
      <c r="F25" s="244"/>
      <c r="G25" s="245"/>
      <c r="H25" s="246"/>
      <c r="I25" s="247"/>
      <c r="J25" s="100"/>
      <c r="K25" s="248"/>
      <c r="L25" s="248"/>
      <c r="M25" s="249">
        <f t="shared" si="1"/>
        <v>0</v>
      </c>
      <c r="N25" s="250"/>
      <c r="P25" s="12"/>
      <c r="Q25" s="12"/>
      <c r="R25" s="12"/>
      <c r="S25" s="12"/>
      <c r="T25" s="13"/>
      <c r="U25" s="13"/>
      <c r="V25" s="13"/>
      <c r="W25" s="13"/>
      <c r="X25" s="1"/>
    </row>
    <row r="26" spans="1:24" s="3" customFormat="1" x14ac:dyDescent="0.25">
      <c r="A26" s="191">
        <v>45336</v>
      </c>
      <c r="B26" s="286"/>
      <c r="C26" s="287"/>
      <c r="D26" s="243"/>
      <c r="E26" s="243"/>
      <c r="F26" s="244"/>
      <c r="G26" s="245"/>
      <c r="H26" s="246"/>
      <c r="I26" s="247"/>
      <c r="J26" s="100"/>
      <c r="K26" s="248"/>
      <c r="L26" s="248"/>
      <c r="M26" s="249">
        <f t="shared" si="1"/>
        <v>0</v>
      </c>
      <c r="N26" s="250"/>
      <c r="P26" s="12"/>
      <c r="Q26" s="12"/>
      <c r="R26" s="12"/>
      <c r="S26" s="12"/>
      <c r="T26" s="13"/>
      <c r="U26" s="13"/>
      <c r="V26" s="13"/>
      <c r="W26" s="13"/>
      <c r="X26" s="1"/>
    </row>
    <row r="27" spans="1:24" s="3" customFormat="1" x14ac:dyDescent="0.25">
      <c r="A27" s="191">
        <v>45337</v>
      </c>
      <c r="B27" s="286"/>
      <c r="C27" s="287"/>
      <c r="D27" s="243"/>
      <c r="E27" s="243"/>
      <c r="F27" s="244"/>
      <c r="G27" s="245"/>
      <c r="H27" s="246"/>
      <c r="I27" s="247"/>
      <c r="J27" s="100"/>
      <c r="K27" s="248"/>
      <c r="L27" s="248"/>
      <c r="M27" s="249">
        <f t="shared" si="1"/>
        <v>0</v>
      </c>
      <c r="N27" s="250"/>
      <c r="P27" s="12"/>
      <c r="Q27" s="15"/>
      <c r="R27" s="15"/>
      <c r="S27" s="15"/>
      <c r="T27" s="13"/>
      <c r="U27" s="13"/>
      <c r="V27" s="13"/>
      <c r="W27" s="13"/>
      <c r="X27" s="1"/>
    </row>
    <row r="28" spans="1:24" s="3" customFormat="1" x14ac:dyDescent="0.25">
      <c r="A28" s="191">
        <v>45338</v>
      </c>
      <c r="B28" s="286"/>
      <c r="C28" s="287"/>
      <c r="D28" s="243"/>
      <c r="E28" s="243"/>
      <c r="F28" s="244"/>
      <c r="G28" s="245"/>
      <c r="H28" s="246"/>
      <c r="I28" s="247"/>
      <c r="J28" s="100"/>
      <c r="K28" s="248"/>
      <c r="L28" s="248"/>
      <c r="M28" s="249">
        <f t="shared" si="1"/>
        <v>0</v>
      </c>
      <c r="N28" s="250"/>
      <c r="P28" s="12"/>
      <c r="Q28" s="15"/>
      <c r="R28" s="15"/>
      <c r="S28" s="15"/>
      <c r="T28" s="13"/>
      <c r="U28" s="13"/>
      <c r="V28" s="13"/>
      <c r="W28" s="13"/>
      <c r="X28" s="1"/>
    </row>
    <row r="29" spans="1:24" s="3" customFormat="1" x14ac:dyDescent="0.25">
      <c r="A29" s="191">
        <v>45339</v>
      </c>
      <c r="B29" s="286"/>
      <c r="C29" s="287"/>
      <c r="D29" s="243"/>
      <c r="E29" s="243"/>
      <c r="F29" s="244"/>
      <c r="G29" s="245"/>
      <c r="H29" s="246"/>
      <c r="I29" s="247"/>
      <c r="J29" s="100"/>
      <c r="K29" s="248"/>
      <c r="L29" s="248"/>
      <c r="M29" s="249">
        <f t="shared" si="1"/>
        <v>0</v>
      </c>
      <c r="N29" s="250"/>
      <c r="P29" s="12"/>
      <c r="Q29" s="15"/>
      <c r="R29" s="15"/>
      <c r="S29" s="15"/>
      <c r="T29" s="13"/>
      <c r="U29" s="13"/>
      <c r="V29" s="13"/>
      <c r="W29" s="13"/>
      <c r="X29" s="1"/>
    </row>
    <row r="30" spans="1:24" s="3" customFormat="1" x14ac:dyDescent="0.25">
      <c r="A30" s="191">
        <v>45340</v>
      </c>
      <c r="B30" s="286"/>
      <c r="C30" s="287"/>
      <c r="D30" s="243"/>
      <c r="E30" s="243"/>
      <c r="F30" s="244"/>
      <c r="G30" s="245"/>
      <c r="H30" s="246"/>
      <c r="I30" s="247"/>
      <c r="J30" s="100"/>
      <c r="K30" s="248"/>
      <c r="L30" s="248"/>
      <c r="M30" s="249">
        <f t="shared" si="1"/>
        <v>0</v>
      </c>
      <c r="N30" s="250"/>
      <c r="O30" s="1"/>
      <c r="P30" s="12"/>
      <c r="Q30" s="15"/>
      <c r="R30" s="15"/>
      <c r="S30" s="15"/>
      <c r="T30" s="13"/>
      <c r="U30" s="13"/>
      <c r="V30" s="13"/>
      <c r="W30" s="13"/>
      <c r="X30" s="1"/>
    </row>
    <row r="31" spans="1:24" s="3" customFormat="1" x14ac:dyDescent="0.25">
      <c r="A31" s="191">
        <v>45341</v>
      </c>
      <c r="B31" s="286"/>
      <c r="C31" s="287"/>
      <c r="D31" s="270"/>
      <c r="E31" s="271"/>
      <c r="F31" s="101"/>
      <c r="G31" s="102"/>
      <c r="H31" s="103"/>
      <c r="I31" s="104"/>
      <c r="J31" s="100"/>
      <c r="K31" s="249"/>
      <c r="L31" s="250"/>
      <c r="M31" s="249">
        <f t="shared" si="1"/>
        <v>0</v>
      </c>
      <c r="N31" s="250"/>
      <c r="O31" s="1"/>
      <c r="P31" s="12"/>
      <c r="Q31" s="15"/>
      <c r="R31" s="15"/>
      <c r="S31" s="15"/>
      <c r="T31" s="13"/>
      <c r="U31" s="13"/>
      <c r="V31" s="13"/>
      <c r="W31" s="13"/>
      <c r="X31" s="1"/>
    </row>
    <row r="32" spans="1:24" s="3" customFormat="1" x14ac:dyDescent="0.25">
      <c r="A32" s="191">
        <v>45342</v>
      </c>
      <c r="B32" s="286"/>
      <c r="C32" s="287"/>
      <c r="D32" s="270"/>
      <c r="E32" s="271"/>
      <c r="F32" s="101"/>
      <c r="G32" s="102"/>
      <c r="H32" s="103"/>
      <c r="I32" s="104"/>
      <c r="J32" s="100"/>
      <c r="K32" s="249"/>
      <c r="L32" s="250"/>
      <c r="M32" s="249">
        <f t="shared" si="1"/>
        <v>0</v>
      </c>
      <c r="N32" s="250"/>
      <c r="O32" s="1"/>
      <c r="P32" s="12"/>
      <c r="Q32" s="15"/>
      <c r="R32" s="15"/>
      <c r="S32" s="15"/>
      <c r="T32" s="13"/>
      <c r="U32" s="13"/>
      <c r="V32" s="13"/>
      <c r="W32" s="13"/>
      <c r="X32" s="1"/>
    </row>
    <row r="33" spans="1:25" s="3" customFormat="1" x14ac:dyDescent="0.25">
      <c r="A33" s="191">
        <v>45343</v>
      </c>
      <c r="B33" s="286"/>
      <c r="C33" s="287"/>
      <c r="D33" s="270"/>
      <c r="E33" s="271"/>
      <c r="F33" s="101"/>
      <c r="G33" s="102"/>
      <c r="H33" s="103"/>
      <c r="I33" s="104"/>
      <c r="J33" s="100"/>
      <c r="K33" s="249"/>
      <c r="L33" s="250"/>
      <c r="M33" s="249">
        <f t="shared" si="1"/>
        <v>0</v>
      </c>
      <c r="N33" s="250"/>
      <c r="O33" s="1"/>
      <c r="P33" s="12"/>
      <c r="Q33" s="15"/>
      <c r="R33" s="15"/>
      <c r="S33" s="15"/>
      <c r="T33" s="13"/>
      <c r="U33" s="13"/>
      <c r="V33" s="13"/>
      <c r="W33" s="13"/>
      <c r="X33" s="1"/>
    </row>
    <row r="34" spans="1:25" s="3" customFormat="1" x14ac:dyDescent="0.25">
      <c r="A34" s="191">
        <v>45344</v>
      </c>
      <c r="B34" s="286"/>
      <c r="C34" s="287"/>
      <c r="D34" s="270"/>
      <c r="E34" s="271"/>
      <c r="F34" s="101"/>
      <c r="G34" s="102"/>
      <c r="H34" s="103"/>
      <c r="I34" s="104"/>
      <c r="J34" s="100"/>
      <c r="K34" s="249"/>
      <c r="L34" s="250"/>
      <c r="M34" s="249">
        <f t="shared" si="1"/>
        <v>0</v>
      </c>
      <c r="N34" s="250"/>
      <c r="O34" s="1"/>
      <c r="P34" s="12"/>
      <c r="Q34" s="15"/>
      <c r="R34" s="15"/>
      <c r="S34" s="15"/>
      <c r="T34" s="13"/>
      <c r="U34" s="13"/>
      <c r="V34" s="13"/>
      <c r="W34" s="13"/>
      <c r="X34" s="1"/>
    </row>
    <row r="35" spans="1:25" s="3" customFormat="1" x14ac:dyDescent="0.25">
      <c r="A35" s="191">
        <v>45345</v>
      </c>
      <c r="B35" s="286"/>
      <c r="C35" s="287"/>
      <c r="D35" s="270"/>
      <c r="E35" s="271"/>
      <c r="F35" s="101"/>
      <c r="G35" s="102"/>
      <c r="H35" s="103"/>
      <c r="I35" s="104"/>
      <c r="J35" s="100"/>
      <c r="K35" s="249"/>
      <c r="L35" s="250"/>
      <c r="M35" s="249">
        <f t="shared" si="1"/>
        <v>0</v>
      </c>
      <c r="N35" s="250"/>
      <c r="O35" s="1"/>
      <c r="P35" s="12"/>
      <c r="Q35" s="15"/>
      <c r="R35" s="15"/>
      <c r="S35" s="15"/>
      <c r="T35" s="13"/>
      <c r="U35" s="13"/>
      <c r="V35" s="13"/>
      <c r="W35" s="13"/>
      <c r="X35" s="1"/>
    </row>
    <row r="36" spans="1:25" s="3" customFormat="1" x14ac:dyDescent="0.25">
      <c r="A36" s="191">
        <v>45346</v>
      </c>
      <c r="B36" s="286"/>
      <c r="C36" s="287"/>
      <c r="D36" s="270"/>
      <c r="E36" s="271"/>
      <c r="F36" s="101"/>
      <c r="G36" s="102"/>
      <c r="H36" s="103"/>
      <c r="I36" s="104"/>
      <c r="J36" s="100"/>
      <c r="K36" s="249"/>
      <c r="L36" s="250"/>
      <c r="M36" s="249">
        <f t="shared" si="1"/>
        <v>0</v>
      </c>
      <c r="N36" s="250"/>
      <c r="O36" s="1"/>
      <c r="P36" s="12"/>
      <c r="Q36" s="15"/>
      <c r="R36" s="15"/>
      <c r="S36" s="15"/>
      <c r="T36" s="13"/>
      <c r="U36" s="13"/>
      <c r="V36" s="13"/>
      <c r="W36" s="13"/>
      <c r="X36" s="1"/>
    </row>
    <row r="37" spans="1:25" s="3" customFormat="1" x14ac:dyDescent="0.25">
      <c r="A37" s="191">
        <v>45347</v>
      </c>
      <c r="B37" s="286"/>
      <c r="C37" s="287"/>
      <c r="D37" s="270"/>
      <c r="E37" s="271"/>
      <c r="F37" s="101"/>
      <c r="G37" s="102"/>
      <c r="H37" s="103"/>
      <c r="I37" s="104"/>
      <c r="J37" s="100"/>
      <c r="K37" s="249"/>
      <c r="L37" s="250"/>
      <c r="M37" s="249">
        <f t="shared" si="1"/>
        <v>0</v>
      </c>
      <c r="N37" s="250"/>
      <c r="O37" s="1"/>
      <c r="P37" s="12"/>
      <c r="Q37" s="15"/>
      <c r="R37" s="15"/>
      <c r="S37" s="15"/>
      <c r="T37" s="13"/>
      <c r="U37" s="13"/>
      <c r="V37" s="13"/>
      <c r="W37" s="13"/>
      <c r="X37" s="1"/>
    </row>
    <row r="38" spans="1:25" s="3" customFormat="1" x14ac:dyDescent="0.25">
      <c r="A38" s="191">
        <v>45348</v>
      </c>
      <c r="B38" s="286"/>
      <c r="C38" s="287"/>
      <c r="D38" s="243"/>
      <c r="E38" s="243"/>
      <c r="F38" s="244"/>
      <c r="G38" s="245"/>
      <c r="H38" s="246"/>
      <c r="I38" s="247"/>
      <c r="J38" s="100"/>
      <c r="K38" s="248"/>
      <c r="L38" s="248"/>
      <c r="M38" s="249">
        <f t="shared" si="1"/>
        <v>0</v>
      </c>
      <c r="N38" s="250"/>
      <c r="P38" s="12"/>
      <c r="Q38" s="15"/>
      <c r="R38" s="15"/>
      <c r="S38" s="15"/>
      <c r="T38" s="13"/>
      <c r="U38" s="13"/>
      <c r="V38" s="13"/>
      <c r="W38" s="13"/>
      <c r="X38" s="1"/>
    </row>
    <row r="39" spans="1:25" s="3" customFormat="1" x14ac:dyDescent="0.25">
      <c r="A39" s="191">
        <v>45349</v>
      </c>
      <c r="B39" s="286"/>
      <c r="C39" s="287"/>
      <c r="D39" s="243"/>
      <c r="E39" s="243"/>
      <c r="F39" s="244"/>
      <c r="G39" s="245"/>
      <c r="H39" s="246"/>
      <c r="I39" s="247"/>
      <c r="J39" s="100"/>
      <c r="K39" s="248"/>
      <c r="L39" s="248"/>
      <c r="M39" s="249">
        <f t="shared" si="1"/>
        <v>0</v>
      </c>
      <c r="N39" s="250"/>
      <c r="P39" s="12"/>
      <c r="Q39" s="15"/>
      <c r="R39" s="15"/>
      <c r="S39" s="15"/>
      <c r="T39" s="13"/>
      <c r="U39" s="13"/>
      <c r="V39" s="13"/>
      <c r="W39" s="13"/>
      <c r="X39" s="1"/>
    </row>
    <row r="40" spans="1:25" s="3" customFormat="1" x14ac:dyDescent="0.25">
      <c r="A40" s="191">
        <v>45350</v>
      </c>
      <c r="B40" s="286"/>
      <c r="C40" s="287"/>
      <c r="D40" s="243"/>
      <c r="E40" s="243"/>
      <c r="F40" s="244"/>
      <c r="G40" s="245"/>
      <c r="H40" s="246"/>
      <c r="I40" s="247"/>
      <c r="J40" s="100"/>
      <c r="K40" s="248"/>
      <c r="L40" s="248"/>
      <c r="M40" s="249">
        <f t="shared" si="1"/>
        <v>0</v>
      </c>
      <c r="N40" s="250"/>
      <c r="P40" s="12"/>
      <c r="Q40" s="15"/>
      <c r="R40" s="15"/>
      <c r="S40" s="15"/>
      <c r="T40" s="13"/>
      <c r="U40" s="13"/>
      <c r="V40" s="13"/>
      <c r="W40" s="13"/>
      <c r="X40" s="1"/>
    </row>
    <row r="41" spans="1:25" s="3" customFormat="1" x14ac:dyDescent="0.25">
      <c r="A41" s="191">
        <v>45351</v>
      </c>
      <c r="B41" s="286"/>
      <c r="C41" s="287"/>
      <c r="D41" s="243"/>
      <c r="E41" s="243"/>
      <c r="F41" s="244"/>
      <c r="G41" s="245"/>
      <c r="H41" s="246"/>
      <c r="I41" s="247"/>
      <c r="J41" s="100"/>
      <c r="K41" s="248"/>
      <c r="L41" s="248"/>
      <c r="M41" s="249">
        <f t="shared" si="1"/>
        <v>0</v>
      </c>
      <c r="N41" s="250"/>
      <c r="P41" s="12"/>
      <c r="Q41" s="15"/>
      <c r="R41" s="15"/>
      <c r="S41" s="15"/>
      <c r="T41" s="13"/>
      <c r="U41" s="13"/>
      <c r="V41" s="13"/>
      <c r="W41" s="13"/>
      <c r="X41" s="1"/>
    </row>
    <row r="42" spans="1:25" s="3" customFormat="1" x14ac:dyDescent="0.25">
      <c r="A42" s="191">
        <v>45352</v>
      </c>
      <c r="B42" s="286"/>
      <c r="C42" s="287"/>
      <c r="D42" s="243"/>
      <c r="E42" s="243"/>
      <c r="F42" s="244"/>
      <c r="G42" s="245"/>
      <c r="H42" s="246"/>
      <c r="I42" s="247"/>
      <c r="J42" s="100"/>
      <c r="K42" s="248"/>
      <c r="L42" s="248"/>
      <c r="M42" s="249">
        <f t="shared" si="1"/>
        <v>0</v>
      </c>
      <c r="N42" s="250"/>
      <c r="P42" s="12"/>
      <c r="Q42" s="15"/>
      <c r="R42" s="15"/>
      <c r="S42" s="15"/>
      <c r="T42" s="13"/>
      <c r="U42" s="13"/>
      <c r="V42" s="13"/>
      <c r="W42" s="13"/>
      <c r="X42" s="1"/>
    </row>
    <row r="43" spans="1:25" s="3" customFormat="1" x14ac:dyDescent="0.25">
      <c r="A43" s="191">
        <v>45353</v>
      </c>
      <c r="B43" s="286"/>
      <c r="C43" s="287"/>
      <c r="D43" s="243"/>
      <c r="E43" s="243"/>
      <c r="F43" s="244"/>
      <c r="G43" s="245"/>
      <c r="H43" s="246"/>
      <c r="I43" s="247"/>
      <c r="J43" s="100"/>
      <c r="K43" s="248"/>
      <c r="L43" s="248"/>
      <c r="M43" s="249">
        <f t="shared" si="1"/>
        <v>0</v>
      </c>
      <c r="N43" s="250"/>
      <c r="P43" s="12"/>
      <c r="Q43" s="15"/>
      <c r="R43" s="15"/>
      <c r="S43" s="15"/>
      <c r="T43" s="13"/>
      <c r="U43" s="13"/>
      <c r="V43" s="13"/>
      <c r="W43" s="13"/>
      <c r="X43" s="1"/>
    </row>
    <row r="44" spans="1:25" s="3" customFormat="1" x14ac:dyDescent="0.25">
      <c r="A44" s="191">
        <v>45354</v>
      </c>
      <c r="B44" s="286"/>
      <c r="C44" s="287"/>
      <c r="D44" s="243"/>
      <c r="E44" s="243"/>
      <c r="F44" s="244"/>
      <c r="G44" s="245"/>
      <c r="H44" s="246"/>
      <c r="I44" s="247"/>
      <c r="J44" s="100"/>
      <c r="K44" s="248"/>
      <c r="L44" s="248"/>
      <c r="M44" s="249">
        <f t="shared" si="1"/>
        <v>0</v>
      </c>
      <c r="N44" s="250"/>
      <c r="P44" s="12"/>
      <c r="Q44" s="15"/>
      <c r="R44" s="15"/>
      <c r="S44" s="15"/>
      <c r="T44" s="13"/>
      <c r="U44" s="13"/>
      <c r="V44" s="13"/>
      <c r="W44" s="13"/>
      <c r="X44" s="1"/>
    </row>
    <row r="45" spans="1:25" s="3" customFormat="1" ht="15.75" x14ac:dyDescent="0.25">
      <c r="A45" s="231" t="s">
        <v>21</v>
      </c>
      <c r="B45" s="232"/>
      <c r="C45" s="233"/>
      <c r="D45" s="278">
        <f>+COUNTA(D17:E44)</f>
        <v>0</v>
      </c>
      <c r="E45" s="279"/>
      <c r="F45" s="280">
        <f>+COUNTA(F17:G44)</f>
        <v>0</v>
      </c>
      <c r="G45" s="281"/>
      <c r="H45" s="282">
        <f>SUM(H17:I44)</f>
        <v>0</v>
      </c>
      <c r="I45" s="282"/>
      <c r="J45" s="107"/>
      <c r="K45" s="283"/>
      <c r="L45" s="283"/>
      <c r="M45" s="284">
        <f>+SUM(M17:O44)</f>
        <v>0</v>
      </c>
      <c r="N45" s="285"/>
      <c r="P45" s="12"/>
      <c r="Q45" s="12"/>
      <c r="R45" s="12"/>
      <c r="S45" s="12"/>
      <c r="T45" s="13"/>
      <c r="U45" s="13"/>
      <c r="V45" s="13"/>
      <c r="W45" s="13"/>
      <c r="X45" s="1"/>
    </row>
    <row r="46" spans="1:25" s="3" customFormat="1" x14ac:dyDescent="0.25">
      <c r="A46" s="12"/>
      <c r="B46" s="12"/>
      <c r="C46" s="12"/>
      <c r="D46" s="272" t="s">
        <v>65</v>
      </c>
      <c r="E46" s="273"/>
      <c r="F46" s="274" t="s">
        <v>24</v>
      </c>
      <c r="G46" s="274"/>
      <c r="H46" s="275" t="s">
        <v>62</v>
      </c>
      <c r="I46" s="275"/>
      <c r="K46" s="12"/>
      <c r="L46" s="12"/>
      <c r="M46" s="276" t="s">
        <v>66</v>
      </c>
      <c r="N46" s="277"/>
      <c r="O46" s="12"/>
      <c r="P46" s="12"/>
      <c r="Q46" s="12"/>
      <c r="R46" s="12"/>
      <c r="S46" s="12"/>
      <c r="T46" s="13"/>
      <c r="U46" s="13"/>
      <c r="V46" s="13"/>
      <c r="W46" s="13"/>
      <c r="X46" s="1"/>
    </row>
    <row r="47" spans="1:25" s="3" customFormat="1" x14ac:dyDescent="0.25">
      <c r="K47" s="12"/>
      <c r="L47" s="12"/>
      <c r="M47" s="12"/>
      <c r="N47" s="12"/>
      <c r="O47" s="12"/>
      <c r="P47" s="12"/>
      <c r="U47" s="1"/>
      <c r="V47" s="1"/>
      <c r="W47" s="1"/>
      <c r="X47" s="1"/>
      <c r="Y47" s="1"/>
    </row>
    <row r="48" spans="1:25" s="3" customFormat="1" x14ac:dyDescent="0.25">
      <c r="A48" s="28" t="s">
        <v>23</v>
      </c>
      <c r="J48" s="28" t="s">
        <v>27</v>
      </c>
      <c r="N48" s="39"/>
      <c r="P48" s="12"/>
      <c r="U48" s="1"/>
      <c r="V48" s="1"/>
      <c r="W48" s="1"/>
      <c r="X48" s="1"/>
      <c r="Y48" s="1"/>
    </row>
    <row r="49" spans="1:25" s="3" customFormat="1" x14ac:dyDescent="0.25">
      <c r="J49" s="28" t="s">
        <v>31</v>
      </c>
      <c r="N49" s="39"/>
      <c r="P49" s="12"/>
      <c r="U49" s="1"/>
      <c r="V49" s="1"/>
      <c r="W49" s="1"/>
      <c r="X49" s="1"/>
      <c r="Y49" s="1"/>
    </row>
    <row r="50" spans="1:25" s="3" customFormat="1" x14ac:dyDescent="0.25">
      <c r="A50" s="29" t="s">
        <v>20</v>
      </c>
      <c r="B50" s="30"/>
      <c r="C50" s="29"/>
      <c r="D50" s="29"/>
      <c r="E50" s="16"/>
      <c r="H50" s="18"/>
      <c r="P50" s="12"/>
      <c r="U50" s="1"/>
      <c r="V50" s="1"/>
      <c r="W50" s="1"/>
      <c r="X50" s="1"/>
      <c r="Y50" s="1"/>
    </row>
    <row r="51" spans="1:25" s="3" customFormat="1" x14ac:dyDescent="0.25">
      <c r="A51" s="29" t="s">
        <v>7</v>
      </c>
      <c r="B51" s="30"/>
      <c r="C51" s="31">
        <f ca="1">TODAY()</f>
        <v>45320</v>
      </c>
      <c r="D51" s="29"/>
      <c r="E51" s="16"/>
      <c r="J51" s="28" t="s">
        <v>22</v>
      </c>
      <c r="P51" s="12"/>
      <c r="U51" s="1"/>
      <c r="V51" s="1"/>
      <c r="W51" s="1"/>
      <c r="X51" s="1"/>
      <c r="Y51" s="1"/>
    </row>
    <row r="52" spans="1:25" s="3" customFormat="1" x14ac:dyDescent="0.25">
      <c r="A52" s="28"/>
      <c r="B52" s="240" t="s">
        <v>47</v>
      </c>
      <c r="C52" s="240"/>
      <c r="D52" s="240"/>
      <c r="E52" s="240"/>
      <c r="F52" s="240"/>
      <c r="J52" s="240" t="s">
        <v>48</v>
      </c>
      <c r="K52" s="240"/>
      <c r="L52" s="240"/>
      <c r="M52" s="240"/>
      <c r="N52" s="240"/>
      <c r="U52" s="1"/>
      <c r="V52" s="1"/>
      <c r="W52" s="1"/>
      <c r="X52" s="1"/>
      <c r="Y52" s="1"/>
    </row>
    <row r="53" spans="1:25" s="3" customFormat="1" x14ac:dyDescent="0.25">
      <c r="B53" s="240"/>
      <c r="C53" s="240"/>
      <c r="D53" s="240"/>
      <c r="E53" s="240"/>
      <c r="F53" s="240"/>
      <c r="J53" s="240"/>
      <c r="K53" s="240"/>
      <c r="L53" s="240"/>
      <c r="M53" s="240"/>
      <c r="N53" s="240"/>
      <c r="U53" s="1"/>
      <c r="V53" s="1"/>
      <c r="W53" s="1"/>
      <c r="X53" s="1"/>
      <c r="Y53" s="1"/>
    </row>
    <row r="54" spans="1:25" s="3" customFormat="1" x14ac:dyDescent="0.25">
      <c r="B54" s="240"/>
      <c r="C54" s="240"/>
      <c r="D54" s="240"/>
      <c r="E54" s="240"/>
      <c r="F54" s="240"/>
      <c r="J54" s="240"/>
      <c r="K54" s="240"/>
      <c r="L54" s="240"/>
      <c r="M54" s="240"/>
      <c r="N54" s="240"/>
      <c r="U54" s="1"/>
      <c r="V54" s="1"/>
      <c r="W54" s="1"/>
      <c r="X54" s="1"/>
      <c r="Y54" s="1"/>
    </row>
    <row r="55" spans="1:25" s="3" customFormat="1" x14ac:dyDescent="0.25">
      <c r="B55" s="240"/>
      <c r="C55" s="240"/>
      <c r="D55" s="240"/>
      <c r="E55" s="240"/>
      <c r="F55" s="240"/>
      <c r="J55" s="240"/>
      <c r="K55" s="240"/>
      <c r="L55" s="240"/>
      <c r="M55" s="240"/>
      <c r="N55" s="240"/>
      <c r="U55" s="1"/>
      <c r="V55" s="1"/>
      <c r="W55" s="1"/>
      <c r="X55" s="1"/>
      <c r="Y55" s="1"/>
    </row>
    <row r="56" spans="1:25" s="3" customFormat="1" x14ac:dyDescent="0.25">
      <c r="B56" s="240"/>
      <c r="C56" s="240"/>
      <c r="D56" s="240"/>
      <c r="E56" s="240"/>
      <c r="F56" s="240"/>
      <c r="J56" s="240"/>
      <c r="K56" s="240"/>
      <c r="L56" s="240"/>
      <c r="M56" s="240"/>
      <c r="N56" s="240"/>
      <c r="U56" s="1"/>
      <c r="V56" s="1"/>
      <c r="W56" s="1"/>
      <c r="X56" s="1"/>
      <c r="Y56" s="1"/>
    </row>
    <row r="57" spans="1:25" s="3" customFormat="1" x14ac:dyDescent="0.25">
      <c r="B57" s="240"/>
      <c r="C57" s="240"/>
      <c r="D57" s="240"/>
      <c r="E57" s="240"/>
      <c r="F57" s="240"/>
      <c r="J57" s="240"/>
      <c r="K57" s="240"/>
      <c r="L57" s="240"/>
      <c r="M57" s="240"/>
      <c r="N57" s="240"/>
      <c r="U57" s="1"/>
      <c r="V57" s="1"/>
      <c r="W57" s="1"/>
      <c r="X57" s="1"/>
      <c r="Y57" s="1"/>
    </row>
    <row r="58" spans="1:25" s="3" customFormat="1" x14ac:dyDescent="0.25">
      <c r="A58" s="3" t="s">
        <v>46</v>
      </c>
      <c r="B58" s="23"/>
      <c r="J58" s="3" t="s">
        <v>39</v>
      </c>
      <c r="U58" s="1"/>
      <c r="V58" s="1"/>
      <c r="W58" s="1"/>
      <c r="X58" s="1"/>
      <c r="Y58" s="1"/>
    </row>
    <row r="59" spans="1:25" s="3" customFormat="1" x14ac:dyDescent="0.25">
      <c r="B59" s="23"/>
      <c r="U59" s="1"/>
      <c r="V59" s="1"/>
      <c r="W59" s="1"/>
      <c r="X59" s="1"/>
      <c r="Y59" s="1"/>
    </row>
    <row r="60" spans="1:25" s="3" customFormat="1" x14ac:dyDescent="0.25">
      <c r="B60" s="23"/>
      <c r="U60" s="1"/>
      <c r="V60" s="1"/>
      <c r="W60" s="1"/>
      <c r="X60" s="1"/>
      <c r="Y60" s="1"/>
    </row>
    <row r="61" spans="1:25" s="3" customFormat="1" x14ac:dyDescent="0.25">
      <c r="A61" s="29"/>
      <c r="B61" s="23"/>
      <c r="D61" s="29"/>
      <c r="U61" s="1"/>
      <c r="V61" s="1"/>
      <c r="W61" s="1"/>
      <c r="X61" s="1"/>
      <c r="Y61" s="1"/>
    </row>
    <row r="62" spans="1:25" s="3" customFormat="1" x14ac:dyDescent="0.25">
      <c r="U62" s="1"/>
      <c r="V62" s="1"/>
      <c r="W62" s="1"/>
      <c r="X62" s="1"/>
      <c r="Y62" s="1"/>
    </row>
    <row r="63" spans="1:25" s="3" customFormat="1" x14ac:dyDescent="0.25">
      <c r="B63" s="23"/>
      <c r="U63" s="1"/>
      <c r="V63" s="1"/>
      <c r="W63" s="1"/>
      <c r="X63" s="1"/>
      <c r="Y63" s="1"/>
    </row>
    <row r="64" spans="1:25" s="3" customFormat="1" x14ac:dyDescent="0.25">
      <c r="B64" s="23"/>
      <c r="U64" s="1"/>
      <c r="V64" s="1"/>
      <c r="W64" s="1"/>
      <c r="X64" s="1"/>
      <c r="Y64" s="1"/>
    </row>
    <row r="65" spans="2:25" s="3" customFormat="1" x14ac:dyDescent="0.25">
      <c r="B65" s="23"/>
      <c r="U65" s="1"/>
      <c r="V65" s="1"/>
      <c r="W65" s="1"/>
      <c r="X65" s="1"/>
      <c r="Y65" s="1"/>
    </row>
    <row r="66" spans="2:25" s="3" customFormat="1" x14ac:dyDescent="0.25">
      <c r="B66" s="23"/>
      <c r="U66" s="1"/>
      <c r="V66" s="1"/>
      <c r="W66" s="1"/>
      <c r="X66" s="1"/>
      <c r="Y66" s="1"/>
    </row>
    <row r="67" spans="2:25" s="3" customFormat="1" x14ac:dyDescent="0.25">
      <c r="B67" s="23"/>
      <c r="U67" s="1"/>
      <c r="V67" s="1"/>
      <c r="W67" s="1"/>
      <c r="X67" s="1"/>
      <c r="Y67" s="1"/>
    </row>
    <row r="68" spans="2:25" s="3" customFormat="1" x14ac:dyDescent="0.25">
      <c r="B68" s="23"/>
      <c r="U68" s="1"/>
      <c r="V68" s="1"/>
      <c r="W68" s="1"/>
      <c r="X68" s="1"/>
      <c r="Y68" s="1"/>
    </row>
    <row r="69" spans="2:25" s="3" customFormat="1" x14ac:dyDescent="0.25">
      <c r="B69" s="23"/>
      <c r="U69" s="1"/>
      <c r="V69" s="1"/>
      <c r="W69" s="1"/>
      <c r="X69" s="1"/>
      <c r="Y69" s="1"/>
    </row>
    <row r="70" spans="2:25" s="3" customFormat="1" x14ac:dyDescent="0.25">
      <c r="B70" s="23"/>
      <c r="U70" s="1"/>
      <c r="V70" s="1"/>
      <c r="W70" s="1"/>
      <c r="X70" s="1"/>
      <c r="Y70" s="1"/>
    </row>
    <row r="71" spans="2:25" s="3" customFormat="1" x14ac:dyDescent="0.25">
      <c r="B71" s="23"/>
      <c r="U71" s="1"/>
      <c r="V71" s="1"/>
      <c r="W71" s="1"/>
      <c r="X71" s="1"/>
      <c r="Y71" s="1"/>
    </row>
    <row r="72" spans="2:25" s="3" customFormat="1" x14ac:dyDescent="0.25">
      <c r="B72" s="23"/>
      <c r="U72" s="1"/>
      <c r="V72" s="1"/>
      <c r="W72" s="1"/>
      <c r="X72" s="1"/>
      <c r="Y72" s="1"/>
    </row>
    <row r="73" spans="2:25" s="3" customFormat="1" x14ac:dyDescent="0.25">
      <c r="B73" s="23"/>
      <c r="U73" s="1"/>
      <c r="V73" s="1"/>
      <c r="W73" s="1"/>
      <c r="X73" s="1"/>
      <c r="Y73" s="1"/>
    </row>
    <row r="74" spans="2:25" s="3" customFormat="1" x14ac:dyDescent="0.25">
      <c r="B74" s="23"/>
      <c r="U74" s="1"/>
      <c r="V74" s="1"/>
      <c r="W74" s="1"/>
      <c r="X74" s="1"/>
      <c r="Y74" s="1"/>
    </row>
    <row r="75" spans="2:25" s="3" customFormat="1" x14ac:dyDescent="0.25">
      <c r="B75" s="23"/>
      <c r="U75" s="1"/>
      <c r="V75" s="1"/>
      <c r="W75" s="1"/>
      <c r="X75" s="1"/>
      <c r="Y75" s="1"/>
    </row>
    <row r="76" spans="2:25" s="3" customFormat="1" x14ac:dyDescent="0.25">
      <c r="B76" s="23"/>
      <c r="U76" s="1"/>
      <c r="V76" s="1"/>
      <c r="W76" s="1"/>
      <c r="X76" s="1"/>
      <c r="Y76" s="1"/>
    </row>
    <row r="77" spans="2:25" s="3" customFormat="1" x14ac:dyDescent="0.25">
      <c r="B77" s="23"/>
      <c r="U77" s="1"/>
      <c r="V77" s="1"/>
      <c r="W77" s="1"/>
      <c r="X77" s="1"/>
      <c r="Y77" s="1"/>
    </row>
    <row r="78" spans="2:25" s="3" customFormat="1" x14ac:dyDescent="0.25">
      <c r="B78" s="23"/>
      <c r="U78" s="1"/>
      <c r="V78" s="1"/>
      <c r="W78" s="1"/>
      <c r="X78" s="1"/>
      <c r="Y78" s="1"/>
    </row>
    <row r="79" spans="2:25" s="3" customFormat="1" x14ac:dyDescent="0.25">
      <c r="B79" s="23"/>
      <c r="U79" s="1"/>
      <c r="V79" s="1"/>
      <c r="W79" s="1"/>
      <c r="X79" s="1"/>
      <c r="Y79" s="1"/>
    </row>
    <row r="80" spans="2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2:25" s="3" customFormat="1" x14ac:dyDescent="0.25">
      <c r="B225" s="23"/>
      <c r="U225" s="1"/>
      <c r="V225" s="1"/>
      <c r="W225" s="1"/>
      <c r="X225" s="1"/>
      <c r="Y225" s="1"/>
    </row>
    <row r="226" spans="2:25" s="3" customFormat="1" x14ac:dyDescent="0.25">
      <c r="B226" s="23"/>
      <c r="U226" s="1"/>
      <c r="V226" s="1"/>
      <c r="W226" s="1"/>
      <c r="X226" s="1"/>
      <c r="Y226" s="1"/>
    </row>
    <row r="227" spans="2:25" s="3" customFormat="1" x14ac:dyDescent="0.25">
      <c r="B227" s="23"/>
      <c r="U227" s="1"/>
      <c r="V227" s="1"/>
      <c r="W227" s="1"/>
      <c r="X227" s="1"/>
      <c r="Y227" s="1"/>
    </row>
    <row r="228" spans="2:25" s="3" customFormat="1" x14ac:dyDescent="0.25">
      <c r="B228" s="23"/>
      <c r="U228" s="1"/>
      <c r="V228" s="1"/>
      <c r="W228" s="1"/>
      <c r="X228" s="1"/>
      <c r="Y228" s="1"/>
    </row>
    <row r="229" spans="2:25" s="3" customFormat="1" x14ac:dyDescent="0.25">
      <c r="B229" s="23"/>
      <c r="U229" s="1"/>
      <c r="V229" s="1"/>
      <c r="W229" s="1"/>
      <c r="X229" s="1"/>
      <c r="Y229" s="1"/>
    </row>
    <row r="230" spans="2:25" s="3" customFormat="1" x14ac:dyDescent="0.25">
      <c r="B230" s="23"/>
      <c r="U230" s="1"/>
      <c r="V230" s="1"/>
      <c r="W230" s="1"/>
      <c r="X230" s="1"/>
      <c r="Y230" s="1"/>
    </row>
    <row r="231" spans="2:25" s="3" customFormat="1" x14ac:dyDescent="0.25">
      <c r="B231" s="23"/>
      <c r="U231" s="1"/>
      <c r="V231" s="1"/>
      <c r="W231" s="1"/>
      <c r="X231" s="1"/>
      <c r="Y231" s="1"/>
    </row>
    <row r="232" spans="2:25" s="3" customFormat="1" x14ac:dyDescent="0.25">
      <c r="B232" s="23"/>
      <c r="U232" s="1"/>
      <c r="V232" s="1"/>
      <c r="W232" s="1"/>
      <c r="X232" s="1"/>
      <c r="Y232" s="1"/>
    </row>
    <row r="233" spans="2:25" s="3" customFormat="1" x14ac:dyDescent="0.25">
      <c r="B233" s="23"/>
      <c r="U233" s="1"/>
      <c r="V233" s="1"/>
      <c r="W233" s="1"/>
      <c r="X233" s="1"/>
      <c r="Y233" s="1"/>
    </row>
    <row r="234" spans="2:25" s="3" customFormat="1" x14ac:dyDescent="0.25">
      <c r="B234" s="23"/>
      <c r="U234" s="1"/>
      <c r="V234" s="1"/>
      <c r="W234" s="1"/>
      <c r="X234" s="1"/>
      <c r="Y234" s="1"/>
    </row>
    <row r="235" spans="2:25" s="3" customFormat="1" x14ac:dyDescent="0.25">
      <c r="B235" s="23"/>
      <c r="K235" s="6"/>
      <c r="L235" s="6"/>
      <c r="M235" s="6"/>
      <c r="N235" s="6"/>
      <c r="U235" s="1"/>
      <c r="V235" s="1"/>
      <c r="W235" s="1"/>
      <c r="X235" s="1"/>
      <c r="Y235" s="1"/>
    </row>
    <row r="236" spans="2:25" s="3" customFormat="1" x14ac:dyDescent="0.25">
      <c r="B236" s="23"/>
      <c r="K236" s="6"/>
      <c r="L236" s="6"/>
      <c r="M236" s="6"/>
      <c r="N236" s="6"/>
      <c r="U236" s="1"/>
      <c r="V236" s="1"/>
      <c r="W236" s="1"/>
      <c r="X236" s="1"/>
      <c r="Y236" s="1"/>
    </row>
    <row r="237" spans="2:25" s="3" customFormat="1" x14ac:dyDescent="0.25">
      <c r="B237" s="23"/>
      <c r="K237" s="6"/>
      <c r="L237" s="6"/>
      <c r="M237" s="6"/>
      <c r="N237" s="6"/>
      <c r="U237" s="1"/>
      <c r="V237" s="1"/>
      <c r="W237" s="1"/>
      <c r="X237" s="1"/>
      <c r="Y237" s="1"/>
    </row>
    <row r="238" spans="2:25" s="3" customFormat="1" x14ac:dyDescent="0.25">
      <c r="B238" s="23"/>
      <c r="J238" s="6"/>
      <c r="K238" s="6"/>
      <c r="L238" s="6"/>
      <c r="M238" s="6"/>
      <c r="N238" s="6"/>
      <c r="U238" s="1"/>
      <c r="V238" s="1"/>
      <c r="W238" s="1"/>
      <c r="X238" s="1"/>
      <c r="Y238" s="1"/>
    </row>
    <row r="239" spans="2:25" s="3" customFormat="1" x14ac:dyDescent="0.25">
      <c r="B239" s="23"/>
      <c r="J239" s="6"/>
      <c r="K239" s="6"/>
      <c r="L239" s="6"/>
      <c r="M239" s="6"/>
      <c r="N239" s="6"/>
      <c r="U239" s="1"/>
      <c r="V239" s="1"/>
      <c r="W239" s="1"/>
      <c r="X239" s="1"/>
      <c r="Y239" s="1"/>
    </row>
    <row r="240" spans="2:25" s="3" customFormat="1" x14ac:dyDescent="0.25">
      <c r="B240" s="23"/>
      <c r="J240" s="6"/>
      <c r="K240" s="6"/>
      <c r="L240" s="6"/>
      <c r="M240" s="6"/>
      <c r="N240" s="6"/>
      <c r="U240" s="1"/>
      <c r="V240" s="1"/>
      <c r="W240" s="1"/>
      <c r="X240" s="1"/>
      <c r="Y240" s="1"/>
    </row>
    <row r="241" spans="1:25" s="3" customFormat="1" x14ac:dyDescent="0.25">
      <c r="B241" s="23"/>
      <c r="J241" s="6"/>
      <c r="K241" s="6"/>
      <c r="L241" s="6"/>
      <c r="M241" s="6"/>
      <c r="N241" s="6"/>
      <c r="U241" s="1"/>
      <c r="V241" s="1"/>
      <c r="W241" s="1"/>
      <c r="X241" s="1"/>
      <c r="Y241" s="1"/>
    </row>
    <row r="242" spans="1:25" s="3" customFormat="1" x14ac:dyDescent="0.25">
      <c r="B242" s="23"/>
      <c r="J242" s="6"/>
      <c r="K242" s="6"/>
      <c r="L242" s="6"/>
      <c r="M242" s="6"/>
      <c r="N242" s="6"/>
      <c r="O242" s="6"/>
      <c r="U242" s="1"/>
      <c r="V242" s="1"/>
      <c r="W242" s="1"/>
      <c r="X242" s="1"/>
      <c r="Y242" s="1"/>
    </row>
    <row r="243" spans="1:25" s="3" customFormat="1" x14ac:dyDescent="0.25">
      <c r="B243" s="23"/>
      <c r="J243" s="6"/>
      <c r="K243" s="6"/>
      <c r="L243" s="6"/>
      <c r="M243" s="6"/>
      <c r="N243" s="6"/>
      <c r="O243" s="6"/>
      <c r="U243" s="1"/>
      <c r="V243" s="1"/>
      <c r="W243" s="1"/>
      <c r="X243" s="1"/>
      <c r="Y243" s="1"/>
    </row>
    <row r="244" spans="1:25" s="3" customFormat="1" x14ac:dyDescent="0.25">
      <c r="A244" s="6"/>
      <c r="B244" s="25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Q244" s="6"/>
      <c r="R244" s="6"/>
      <c r="S244" s="6"/>
      <c r="U244" s="1"/>
      <c r="V244" s="1"/>
      <c r="W244" s="1"/>
      <c r="X244" s="1"/>
      <c r="Y244" s="1"/>
    </row>
  </sheetData>
  <sheetProtection sheet="1" objects="1" scenarios="1"/>
  <mergeCells count="186">
    <mergeCell ref="M31:N31"/>
    <mergeCell ref="M32:N32"/>
    <mergeCell ref="M33:N33"/>
    <mergeCell ref="M34:N34"/>
    <mergeCell ref="M35:N35"/>
    <mergeCell ref="M36:N36"/>
    <mergeCell ref="M37:N37"/>
    <mergeCell ref="K18:L18"/>
    <mergeCell ref="M18:N18"/>
    <mergeCell ref="M30:N30"/>
    <mergeCell ref="D17:E17"/>
    <mergeCell ref="F17:G17"/>
    <mergeCell ref="H17:I17"/>
    <mergeCell ref="K17:L17"/>
    <mergeCell ref="M17:N17"/>
    <mergeCell ref="A17:C17"/>
    <mergeCell ref="A18:C18"/>
    <mergeCell ref="M20:N20"/>
    <mergeCell ref="R3:T3"/>
    <mergeCell ref="B5:K5"/>
    <mergeCell ref="L5:N5"/>
    <mergeCell ref="R5:T5"/>
    <mergeCell ref="K13:L13"/>
    <mergeCell ref="F15:N15"/>
    <mergeCell ref="A16:C16"/>
    <mergeCell ref="D16:E16"/>
    <mergeCell ref="F16:G16"/>
    <mergeCell ref="H16:I16"/>
    <mergeCell ref="K16:L16"/>
    <mergeCell ref="M16:N16"/>
    <mergeCell ref="C8:F8"/>
    <mergeCell ref="K8:N8"/>
    <mergeCell ref="C10:F10"/>
    <mergeCell ref="K10:N10"/>
    <mergeCell ref="C12:F12"/>
    <mergeCell ref="K12:L12"/>
    <mergeCell ref="D2:K4"/>
    <mergeCell ref="L2:N4"/>
    <mergeCell ref="D18:E18"/>
    <mergeCell ref="F18:G18"/>
    <mergeCell ref="H18:I18"/>
    <mergeCell ref="D23:E23"/>
    <mergeCell ref="F23:G23"/>
    <mergeCell ref="H23:I23"/>
    <mergeCell ref="K23:L23"/>
    <mergeCell ref="M23:N23"/>
    <mergeCell ref="D19:E19"/>
    <mergeCell ref="F19:G19"/>
    <mergeCell ref="H19:I19"/>
    <mergeCell ref="K19:L19"/>
    <mergeCell ref="M19:N19"/>
    <mergeCell ref="D22:E22"/>
    <mergeCell ref="F22:G22"/>
    <mergeCell ref="H22:I22"/>
    <mergeCell ref="K22:L22"/>
    <mergeCell ref="M22:N22"/>
    <mergeCell ref="D21:E21"/>
    <mergeCell ref="F21:G21"/>
    <mergeCell ref="H21:I21"/>
    <mergeCell ref="K21:L21"/>
    <mergeCell ref="M21:N21"/>
    <mergeCell ref="D20:E20"/>
    <mergeCell ref="F20:G20"/>
    <mergeCell ref="H20:I20"/>
    <mergeCell ref="K20:L20"/>
    <mergeCell ref="D25:E25"/>
    <mergeCell ref="F25:G25"/>
    <mergeCell ref="H25:I25"/>
    <mergeCell ref="K25:L25"/>
    <mergeCell ref="M25:N25"/>
    <mergeCell ref="D24:E24"/>
    <mergeCell ref="F24:G24"/>
    <mergeCell ref="H24:I24"/>
    <mergeCell ref="K24:L24"/>
    <mergeCell ref="M24:N24"/>
    <mergeCell ref="D27:E27"/>
    <mergeCell ref="F27:G27"/>
    <mergeCell ref="H27:I27"/>
    <mergeCell ref="K27:L27"/>
    <mergeCell ref="M27:N27"/>
    <mergeCell ref="A28:C28"/>
    <mergeCell ref="D26:E26"/>
    <mergeCell ref="F26:G26"/>
    <mergeCell ref="H26:I26"/>
    <mergeCell ref="K26:L26"/>
    <mergeCell ref="M26:N26"/>
    <mergeCell ref="D29:E29"/>
    <mergeCell ref="F29:G29"/>
    <mergeCell ref="H29:I29"/>
    <mergeCell ref="K29:L29"/>
    <mergeCell ref="M29:N29"/>
    <mergeCell ref="A29:C29"/>
    <mergeCell ref="A30:C30"/>
    <mergeCell ref="D28:E28"/>
    <mergeCell ref="F28:G28"/>
    <mergeCell ref="H28:I28"/>
    <mergeCell ref="K28:L28"/>
    <mergeCell ref="M28:N28"/>
    <mergeCell ref="D31:E31"/>
    <mergeCell ref="K31:L31"/>
    <mergeCell ref="D32:E32"/>
    <mergeCell ref="K32:L32"/>
    <mergeCell ref="A31:C31"/>
    <mergeCell ref="A32:C32"/>
    <mergeCell ref="A33:C33"/>
    <mergeCell ref="A34:C34"/>
    <mergeCell ref="D30:E30"/>
    <mergeCell ref="F30:G30"/>
    <mergeCell ref="H30:I30"/>
    <mergeCell ref="K30:L30"/>
    <mergeCell ref="D35:E35"/>
    <mergeCell ref="K35:L35"/>
    <mergeCell ref="D36:E36"/>
    <mergeCell ref="K36:L36"/>
    <mergeCell ref="A35:C35"/>
    <mergeCell ref="A36:C36"/>
    <mergeCell ref="A37:C37"/>
    <mergeCell ref="D33:E33"/>
    <mergeCell ref="K33:L33"/>
    <mergeCell ref="D34:E34"/>
    <mergeCell ref="K34:L34"/>
    <mergeCell ref="A38:C38"/>
    <mergeCell ref="A39:C39"/>
    <mergeCell ref="A40:C40"/>
    <mergeCell ref="D37:E37"/>
    <mergeCell ref="K37:L37"/>
    <mergeCell ref="D38:E38"/>
    <mergeCell ref="F38:G38"/>
    <mergeCell ref="H38:I38"/>
    <mergeCell ref="K38:L38"/>
    <mergeCell ref="D40:E40"/>
    <mergeCell ref="F40:G40"/>
    <mergeCell ref="H40:I40"/>
    <mergeCell ref="K40:L40"/>
    <mergeCell ref="A43:C43"/>
    <mergeCell ref="A44:C44"/>
    <mergeCell ref="D42:E42"/>
    <mergeCell ref="F42:G42"/>
    <mergeCell ref="H42:I42"/>
    <mergeCell ref="K42:L42"/>
    <mergeCell ref="M42:N42"/>
    <mergeCell ref="D41:E41"/>
    <mergeCell ref="F41:G41"/>
    <mergeCell ref="H41:I41"/>
    <mergeCell ref="K41:L41"/>
    <mergeCell ref="M41:N41"/>
    <mergeCell ref="A41:C41"/>
    <mergeCell ref="A42:C42"/>
    <mergeCell ref="D44:E44"/>
    <mergeCell ref="F44:G44"/>
    <mergeCell ref="H44:I44"/>
    <mergeCell ref="D46:E46"/>
    <mergeCell ref="F46:G46"/>
    <mergeCell ref="H46:I46"/>
    <mergeCell ref="M46:N46"/>
    <mergeCell ref="M40:N40"/>
    <mergeCell ref="M38:N38"/>
    <mergeCell ref="D39:E39"/>
    <mergeCell ref="F39:G39"/>
    <mergeCell ref="H39:I39"/>
    <mergeCell ref="K39:L39"/>
    <mergeCell ref="M39:N39"/>
    <mergeCell ref="B52:F57"/>
    <mergeCell ref="J52:N57"/>
    <mergeCell ref="A45:C45"/>
    <mergeCell ref="D45:E45"/>
    <mergeCell ref="F45:G45"/>
    <mergeCell ref="H45:I45"/>
    <mergeCell ref="K45:L45"/>
    <mergeCell ref="M45:N45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K44:L44"/>
    <mergeCell ref="M44:N44"/>
    <mergeCell ref="D43:E43"/>
    <mergeCell ref="F43:G43"/>
    <mergeCell ref="H43:I43"/>
    <mergeCell ref="K43:L43"/>
    <mergeCell ref="M43:N43"/>
  </mergeCells>
  <conditionalFormatting sqref="D17:D45">
    <cfRule type="expression" dxfId="109" priority="1">
      <formula>#REF!="Non"</formula>
    </cfRule>
    <cfRule type="expression" dxfId="108" priority="2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BD244"/>
  <sheetViews>
    <sheetView topLeftCell="A13" zoomScale="90" zoomScaleNormal="90" workbookViewId="0">
      <selection activeCell="T39" sqref="T39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2.28515625" style="6" customWidth="1"/>
    <col min="4" max="4" width="8.42578125" style="6" customWidth="1"/>
    <col min="5" max="5" width="6.42578125" style="6" customWidth="1"/>
    <col min="6" max="6" width="5.42578125" style="6" customWidth="1"/>
    <col min="7" max="7" width="8" style="6" customWidth="1"/>
    <col min="8" max="8" width="5.85546875" style="6" customWidth="1"/>
    <col min="9" max="9" width="10" style="6" customWidth="1"/>
    <col min="10" max="10" width="14.42578125" style="6" customWidth="1"/>
    <col min="11" max="12" width="8.140625" style="6" customWidth="1"/>
    <col min="13" max="13" width="8" style="6" customWidth="1"/>
    <col min="14" max="14" width="10.42578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69</v>
      </c>
      <c r="E2" s="195"/>
      <c r="F2" s="195"/>
      <c r="G2" s="195"/>
      <c r="H2" s="195"/>
      <c r="I2" s="195"/>
      <c r="J2" s="195"/>
      <c r="K2" s="195"/>
      <c r="L2" s="251">
        <f>'Niveau 1 Mars'!L2:N4</f>
        <v>45352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6"/>
      <c r="Q3" s="4"/>
      <c r="R3" s="220"/>
      <c r="S3" s="220"/>
      <c r="T3" s="220"/>
      <c r="U3" s="36"/>
      <c r="V3" s="36"/>
      <c r="W3" s="36"/>
      <c r="X3" s="36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6"/>
      <c r="Q4" s="4"/>
      <c r="R4" s="36"/>
      <c r="S4" s="36"/>
      <c r="T4" s="36"/>
      <c r="U4" s="36"/>
      <c r="V4" s="36"/>
      <c r="W4" s="36"/>
      <c r="X4" s="36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f>+'Niveau 2 Mars'!L5:N5</f>
        <v>45356</v>
      </c>
      <c r="M5" s="222"/>
      <c r="N5" s="222"/>
      <c r="O5" s="3"/>
      <c r="P5" s="36"/>
      <c r="Q5" s="5"/>
      <c r="R5" s="220"/>
      <c r="S5" s="220"/>
      <c r="T5" s="220"/>
      <c r="U5" s="36"/>
      <c r="V5" s="36"/>
      <c r="W5" s="36"/>
      <c r="X5" s="36"/>
      <c r="Y5" s="5"/>
    </row>
    <row r="6" spans="1:25" ht="19.5" customHeight="1" x14ac:dyDescent="0.35">
      <c r="A6" s="27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40"/>
      <c r="V6" s="40"/>
      <c r="W6" s="40"/>
      <c r="X6" s="40"/>
      <c r="Y6" s="5"/>
    </row>
    <row r="7" spans="1:25" ht="19.5" customHeight="1" thickBot="1" x14ac:dyDescent="0.4">
      <c r="A7" s="111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40"/>
      <c r="V7" s="40"/>
      <c r="W7" s="40"/>
      <c r="X7" s="40"/>
      <c r="Y7" s="5"/>
    </row>
    <row r="8" spans="1:25" ht="18" customHeight="1" thickBot="1" x14ac:dyDescent="0.3">
      <c r="A8" s="8" t="s">
        <v>2</v>
      </c>
      <c r="B8" s="24"/>
      <c r="C8" s="223"/>
      <c r="D8" s="224"/>
      <c r="E8" s="224"/>
      <c r="F8" s="225"/>
      <c r="G8" s="9"/>
      <c r="H8" s="8" t="s">
        <v>26</v>
      </c>
      <c r="I8" s="8"/>
      <c r="J8" s="8"/>
      <c r="K8" s="223"/>
      <c r="L8" s="224"/>
      <c r="M8" s="224"/>
      <c r="N8" s="225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223"/>
      <c r="D10" s="224"/>
      <c r="E10" s="224"/>
      <c r="F10" s="225"/>
      <c r="G10" s="9"/>
      <c r="H10" s="8" t="s">
        <v>25</v>
      </c>
      <c r="I10" s="8"/>
      <c r="J10" s="8"/>
      <c r="K10" s="223"/>
      <c r="L10" s="224"/>
      <c r="M10" s="224"/>
      <c r="N10" s="225"/>
      <c r="O10" s="26"/>
      <c r="P10" s="26"/>
      <c r="Q10" s="26"/>
      <c r="R10" s="26"/>
      <c r="S10" s="26"/>
      <c r="T10" s="26"/>
      <c r="U10" s="11"/>
    </row>
    <row r="11" spans="1:25" ht="18" customHeight="1" thickBot="1" x14ac:dyDescent="0.35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8" customHeight="1" thickBot="1" x14ac:dyDescent="0.35">
      <c r="A12" s="8" t="s">
        <v>49</v>
      </c>
      <c r="B12" s="24"/>
      <c r="C12" s="223" t="s">
        <v>50</v>
      </c>
      <c r="D12" s="224"/>
      <c r="E12" s="224"/>
      <c r="F12" s="225"/>
      <c r="G12" s="24"/>
      <c r="H12" s="8" t="s">
        <v>52</v>
      </c>
      <c r="I12" s="8"/>
      <c r="J12" s="24"/>
      <c r="K12" s="241"/>
      <c r="L12" s="242"/>
      <c r="M12" s="8" t="s">
        <v>59</v>
      </c>
      <c r="N12" s="24"/>
      <c r="O12" s="26"/>
      <c r="P12" s="26"/>
      <c r="Q12" s="26"/>
      <c r="R12" s="26"/>
      <c r="S12" s="26"/>
      <c r="T12" s="26"/>
      <c r="U12" s="11"/>
    </row>
    <row r="13" spans="1:25" ht="18" customHeight="1" thickBot="1" x14ac:dyDescent="0.35">
      <c r="A13" s="8"/>
      <c r="B13" s="24"/>
      <c r="C13" s="24"/>
      <c r="D13" s="24"/>
      <c r="E13" s="24"/>
      <c r="F13" s="24"/>
      <c r="G13" s="24"/>
      <c r="H13" s="8" t="s">
        <v>51</v>
      </c>
      <c r="I13" s="8"/>
      <c r="J13" s="24"/>
      <c r="K13" s="260"/>
      <c r="L13" s="261"/>
      <c r="M13" s="32" t="s">
        <v>60</v>
      </c>
      <c r="N13" s="24"/>
      <c r="O13" s="26"/>
      <c r="P13" s="26"/>
      <c r="Q13" s="26"/>
      <c r="R13" s="26"/>
      <c r="S13" s="26"/>
      <c r="T13" s="26"/>
      <c r="U13" s="11"/>
    </row>
    <row r="14" spans="1:25" ht="13.5" customHeight="1" thickBot="1" x14ac:dyDescent="0.35">
      <c r="A14" s="8" t="s">
        <v>70</v>
      </c>
      <c r="B14" s="24"/>
      <c r="C14" s="24"/>
      <c r="D14" s="24"/>
      <c r="E14" s="24"/>
      <c r="F14" s="24"/>
      <c r="G14" s="9"/>
      <c r="H14" s="8"/>
      <c r="I14" s="8"/>
      <c r="J14" s="8"/>
      <c r="K14" s="8"/>
      <c r="L14" s="8"/>
      <c r="M14" s="8"/>
      <c r="N14" s="8"/>
      <c r="O14" s="26"/>
      <c r="P14" s="26"/>
      <c r="Q14" s="26"/>
      <c r="R14" s="26"/>
      <c r="S14" s="26"/>
      <c r="T14" s="26"/>
      <c r="U14" s="11"/>
    </row>
    <row r="15" spans="1:25" ht="22.5" customHeight="1" thickBot="1" x14ac:dyDescent="0.35">
      <c r="A15" s="8"/>
      <c r="B15" s="24"/>
      <c r="C15" s="10"/>
      <c r="D15" s="10"/>
      <c r="E15" s="10"/>
      <c r="F15" s="262" t="s">
        <v>28</v>
      </c>
      <c r="G15" s="263"/>
      <c r="H15" s="263"/>
      <c r="I15" s="263"/>
      <c r="J15" s="263"/>
      <c r="K15" s="263"/>
      <c r="L15" s="263"/>
      <c r="M15" s="263"/>
      <c r="N15" s="264"/>
      <c r="O15" s="26"/>
      <c r="P15" s="26"/>
      <c r="Q15" s="26"/>
      <c r="R15" s="26"/>
      <c r="S15" s="26"/>
      <c r="T15" s="26"/>
      <c r="U15" s="11"/>
    </row>
    <row r="16" spans="1:25" s="19" customFormat="1" ht="54.75" customHeight="1" x14ac:dyDescent="0.25">
      <c r="A16" s="200" t="s">
        <v>1</v>
      </c>
      <c r="B16" s="201"/>
      <c r="C16" s="202"/>
      <c r="D16" s="203" t="s">
        <v>58</v>
      </c>
      <c r="E16" s="204"/>
      <c r="F16" s="265" t="s">
        <v>29</v>
      </c>
      <c r="G16" s="265"/>
      <c r="H16" s="266" t="s">
        <v>61</v>
      </c>
      <c r="I16" s="267"/>
      <c r="J16" s="37" t="s">
        <v>63</v>
      </c>
      <c r="K16" s="268" t="s">
        <v>64</v>
      </c>
      <c r="L16" s="269"/>
      <c r="M16" s="266" t="s">
        <v>30</v>
      </c>
      <c r="N16" s="267"/>
      <c r="O16" s="26"/>
      <c r="P16" s="26"/>
      <c r="Q16" s="26"/>
      <c r="R16" s="26"/>
      <c r="S16" s="26"/>
      <c r="T16" s="26"/>
      <c r="U16" s="20"/>
      <c r="V16" s="20"/>
      <c r="W16" s="20"/>
      <c r="X16" s="21"/>
    </row>
    <row r="17" spans="1:24" s="3" customFormat="1" ht="15.75" x14ac:dyDescent="0.25">
      <c r="A17" s="191">
        <v>45327</v>
      </c>
      <c r="B17" s="286"/>
      <c r="C17" s="287"/>
      <c r="D17" s="243"/>
      <c r="E17" s="243"/>
      <c r="F17" s="244"/>
      <c r="G17" s="245"/>
      <c r="H17" s="246"/>
      <c r="I17" s="247"/>
      <c r="J17" s="100"/>
      <c r="K17" s="248"/>
      <c r="L17" s="248"/>
      <c r="M17" s="249">
        <f t="shared" ref="M17" si="0">+K17-J17</f>
        <v>0</v>
      </c>
      <c r="N17" s="250"/>
      <c r="O17" s="26"/>
      <c r="P17" s="26"/>
      <c r="Q17" s="26"/>
      <c r="R17" s="26"/>
      <c r="S17" s="26"/>
      <c r="T17" s="26"/>
      <c r="U17" s="13"/>
      <c r="V17" s="13"/>
      <c r="W17" s="13"/>
      <c r="X17" s="1"/>
    </row>
    <row r="18" spans="1:24" s="3" customFormat="1" ht="15.75" x14ac:dyDescent="0.25">
      <c r="A18" s="191">
        <v>45328</v>
      </c>
      <c r="B18" s="286"/>
      <c r="C18" s="287"/>
      <c r="D18" s="243"/>
      <c r="E18" s="243"/>
      <c r="F18" s="244"/>
      <c r="G18" s="245"/>
      <c r="H18" s="246"/>
      <c r="I18" s="247"/>
      <c r="J18" s="100"/>
      <c r="K18" s="248"/>
      <c r="L18" s="248"/>
      <c r="M18" s="249">
        <f t="shared" ref="M18:M44" si="1">+K18-J18</f>
        <v>0</v>
      </c>
      <c r="N18" s="250"/>
      <c r="P18" s="26"/>
      <c r="Q18" s="26"/>
      <c r="R18" s="26"/>
      <c r="S18" s="26"/>
      <c r="T18" s="26"/>
      <c r="U18" s="13"/>
      <c r="V18" s="13"/>
      <c r="W18" s="13"/>
      <c r="X18" s="1"/>
    </row>
    <row r="19" spans="1:24" s="3" customFormat="1" ht="15.75" x14ac:dyDescent="0.25">
      <c r="A19" s="191">
        <v>45329</v>
      </c>
      <c r="B19" s="286"/>
      <c r="C19" s="287"/>
      <c r="D19" s="243"/>
      <c r="E19" s="243"/>
      <c r="F19" s="244"/>
      <c r="G19" s="245"/>
      <c r="H19" s="246"/>
      <c r="I19" s="247"/>
      <c r="J19" s="100"/>
      <c r="K19" s="248"/>
      <c r="L19" s="248"/>
      <c r="M19" s="249">
        <f t="shared" si="1"/>
        <v>0</v>
      </c>
      <c r="N19" s="250"/>
      <c r="P19" s="26"/>
      <c r="Q19" s="26"/>
      <c r="R19" s="26"/>
      <c r="S19" s="26"/>
      <c r="T19" s="26"/>
      <c r="U19" s="26"/>
      <c r="V19" s="13"/>
      <c r="W19" s="13"/>
      <c r="X19" s="1"/>
    </row>
    <row r="20" spans="1:24" s="3" customFormat="1" x14ac:dyDescent="0.25">
      <c r="A20" s="191">
        <v>45330</v>
      </c>
      <c r="B20" s="286"/>
      <c r="C20" s="287"/>
      <c r="D20" s="243"/>
      <c r="E20" s="243"/>
      <c r="F20" s="244"/>
      <c r="G20" s="245"/>
      <c r="H20" s="246"/>
      <c r="I20" s="247"/>
      <c r="J20" s="100"/>
      <c r="K20" s="248"/>
      <c r="L20" s="248"/>
      <c r="M20" s="249">
        <f t="shared" si="1"/>
        <v>0</v>
      </c>
      <c r="N20" s="250"/>
      <c r="P20" s="12"/>
      <c r="Q20" s="12"/>
      <c r="R20" s="12"/>
      <c r="S20" s="12"/>
      <c r="T20" s="13"/>
      <c r="U20" s="13"/>
      <c r="V20" s="13"/>
      <c r="W20" s="13"/>
      <c r="X20" s="1"/>
    </row>
    <row r="21" spans="1:24" s="3" customFormat="1" x14ac:dyDescent="0.25">
      <c r="A21" s="191">
        <v>45331</v>
      </c>
      <c r="B21" s="286"/>
      <c r="C21" s="287"/>
      <c r="D21" s="243"/>
      <c r="E21" s="243"/>
      <c r="F21" s="244"/>
      <c r="G21" s="245"/>
      <c r="H21" s="246"/>
      <c r="I21" s="247"/>
      <c r="J21" s="100"/>
      <c r="K21" s="248"/>
      <c r="L21" s="248"/>
      <c r="M21" s="249">
        <f t="shared" si="1"/>
        <v>0</v>
      </c>
      <c r="N21" s="250"/>
      <c r="P21" s="12"/>
      <c r="Q21" s="12"/>
      <c r="R21" s="12"/>
      <c r="S21" s="12"/>
      <c r="T21" s="13"/>
      <c r="U21" s="13"/>
      <c r="V21" s="13"/>
      <c r="W21" s="13"/>
      <c r="X21" s="1"/>
    </row>
    <row r="22" spans="1:24" s="3" customFormat="1" x14ac:dyDescent="0.25">
      <c r="A22" s="191">
        <v>45332</v>
      </c>
      <c r="B22" s="286"/>
      <c r="C22" s="287"/>
      <c r="D22" s="243"/>
      <c r="E22" s="243"/>
      <c r="F22" s="244"/>
      <c r="G22" s="245"/>
      <c r="H22" s="246"/>
      <c r="I22" s="247"/>
      <c r="J22" s="100"/>
      <c r="K22" s="248"/>
      <c r="L22" s="248"/>
      <c r="M22" s="249">
        <f t="shared" si="1"/>
        <v>0</v>
      </c>
      <c r="N22" s="250"/>
      <c r="P22" s="12"/>
      <c r="Q22" s="12"/>
      <c r="R22" s="12"/>
      <c r="S22" s="12"/>
      <c r="T22" s="13"/>
      <c r="U22" s="13"/>
      <c r="V22" s="13"/>
      <c r="W22" s="13"/>
      <c r="X22" s="1"/>
    </row>
    <row r="23" spans="1:24" s="3" customFormat="1" x14ac:dyDescent="0.25">
      <c r="A23" s="191">
        <v>45333</v>
      </c>
      <c r="B23" s="286"/>
      <c r="C23" s="287"/>
      <c r="D23" s="243"/>
      <c r="E23" s="243"/>
      <c r="F23" s="244"/>
      <c r="G23" s="245"/>
      <c r="H23" s="246"/>
      <c r="I23" s="247"/>
      <c r="J23" s="100"/>
      <c r="K23" s="248"/>
      <c r="L23" s="248"/>
      <c r="M23" s="249">
        <f t="shared" si="1"/>
        <v>0</v>
      </c>
      <c r="N23" s="250"/>
      <c r="P23" s="12"/>
      <c r="Q23" s="12"/>
      <c r="R23" s="12"/>
      <c r="S23" s="12"/>
      <c r="T23" s="13"/>
      <c r="U23" s="13"/>
      <c r="V23" s="13"/>
      <c r="W23" s="13"/>
      <c r="X23" s="1"/>
    </row>
    <row r="24" spans="1:24" s="3" customFormat="1" x14ac:dyDescent="0.25">
      <c r="A24" s="191">
        <v>45334</v>
      </c>
      <c r="B24" s="286"/>
      <c r="C24" s="287"/>
      <c r="D24" s="243"/>
      <c r="E24" s="243"/>
      <c r="F24" s="244"/>
      <c r="G24" s="245"/>
      <c r="H24" s="246"/>
      <c r="I24" s="247"/>
      <c r="J24" s="100"/>
      <c r="K24" s="248"/>
      <c r="L24" s="248"/>
      <c r="M24" s="249">
        <f t="shared" si="1"/>
        <v>0</v>
      </c>
      <c r="N24" s="250"/>
      <c r="P24" s="12"/>
      <c r="Q24" s="12"/>
      <c r="R24" s="12"/>
      <c r="S24" s="12"/>
      <c r="T24" s="13"/>
      <c r="U24" s="13"/>
      <c r="V24" s="13"/>
      <c r="W24" s="13"/>
      <c r="X24" s="1"/>
    </row>
    <row r="25" spans="1:24" s="3" customFormat="1" x14ac:dyDescent="0.25">
      <c r="A25" s="191">
        <v>45335</v>
      </c>
      <c r="B25" s="286"/>
      <c r="C25" s="287"/>
      <c r="D25" s="243"/>
      <c r="E25" s="243"/>
      <c r="F25" s="244"/>
      <c r="G25" s="245"/>
      <c r="H25" s="246"/>
      <c r="I25" s="247"/>
      <c r="J25" s="100"/>
      <c r="K25" s="248"/>
      <c r="L25" s="248"/>
      <c r="M25" s="249">
        <f t="shared" si="1"/>
        <v>0</v>
      </c>
      <c r="N25" s="250"/>
      <c r="P25" s="12"/>
      <c r="Q25" s="12"/>
      <c r="R25" s="12"/>
      <c r="S25" s="12"/>
      <c r="T25" s="13"/>
      <c r="U25" s="13"/>
      <c r="V25" s="13"/>
      <c r="W25" s="13"/>
      <c r="X25" s="1"/>
    </row>
    <row r="26" spans="1:24" s="3" customFormat="1" x14ac:dyDescent="0.25">
      <c r="A26" s="191">
        <v>45336</v>
      </c>
      <c r="B26" s="286"/>
      <c r="C26" s="287"/>
      <c r="D26" s="243"/>
      <c r="E26" s="243"/>
      <c r="F26" s="244"/>
      <c r="G26" s="245"/>
      <c r="H26" s="246"/>
      <c r="I26" s="247"/>
      <c r="J26" s="100"/>
      <c r="K26" s="248"/>
      <c r="L26" s="248"/>
      <c r="M26" s="249">
        <f t="shared" si="1"/>
        <v>0</v>
      </c>
      <c r="N26" s="250"/>
      <c r="P26" s="12"/>
      <c r="Q26" s="12"/>
      <c r="R26" s="12"/>
      <c r="S26" s="12"/>
      <c r="T26" s="13"/>
      <c r="U26" s="13"/>
      <c r="V26" s="13"/>
      <c r="W26" s="13"/>
      <c r="X26" s="1"/>
    </row>
    <row r="27" spans="1:24" s="3" customFormat="1" x14ac:dyDescent="0.25">
      <c r="A27" s="191">
        <v>45337</v>
      </c>
      <c r="B27" s="286"/>
      <c r="C27" s="287"/>
      <c r="D27" s="243"/>
      <c r="E27" s="243"/>
      <c r="F27" s="244"/>
      <c r="G27" s="245"/>
      <c r="H27" s="246"/>
      <c r="I27" s="247"/>
      <c r="J27" s="100"/>
      <c r="K27" s="248"/>
      <c r="L27" s="248"/>
      <c r="M27" s="249">
        <f t="shared" si="1"/>
        <v>0</v>
      </c>
      <c r="N27" s="250"/>
      <c r="P27" s="12"/>
      <c r="Q27" s="15"/>
      <c r="R27" s="15"/>
      <c r="S27" s="15"/>
      <c r="T27" s="13"/>
      <c r="U27" s="13"/>
      <c r="V27" s="13"/>
      <c r="W27" s="13"/>
      <c r="X27" s="1"/>
    </row>
    <row r="28" spans="1:24" s="3" customFormat="1" x14ac:dyDescent="0.25">
      <c r="A28" s="191">
        <v>45338</v>
      </c>
      <c r="B28" s="286"/>
      <c r="C28" s="287"/>
      <c r="D28" s="243"/>
      <c r="E28" s="243"/>
      <c r="F28" s="244"/>
      <c r="G28" s="245"/>
      <c r="H28" s="246"/>
      <c r="I28" s="247"/>
      <c r="J28" s="100"/>
      <c r="K28" s="248"/>
      <c r="L28" s="248"/>
      <c r="M28" s="249">
        <f t="shared" si="1"/>
        <v>0</v>
      </c>
      <c r="N28" s="250"/>
      <c r="P28" s="12"/>
      <c r="Q28" s="15"/>
      <c r="R28" s="15"/>
      <c r="S28" s="15"/>
      <c r="T28" s="13"/>
      <c r="U28" s="13"/>
      <c r="V28" s="13"/>
      <c r="W28" s="13"/>
      <c r="X28" s="1"/>
    </row>
    <row r="29" spans="1:24" s="3" customFormat="1" x14ac:dyDescent="0.25">
      <c r="A29" s="191">
        <v>45339</v>
      </c>
      <c r="B29" s="286"/>
      <c r="C29" s="287"/>
      <c r="D29" s="243"/>
      <c r="E29" s="243"/>
      <c r="F29" s="244"/>
      <c r="G29" s="245"/>
      <c r="H29" s="246"/>
      <c r="I29" s="247"/>
      <c r="J29" s="100"/>
      <c r="K29" s="248"/>
      <c r="L29" s="248"/>
      <c r="M29" s="249">
        <f t="shared" si="1"/>
        <v>0</v>
      </c>
      <c r="N29" s="250"/>
      <c r="P29" s="12"/>
      <c r="Q29" s="15"/>
      <c r="R29" s="15"/>
      <c r="S29" s="15"/>
      <c r="T29" s="13"/>
      <c r="U29" s="13"/>
      <c r="V29" s="13"/>
      <c r="W29" s="13"/>
      <c r="X29" s="1"/>
    </row>
    <row r="30" spans="1:24" s="3" customFormat="1" x14ac:dyDescent="0.25">
      <c r="A30" s="191">
        <v>45340</v>
      </c>
      <c r="B30" s="286"/>
      <c r="C30" s="287"/>
      <c r="D30" s="243"/>
      <c r="E30" s="243"/>
      <c r="F30" s="244"/>
      <c r="G30" s="245"/>
      <c r="H30" s="246"/>
      <c r="I30" s="247"/>
      <c r="J30" s="100"/>
      <c r="K30" s="248"/>
      <c r="L30" s="248"/>
      <c r="M30" s="249">
        <f t="shared" si="1"/>
        <v>0</v>
      </c>
      <c r="N30" s="250"/>
      <c r="O30" s="1"/>
      <c r="P30" s="12"/>
      <c r="Q30" s="15"/>
      <c r="R30" s="15"/>
      <c r="S30" s="15"/>
      <c r="T30" s="13"/>
      <c r="U30" s="13"/>
      <c r="V30" s="13"/>
      <c r="W30" s="13"/>
      <c r="X30" s="1"/>
    </row>
    <row r="31" spans="1:24" s="3" customFormat="1" x14ac:dyDescent="0.25">
      <c r="A31" s="191">
        <v>45341</v>
      </c>
      <c r="B31" s="286"/>
      <c r="C31" s="287"/>
      <c r="D31" s="270"/>
      <c r="E31" s="271"/>
      <c r="F31" s="101"/>
      <c r="G31" s="102"/>
      <c r="H31" s="103"/>
      <c r="I31" s="104"/>
      <c r="J31" s="100"/>
      <c r="K31" s="249"/>
      <c r="L31" s="250"/>
      <c r="M31" s="249">
        <f t="shared" si="1"/>
        <v>0</v>
      </c>
      <c r="N31" s="250"/>
      <c r="O31" s="1"/>
      <c r="P31" s="12"/>
      <c r="Q31" s="15"/>
      <c r="R31" s="15"/>
      <c r="S31" s="15"/>
      <c r="T31" s="13"/>
      <c r="U31" s="13"/>
      <c r="V31" s="13"/>
      <c r="W31" s="13"/>
      <c r="X31" s="1"/>
    </row>
    <row r="32" spans="1:24" s="3" customFormat="1" x14ac:dyDescent="0.25">
      <c r="A32" s="191">
        <v>45342</v>
      </c>
      <c r="B32" s="286"/>
      <c r="C32" s="287"/>
      <c r="D32" s="270"/>
      <c r="E32" s="271"/>
      <c r="F32" s="101"/>
      <c r="G32" s="102"/>
      <c r="H32" s="103"/>
      <c r="I32" s="104"/>
      <c r="J32" s="100"/>
      <c r="K32" s="249"/>
      <c r="L32" s="250"/>
      <c r="M32" s="249">
        <f t="shared" si="1"/>
        <v>0</v>
      </c>
      <c r="N32" s="250"/>
      <c r="O32" s="1"/>
      <c r="P32" s="12"/>
      <c r="Q32" s="15"/>
      <c r="R32" s="15"/>
      <c r="S32" s="15"/>
      <c r="T32" s="13"/>
      <c r="U32" s="13"/>
      <c r="V32" s="13"/>
      <c r="W32" s="13"/>
      <c r="X32" s="1"/>
    </row>
    <row r="33" spans="1:25" s="3" customFormat="1" x14ac:dyDescent="0.25">
      <c r="A33" s="191">
        <v>45343</v>
      </c>
      <c r="B33" s="286"/>
      <c r="C33" s="287"/>
      <c r="D33" s="270"/>
      <c r="E33" s="271"/>
      <c r="F33" s="101"/>
      <c r="G33" s="102"/>
      <c r="H33" s="103"/>
      <c r="I33" s="104"/>
      <c r="J33" s="100"/>
      <c r="K33" s="249"/>
      <c r="L33" s="250"/>
      <c r="M33" s="249">
        <f t="shared" si="1"/>
        <v>0</v>
      </c>
      <c r="N33" s="250"/>
      <c r="O33" s="1"/>
      <c r="P33" s="12"/>
      <c r="Q33" s="15"/>
      <c r="R33" s="15"/>
      <c r="S33" s="15"/>
      <c r="T33" s="13"/>
      <c r="U33" s="13"/>
      <c r="V33" s="13"/>
      <c r="W33" s="13"/>
      <c r="X33" s="1"/>
    </row>
    <row r="34" spans="1:25" s="3" customFormat="1" x14ac:dyDescent="0.25">
      <c r="A34" s="191">
        <v>45344</v>
      </c>
      <c r="B34" s="286"/>
      <c r="C34" s="287"/>
      <c r="D34" s="270"/>
      <c r="E34" s="271"/>
      <c r="F34" s="101"/>
      <c r="G34" s="102"/>
      <c r="H34" s="103"/>
      <c r="I34" s="104"/>
      <c r="J34" s="100"/>
      <c r="K34" s="249"/>
      <c r="L34" s="250"/>
      <c r="M34" s="249">
        <f t="shared" si="1"/>
        <v>0</v>
      </c>
      <c r="N34" s="250"/>
      <c r="O34" s="1"/>
      <c r="P34" s="12"/>
      <c r="Q34" s="15"/>
      <c r="R34" s="15"/>
      <c r="S34" s="15"/>
      <c r="T34" s="13"/>
      <c r="U34" s="13"/>
      <c r="V34" s="13"/>
      <c r="W34" s="13"/>
      <c r="X34" s="1"/>
    </row>
    <row r="35" spans="1:25" s="3" customFormat="1" x14ac:dyDescent="0.25">
      <c r="A35" s="191">
        <v>45345</v>
      </c>
      <c r="B35" s="286"/>
      <c r="C35" s="287"/>
      <c r="D35" s="270"/>
      <c r="E35" s="271"/>
      <c r="F35" s="101"/>
      <c r="G35" s="102"/>
      <c r="H35" s="103"/>
      <c r="I35" s="104"/>
      <c r="J35" s="100"/>
      <c r="K35" s="249"/>
      <c r="L35" s="250"/>
      <c r="M35" s="249">
        <f t="shared" si="1"/>
        <v>0</v>
      </c>
      <c r="N35" s="250"/>
      <c r="O35" s="1"/>
      <c r="P35" s="12"/>
      <c r="Q35" s="15"/>
      <c r="R35" s="15"/>
      <c r="S35" s="15"/>
      <c r="T35" s="13"/>
      <c r="U35" s="13"/>
      <c r="V35" s="13"/>
      <c r="W35" s="13"/>
      <c r="X35" s="1"/>
    </row>
    <row r="36" spans="1:25" s="3" customFormat="1" x14ac:dyDescent="0.25">
      <c r="A36" s="191">
        <v>45346</v>
      </c>
      <c r="B36" s="286"/>
      <c r="C36" s="287"/>
      <c r="D36" s="270"/>
      <c r="E36" s="271"/>
      <c r="F36" s="101"/>
      <c r="G36" s="102"/>
      <c r="H36" s="103"/>
      <c r="I36" s="104"/>
      <c r="J36" s="100"/>
      <c r="K36" s="249"/>
      <c r="L36" s="250"/>
      <c r="M36" s="249">
        <f t="shared" si="1"/>
        <v>0</v>
      </c>
      <c r="N36" s="250"/>
      <c r="O36" s="1"/>
      <c r="P36" s="12"/>
      <c r="Q36" s="15"/>
      <c r="R36" s="15"/>
      <c r="S36" s="15"/>
      <c r="T36" s="13"/>
      <c r="U36" s="13"/>
      <c r="V36" s="13"/>
      <c r="W36" s="13"/>
      <c r="X36" s="1"/>
    </row>
    <row r="37" spans="1:25" s="3" customFormat="1" x14ac:dyDescent="0.25">
      <c r="A37" s="191">
        <v>45347</v>
      </c>
      <c r="B37" s="286"/>
      <c r="C37" s="287"/>
      <c r="D37" s="270"/>
      <c r="E37" s="271"/>
      <c r="F37" s="101"/>
      <c r="G37" s="102"/>
      <c r="H37" s="103"/>
      <c r="I37" s="104"/>
      <c r="J37" s="100"/>
      <c r="K37" s="249"/>
      <c r="L37" s="250"/>
      <c r="M37" s="249">
        <f t="shared" si="1"/>
        <v>0</v>
      </c>
      <c r="N37" s="250"/>
      <c r="O37" s="1"/>
      <c r="P37" s="12"/>
      <c r="Q37" s="15"/>
      <c r="R37" s="15"/>
      <c r="S37" s="15"/>
      <c r="T37" s="13"/>
      <c r="U37" s="13"/>
      <c r="V37" s="13"/>
      <c r="W37" s="13"/>
      <c r="X37" s="1"/>
    </row>
    <row r="38" spans="1:25" s="3" customFormat="1" x14ac:dyDescent="0.25">
      <c r="A38" s="191">
        <v>45348</v>
      </c>
      <c r="B38" s="286"/>
      <c r="C38" s="287"/>
      <c r="D38" s="243"/>
      <c r="E38" s="243"/>
      <c r="F38" s="244"/>
      <c r="G38" s="245"/>
      <c r="H38" s="246"/>
      <c r="I38" s="247"/>
      <c r="J38" s="100"/>
      <c r="K38" s="248"/>
      <c r="L38" s="248"/>
      <c r="M38" s="249">
        <f t="shared" si="1"/>
        <v>0</v>
      </c>
      <c r="N38" s="250"/>
      <c r="P38" s="12"/>
      <c r="Q38" s="15"/>
      <c r="R38" s="15"/>
      <c r="S38" s="15"/>
      <c r="T38" s="13"/>
      <c r="U38" s="13"/>
      <c r="V38" s="13"/>
      <c r="W38" s="13"/>
      <c r="X38" s="1"/>
    </row>
    <row r="39" spans="1:25" s="3" customFormat="1" x14ac:dyDescent="0.25">
      <c r="A39" s="191">
        <v>45349</v>
      </c>
      <c r="B39" s="286"/>
      <c r="C39" s="287"/>
      <c r="D39" s="243"/>
      <c r="E39" s="243"/>
      <c r="F39" s="244"/>
      <c r="G39" s="245"/>
      <c r="H39" s="246"/>
      <c r="I39" s="247"/>
      <c r="J39" s="100"/>
      <c r="K39" s="248"/>
      <c r="L39" s="248"/>
      <c r="M39" s="249">
        <f t="shared" si="1"/>
        <v>0</v>
      </c>
      <c r="N39" s="250"/>
      <c r="P39" s="12"/>
      <c r="Q39" s="15"/>
      <c r="R39" s="15"/>
      <c r="S39" s="15"/>
      <c r="T39" s="13"/>
      <c r="U39" s="13"/>
      <c r="V39" s="13"/>
      <c r="W39" s="13"/>
      <c r="X39" s="1"/>
    </row>
    <row r="40" spans="1:25" s="3" customFormat="1" x14ac:dyDescent="0.25">
      <c r="A40" s="191">
        <v>45350</v>
      </c>
      <c r="B40" s="286"/>
      <c r="C40" s="287"/>
      <c r="D40" s="243"/>
      <c r="E40" s="243"/>
      <c r="F40" s="244"/>
      <c r="G40" s="245"/>
      <c r="H40" s="246"/>
      <c r="I40" s="247"/>
      <c r="J40" s="100"/>
      <c r="K40" s="248"/>
      <c r="L40" s="248"/>
      <c r="M40" s="249">
        <f t="shared" si="1"/>
        <v>0</v>
      </c>
      <c r="N40" s="250"/>
      <c r="P40" s="12"/>
      <c r="Q40" s="15"/>
      <c r="R40" s="15"/>
      <c r="S40" s="15"/>
      <c r="T40" s="13"/>
      <c r="U40" s="13"/>
      <c r="V40" s="13"/>
      <c r="W40" s="13"/>
      <c r="X40" s="1"/>
    </row>
    <row r="41" spans="1:25" s="3" customFormat="1" x14ac:dyDescent="0.25">
      <c r="A41" s="191">
        <v>45351</v>
      </c>
      <c r="B41" s="286"/>
      <c r="C41" s="287"/>
      <c r="D41" s="243"/>
      <c r="E41" s="243"/>
      <c r="F41" s="244"/>
      <c r="G41" s="245"/>
      <c r="H41" s="246"/>
      <c r="I41" s="247"/>
      <c r="J41" s="100"/>
      <c r="K41" s="248"/>
      <c r="L41" s="248"/>
      <c r="M41" s="249">
        <f t="shared" si="1"/>
        <v>0</v>
      </c>
      <c r="N41" s="250"/>
      <c r="P41" s="12"/>
      <c r="Q41" s="15"/>
      <c r="R41" s="15"/>
      <c r="S41" s="15"/>
      <c r="T41" s="13"/>
      <c r="U41" s="13"/>
      <c r="V41" s="13"/>
      <c r="W41" s="13"/>
      <c r="X41" s="1"/>
    </row>
    <row r="42" spans="1:25" s="3" customFormat="1" x14ac:dyDescent="0.25">
      <c r="A42" s="191">
        <v>45352</v>
      </c>
      <c r="B42" s="286"/>
      <c r="C42" s="287"/>
      <c r="D42" s="243"/>
      <c r="E42" s="243"/>
      <c r="F42" s="244"/>
      <c r="G42" s="245"/>
      <c r="H42" s="246"/>
      <c r="I42" s="247"/>
      <c r="J42" s="100"/>
      <c r="K42" s="248"/>
      <c r="L42" s="248"/>
      <c r="M42" s="249">
        <f t="shared" si="1"/>
        <v>0</v>
      </c>
      <c r="N42" s="250"/>
      <c r="P42" s="12"/>
      <c r="Q42" s="15"/>
      <c r="R42" s="15"/>
      <c r="S42" s="15"/>
      <c r="T42" s="13"/>
      <c r="U42" s="13"/>
      <c r="V42" s="13"/>
      <c r="W42" s="13"/>
      <c r="X42" s="1"/>
    </row>
    <row r="43" spans="1:25" s="3" customFormat="1" x14ac:dyDescent="0.25">
      <c r="A43" s="191">
        <v>45353</v>
      </c>
      <c r="B43" s="286"/>
      <c r="C43" s="287"/>
      <c r="D43" s="243"/>
      <c r="E43" s="243"/>
      <c r="F43" s="244"/>
      <c r="G43" s="245"/>
      <c r="H43" s="246"/>
      <c r="I43" s="247"/>
      <c r="J43" s="100"/>
      <c r="K43" s="248"/>
      <c r="L43" s="248"/>
      <c r="M43" s="249">
        <f t="shared" si="1"/>
        <v>0</v>
      </c>
      <c r="N43" s="250"/>
      <c r="P43" s="12"/>
      <c r="Q43" s="15"/>
      <c r="R43" s="15"/>
      <c r="S43" s="15"/>
      <c r="T43" s="13"/>
      <c r="U43" s="13"/>
      <c r="V43" s="13"/>
      <c r="W43" s="13"/>
      <c r="X43" s="1"/>
    </row>
    <row r="44" spans="1:25" s="3" customFormat="1" x14ac:dyDescent="0.25">
      <c r="A44" s="191">
        <v>45354</v>
      </c>
      <c r="B44" s="286"/>
      <c r="C44" s="287"/>
      <c r="D44" s="270"/>
      <c r="E44" s="298"/>
      <c r="F44" s="101"/>
      <c r="G44" s="102"/>
      <c r="H44" s="103"/>
      <c r="I44" s="104"/>
      <c r="J44" s="100"/>
      <c r="K44" s="299"/>
      <c r="L44" s="300"/>
      <c r="M44" s="249">
        <f t="shared" si="1"/>
        <v>0</v>
      </c>
      <c r="N44" s="250"/>
      <c r="P44" s="12"/>
      <c r="Q44" s="15"/>
      <c r="R44" s="15"/>
      <c r="S44" s="15"/>
      <c r="T44" s="13"/>
      <c r="U44" s="13"/>
      <c r="V44" s="13"/>
      <c r="W44" s="13"/>
      <c r="X44" s="1"/>
    </row>
    <row r="45" spans="1:25" s="3" customFormat="1" ht="15.75" x14ac:dyDescent="0.25">
      <c r="A45" s="231" t="s">
        <v>21</v>
      </c>
      <c r="B45" s="232"/>
      <c r="C45" s="233"/>
      <c r="D45" s="278">
        <f>+COUNTA(D17:E44)</f>
        <v>0</v>
      </c>
      <c r="E45" s="279"/>
      <c r="F45" s="280">
        <f>+COUNTA(F17:G44)</f>
        <v>0</v>
      </c>
      <c r="G45" s="281"/>
      <c r="H45" s="282">
        <f>SUM(H17:I44)</f>
        <v>0</v>
      </c>
      <c r="I45" s="282"/>
      <c r="J45" s="107"/>
      <c r="K45" s="283"/>
      <c r="L45" s="283"/>
      <c r="M45" s="284">
        <f>+SUM(M17:O44)</f>
        <v>0</v>
      </c>
      <c r="N45" s="285"/>
      <c r="P45" s="12"/>
      <c r="Q45" s="12"/>
      <c r="R45" s="12"/>
      <c r="S45" s="12"/>
      <c r="T45" s="13"/>
      <c r="U45" s="13"/>
      <c r="V45" s="13"/>
      <c r="W45" s="13"/>
      <c r="X45" s="1"/>
    </row>
    <row r="46" spans="1:25" s="3" customFormat="1" x14ac:dyDescent="0.25">
      <c r="A46" s="12"/>
      <c r="B46" s="12"/>
      <c r="C46" s="12"/>
      <c r="D46" s="272" t="s">
        <v>65</v>
      </c>
      <c r="E46" s="273"/>
      <c r="F46" s="274" t="s">
        <v>24</v>
      </c>
      <c r="G46" s="274"/>
      <c r="H46" s="275" t="s">
        <v>62</v>
      </c>
      <c r="I46" s="275"/>
      <c r="K46" s="12"/>
      <c r="L46" s="12"/>
      <c r="M46" s="276" t="s">
        <v>66</v>
      </c>
      <c r="N46" s="277"/>
      <c r="O46" s="12"/>
      <c r="P46" s="12"/>
      <c r="Q46" s="12"/>
      <c r="R46" s="12"/>
      <c r="S46" s="12"/>
      <c r="T46" s="13"/>
      <c r="U46" s="13"/>
      <c r="V46" s="13"/>
      <c r="W46" s="13"/>
      <c r="X46" s="1"/>
    </row>
    <row r="47" spans="1:25" s="3" customFormat="1" x14ac:dyDescent="0.25">
      <c r="K47" s="12"/>
      <c r="L47" s="12"/>
      <c r="M47" s="12"/>
      <c r="N47" s="12"/>
      <c r="O47" s="12"/>
      <c r="P47" s="12"/>
      <c r="U47" s="1"/>
      <c r="V47" s="1"/>
      <c r="W47" s="1"/>
      <c r="X47" s="1"/>
      <c r="Y47" s="1"/>
    </row>
    <row r="48" spans="1:25" s="3" customFormat="1" x14ac:dyDescent="0.25">
      <c r="A48" s="28" t="s">
        <v>23</v>
      </c>
      <c r="J48" s="28" t="s">
        <v>27</v>
      </c>
      <c r="N48" s="39"/>
      <c r="P48" s="12"/>
      <c r="U48" s="1"/>
      <c r="V48" s="1"/>
      <c r="W48" s="1"/>
      <c r="X48" s="1"/>
      <c r="Y48" s="1"/>
    </row>
    <row r="49" spans="1:25" s="3" customFormat="1" x14ac:dyDescent="0.25">
      <c r="J49" s="28" t="s">
        <v>31</v>
      </c>
      <c r="N49" s="39"/>
      <c r="P49" s="12"/>
      <c r="U49" s="1"/>
      <c r="V49" s="1"/>
      <c r="W49" s="1"/>
      <c r="X49" s="1"/>
      <c r="Y49" s="1"/>
    </row>
    <row r="50" spans="1:25" s="3" customFormat="1" x14ac:dyDescent="0.25">
      <c r="A50" s="29" t="s">
        <v>20</v>
      </c>
      <c r="B50" s="30"/>
      <c r="C50" s="29"/>
      <c r="D50" s="29"/>
      <c r="E50" s="16"/>
      <c r="H50" s="18"/>
      <c r="P50" s="12"/>
      <c r="U50" s="1"/>
      <c r="V50" s="1"/>
      <c r="W50" s="1"/>
      <c r="X50" s="1"/>
      <c r="Y50" s="1"/>
    </row>
    <row r="51" spans="1:25" s="3" customFormat="1" x14ac:dyDescent="0.25">
      <c r="A51" s="29" t="s">
        <v>7</v>
      </c>
      <c r="B51" s="30"/>
      <c r="C51" s="31">
        <f ca="1">TODAY()</f>
        <v>45320</v>
      </c>
      <c r="D51" s="29"/>
      <c r="E51" s="16"/>
      <c r="J51" s="28" t="s">
        <v>22</v>
      </c>
      <c r="P51" s="12"/>
      <c r="U51" s="1"/>
      <c r="V51" s="1"/>
      <c r="W51" s="1"/>
      <c r="X51" s="1"/>
      <c r="Y51" s="1"/>
    </row>
    <row r="52" spans="1:25" s="3" customFormat="1" x14ac:dyDescent="0.25">
      <c r="A52" s="28"/>
      <c r="B52" s="240" t="s">
        <v>47</v>
      </c>
      <c r="C52" s="240"/>
      <c r="D52" s="240"/>
      <c r="E52" s="240"/>
      <c r="F52" s="240"/>
      <c r="J52" s="240" t="s">
        <v>48</v>
      </c>
      <c r="K52" s="240"/>
      <c r="L52" s="240"/>
      <c r="M52" s="240"/>
      <c r="N52" s="240"/>
      <c r="U52" s="1"/>
      <c r="V52" s="1"/>
      <c r="W52" s="1"/>
      <c r="X52" s="1"/>
      <c r="Y52" s="1"/>
    </row>
    <row r="53" spans="1:25" s="3" customFormat="1" x14ac:dyDescent="0.25">
      <c r="B53" s="240"/>
      <c r="C53" s="240"/>
      <c r="D53" s="240"/>
      <c r="E53" s="240"/>
      <c r="F53" s="240"/>
      <c r="J53" s="240"/>
      <c r="K53" s="240"/>
      <c r="L53" s="240"/>
      <c r="M53" s="240"/>
      <c r="N53" s="240"/>
      <c r="U53" s="1"/>
      <c r="V53" s="1"/>
      <c r="W53" s="1"/>
      <c r="X53" s="1"/>
      <c r="Y53" s="1"/>
    </row>
    <row r="54" spans="1:25" s="3" customFormat="1" x14ac:dyDescent="0.25">
      <c r="B54" s="240"/>
      <c r="C54" s="240"/>
      <c r="D54" s="240"/>
      <c r="E54" s="240"/>
      <c r="F54" s="240"/>
      <c r="J54" s="240"/>
      <c r="K54" s="240"/>
      <c r="L54" s="240"/>
      <c r="M54" s="240"/>
      <c r="N54" s="240"/>
      <c r="U54" s="1"/>
      <c r="V54" s="1"/>
      <c r="W54" s="1"/>
      <c r="X54" s="1"/>
      <c r="Y54" s="1"/>
    </row>
    <row r="55" spans="1:25" s="3" customFormat="1" x14ac:dyDescent="0.25">
      <c r="B55" s="240"/>
      <c r="C55" s="240"/>
      <c r="D55" s="240"/>
      <c r="E55" s="240"/>
      <c r="F55" s="240"/>
      <c r="J55" s="240"/>
      <c r="K55" s="240"/>
      <c r="L55" s="240"/>
      <c r="M55" s="240"/>
      <c r="N55" s="240"/>
      <c r="U55" s="1"/>
      <c r="V55" s="1"/>
      <c r="W55" s="1"/>
      <c r="X55" s="1"/>
      <c r="Y55" s="1"/>
    </row>
    <row r="56" spans="1:25" s="3" customFormat="1" x14ac:dyDescent="0.25">
      <c r="B56" s="240"/>
      <c r="C56" s="240"/>
      <c r="D56" s="240"/>
      <c r="E56" s="240"/>
      <c r="F56" s="240"/>
      <c r="J56" s="240"/>
      <c r="K56" s="240"/>
      <c r="L56" s="240"/>
      <c r="M56" s="240"/>
      <c r="N56" s="240"/>
      <c r="U56" s="1"/>
      <c r="V56" s="1"/>
      <c r="W56" s="1"/>
      <c r="X56" s="1"/>
      <c r="Y56" s="1"/>
    </row>
    <row r="57" spans="1:25" s="3" customFormat="1" x14ac:dyDescent="0.25">
      <c r="B57" s="240"/>
      <c r="C57" s="240"/>
      <c r="D57" s="240"/>
      <c r="E57" s="240"/>
      <c r="F57" s="240"/>
      <c r="J57" s="240"/>
      <c r="K57" s="240"/>
      <c r="L57" s="240"/>
      <c r="M57" s="240"/>
      <c r="N57" s="240"/>
      <c r="U57" s="1"/>
      <c r="V57" s="1"/>
      <c r="W57" s="1"/>
      <c r="X57" s="1"/>
      <c r="Y57" s="1"/>
    </row>
    <row r="58" spans="1:25" s="3" customFormat="1" x14ac:dyDescent="0.25">
      <c r="A58" s="3" t="s">
        <v>46</v>
      </c>
      <c r="B58" s="23"/>
      <c r="J58" s="3" t="s">
        <v>39</v>
      </c>
      <c r="U58" s="1"/>
      <c r="V58" s="1"/>
      <c r="W58" s="1"/>
      <c r="X58" s="1"/>
      <c r="Y58" s="1"/>
    </row>
    <row r="59" spans="1:25" s="3" customFormat="1" x14ac:dyDescent="0.25">
      <c r="B59" s="23"/>
      <c r="U59" s="1"/>
      <c r="V59" s="1"/>
      <c r="W59" s="1"/>
      <c r="X59" s="1"/>
      <c r="Y59" s="1"/>
    </row>
    <row r="60" spans="1:25" s="3" customFormat="1" x14ac:dyDescent="0.25">
      <c r="B60" s="23"/>
      <c r="U60" s="1"/>
      <c r="V60" s="1"/>
      <c r="W60" s="1"/>
      <c r="X60" s="1"/>
      <c r="Y60" s="1"/>
    </row>
    <row r="61" spans="1:25" s="3" customFormat="1" x14ac:dyDescent="0.25">
      <c r="A61" s="29"/>
      <c r="B61" s="23"/>
      <c r="D61" s="29"/>
      <c r="U61" s="1"/>
      <c r="V61" s="1"/>
      <c r="W61" s="1"/>
      <c r="X61" s="1"/>
      <c r="Y61" s="1"/>
    </row>
    <row r="62" spans="1:25" s="3" customFormat="1" x14ac:dyDescent="0.25">
      <c r="U62" s="1"/>
      <c r="V62" s="1"/>
      <c r="W62" s="1"/>
      <c r="X62" s="1"/>
      <c r="Y62" s="1"/>
    </row>
    <row r="63" spans="1:25" s="3" customFormat="1" x14ac:dyDescent="0.25">
      <c r="B63" s="23"/>
      <c r="U63" s="1"/>
      <c r="V63" s="1"/>
      <c r="W63" s="1"/>
      <c r="X63" s="1"/>
      <c r="Y63" s="1"/>
    </row>
    <row r="64" spans="1:25" s="3" customFormat="1" x14ac:dyDescent="0.25">
      <c r="B64" s="23"/>
      <c r="U64" s="1"/>
      <c r="V64" s="1"/>
      <c r="W64" s="1"/>
      <c r="X64" s="1"/>
      <c r="Y64" s="1"/>
    </row>
    <row r="65" spans="2:25" s="3" customFormat="1" x14ac:dyDescent="0.25">
      <c r="B65" s="23"/>
      <c r="U65" s="1"/>
      <c r="V65" s="1"/>
      <c r="W65" s="1"/>
      <c r="X65" s="1"/>
      <c r="Y65" s="1"/>
    </row>
    <row r="66" spans="2:25" s="3" customFormat="1" x14ac:dyDescent="0.25">
      <c r="B66" s="23"/>
      <c r="U66" s="1"/>
      <c r="V66" s="1"/>
      <c r="W66" s="1"/>
      <c r="X66" s="1"/>
      <c r="Y66" s="1"/>
    </row>
    <row r="67" spans="2:25" s="3" customFormat="1" x14ac:dyDescent="0.25">
      <c r="B67" s="23"/>
      <c r="U67" s="1"/>
      <c r="V67" s="1"/>
      <c r="W67" s="1"/>
      <c r="X67" s="1"/>
      <c r="Y67" s="1"/>
    </row>
    <row r="68" spans="2:25" s="3" customFormat="1" x14ac:dyDescent="0.25">
      <c r="B68" s="23"/>
      <c r="U68" s="1"/>
      <c r="V68" s="1"/>
      <c r="W68" s="1"/>
      <c r="X68" s="1"/>
      <c r="Y68" s="1"/>
    </row>
    <row r="69" spans="2:25" s="3" customFormat="1" x14ac:dyDescent="0.25">
      <c r="B69" s="23"/>
      <c r="U69" s="1"/>
      <c r="V69" s="1"/>
      <c r="W69" s="1"/>
      <c r="X69" s="1"/>
      <c r="Y69" s="1"/>
    </row>
    <row r="70" spans="2:25" s="3" customFormat="1" x14ac:dyDescent="0.25">
      <c r="B70" s="23"/>
      <c r="U70" s="1"/>
      <c r="V70" s="1"/>
      <c r="W70" s="1"/>
      <c r="X70" s="1"/>
      <c r="Y70" s="1"/>
    </row>
    <row r="71" spans="2:25" s="3" customFormat="1" x14ac:dyDescent="0.25">
      <c r="B71" s="23"/>
      <c r="U71" s="1"/>
      <c r="V71" s="1"/>
      <c r="W71" s="1"/>
      <c r="X71" s="1"/>
      <c r="Y71" s="1"/>
    </row>
    <row r="72" spans="2:25" s="3" customFormat="1" x14ac:dyDescent="0.25">
      <c r="B72" s="23"/>
      <c r="U72" s="1"/>
      <c r="V72" s="1"/>
      <c r="W72" s="1"/>
      <c r="X72" s="1"/>
      <c r="Y72" s="1"/>
    </row>
    <row r="73" spans="2:25" s="3" customFormat="1" x14ac:dyDescent="0.25">
      <c r="B73" s="23"/>
      <c r="U73" s="1"/>
      <c r="V73" s="1"/>
      <c r="W73" s="1"/>
      <c r="X73" s="1"/>
      <c r="Y73" s="1"/>
    </row>
    <row r="74" spans="2:25" s="3" customFormat="1" x14ac:dyDescent="0.25">
      <c r="B74" s="23"/>
      <c r="U74" s="1"/>
      <c r="V74" s="1"/>
      <c r="W74" s="1"/>
      <c r="X74" s="1"/>
      <c r="Y74" s="1"/>
    </row>
    <row r="75" spans="2:25" s="3" customFormat="1" x14ac:dyDescent="0.25">
      <c r="B75" s="23"/>
      <c r="U75" s="1"/>
      <c r="V75" s="1"/>
      <c r="W75" s="1"/>
      <c r="X75" s="1"/>
      <c r="Y75" s="1"/>
    </row>
    <row r="76" spans="2:25" s="3" customFormat="1" x14ac:dyDescent="0.25">
      <c r="B76" s="23"/>
      <c r="U76" s="1"/>
      <c r="V76" s="1"/>
      <c r="W76" s="1"/>
      <c r="X76" s="1"/>
      <c r="Y76" s="1"/>
    </row>
    <row r="77" spans="2:25" s="3" customFormat="1" x14ac:dyDescent="0.25">
      <c r="B77" s="23"/>
      <c r="U77" s="1"/>
      <c r="V77" s="1"/>
      <c r="W77" s="1"/>
      <c r="X77" s="1"/>
      <c r="Y77" s="1"/>
    </row>
    <row r="78" spans="2:25" s="3" customFormat="1" x14ac:dyDescent="0.25">
      <c r="B78" s="23"/>
      <c r="U78" s="1"/>
      <c r="V78" s="1"/>
      <c r="W78" s="1"/>
      <c r="X78" s="1"/>
      <c r="Y78" s="1"/>
    </row>
    <row r="79" spans="2:25" s="3" customFormat="1" x14ac:dyDescent="0.25">
      <c r="B79" s="23"/>
      <c r="U79" s="1"/>
      <c r="V79" s="1"/>
      <c r="W79" s="1"/>
      <c r="X79" s="1"/>
      <c r="Y79" s="1"/>
    </row>
    <row r="80" spans="2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2:25" s="3" customFormat="1" x14ac:dyDescent="0.25">
      <c r="B225" s="23"/>
      <c r="U225" s="1"/>
      <c r="V225" s="1"/>
      <c r="W225" s="1"/>
      <c r="X225" s="1"/>
      <c r="Y225" s="1"/>
    </row>
    <row r="226" spans="2:25" s="3" customFormat="1" x14ac:dyDescent="0.25">
      <c r="B226" s="23"/>
      <c r="U226" s="1"/>
      <c r="V226" s="1"/>
      <c r="W226" s="1"/>
      <c r="X226" s="1"/>
      <c r="Y226" s="1"/>
    </row>
    <row r="227" spans="2:25" s="3" customFormat="1" x14ac:dyDescent="0.25">
      <c r="B227" s="23"/>
      <c r="U227" s="1"/>
      <c r="V227" s="1"/>
      <c r="W227" s="1"/>
      <c r="X227" s="1"/>
      <c r="Y227" s="1"/>
    </row>
    <row r="228" spans="2:25" s="3" customFormat="1" x14ac:dyDescent="0.25">
      <c r="B228" s="23"/>
      <c r="U228" s="1"/>
      <c r="V228" s="1"/>
      <c r="W228" s="1"/>
      <c r="X228" s="1"/>
      <c r="Y228" s="1"/>
    </row>
    <row r="229" spans="2:25" s="3" customFormat="1" x14ac:dyDescent="0.25">
      <c r="B229" s="23"/>
      <c r="U229" s="1"/>
      <c r="V229" s="1"/>
      <c r="W229" s="1"/>
      <c r="X229" s="1"/>
      <c r="Y229" s="1"/>
    </row>
    <row r="230" spans="2:25" s="3" customFormat="1" x14ac:dyDescent="0.25">
      <c r="B230" s="23"/>
      <c r="U230" s="1"/>
      <c r="V230" s="1"/>
      <c r="W230" s="1"/>
      <c r="X230" s="1"/>
      <c r="Y230" s="1"/>
    </row>
    <row r="231" spans="2:25" s="3" customFormat="1" x14ac:dyDescent="0.25">
      <c r="B231" s="23"/>
      <c r="U231" s="1"/>
      <c r="V231" s="1"/>
      <c r="W231" s="1"/>
      <c r="X231" s="1"/>
      <c r="Y231" s="1"/>
    </row>
    <row r="232" spans="2:25" s="3" customFormat="1" x14ac:dyDescent="0.25">
      <c r="B232" s="23"/>
      <c r="U232" s="1"/>
      <c r="V232" s="1"/>
      <c r="W232" s="1"/>
      <c r="X232" s="1"/>
      <c r="Y232" s="1"/>
    </row>
    <row r="233" spans="2:25" s="3" customFormat="1" x14ac:dyDescent="0.25">
      <c r="B233" s="23"/>
      <c r="U233" s="1"/>
      <c r="V233" s="1"/>
      <c r="W233" s="1"/>
      <c r="X233" s="1"/>
      <c r="Y233" s="1"/>
    </row>
    <row r="234" spans="2:25" s="3" customFormat="1" x14ac:dyDescent="0.25">
      <c r="B234" s="23"/>
      <c r="U234" s="1"/>
      <c r="V234" s="1"/>
      <c r="W234" s="1"/>
      <c r="X234" s="1"/>
      <c r="Y234" s="1"/>
    </row>
    <row r="235" spans="2:25" s="3" customFormat="1" x14ac:dyDescent="0.25">
      <c r="B235" s="23"/>
      <c r="K235" s="6"/>
      <c r="L235" s="6"/>
      <c r="M235" s="6"/>
      <c r="N235" s="6"/>
      <c r="U235" s="1"/>
      <c r="V235" s="1"/>
      <c r="W235" s="1"/>
      <c r="X235" s="1"/>
      <c r="Y235" s="1"/>
    </row>
    <row r="236" spans="2:25" s="3" customFormat="1" x14ac:dyDescent="0.25">
      <c r="B236" s="23"/>
      <c r="K236" s="6"/>
      <c r="L236" s="6"/>
      <c r="M236" s="6"/>
      <c r="N236" s="6"/>
      <c r="U236" s="1"/>
      <c r="V236" s="1"/>
      <c r="W236" s="1"/>
      <c r="X236" s="1"/>
      <c r="Y236" s="1"/>
    </row>
    <row r="237" spans="2:25" s="3" customFormat="1" x14ac:dyDescent="0.25">
      <c r="B237" s="23"/>
      <c r="K237" s="6"/>
      <c r="L237" s="6"/>
      <c r="M237" s="6"/>
      <c r="N237" s="6"/>
      <c r="U237" s="1"/>
      <c r="V237" s="1"/>
      <c r="W237" s="1"/>
      <c r="X237" s="1"/>
      <c r="Y237" s="1"/>
    </row>
    <row r="238" spans="2:25" s="3" customFormat="1" x14ac:dyDescent="0.25">
      <c r="B238" s="23"/>
      <c r="J238" s="6"/>
      <c r="K238" s="6"/>
      <c r="L238" s="6"/>
      <c r="M238" s="6"/>
      <c r="N238" s="6"/>
      <c r="U238" s="1"/>
      <c r="V238" s="1"/>
      <c r="W238" s="1"/>
      <c r="X238" s="1"/>
      <c r="Y238" s="1"/>
    </row>
    <row r="239" spans="2:25" s="3" customFormat="1" x14ac:dyDescent="0.25">
      <c r="B239" s="23"/>
      <c r="J239" s="6"/>
      <c r="K239" s="6"/>
      <c r="L239" s="6"/>
      <c r="M239" s="6"/>
      <c r="N239" s="6"/>
      <c r="U239" s="1"/>
      <c r="V239" s="1"/>
      <c r="W239" s="1"/>
      <c r="X239" s="1"/>
      <c r="Y239" s="1"/>
    </row>
    <row r="240" spans="2:25" s="3" customFormat="1" x14ac:dyDescent="0.25">
      <c r="B240" s="23"/>
      <c r="J240" s="6"/>
      <c r="K240" s="6"/>
      <c r="L240" s="6"/>
      <c r="M240" s="6"/>
      <c r="N240" s="6"/>
      <c r="U240" s="1"/>
      <c r="V240" s="1"/>
      <c r="W240" s="1"/>
      <c r="X240" s="1"/>
      <c r="Y240" s="1"/>
    </row>
    <row r="241" spans="1:25" s="3" customFormat="1" x14ac:dyDescent="0.25">
      <c r="B241" s="23"/>
      <c r="J241" s="6"/>
      <c r="K241" s="6"/>
      <c r="L241" s="6"/>
      <c r="M241" s="6"/>
      <c r="N241" s="6"/>
      <c r="U241" s="1"/>
      <c r="V241" s="1"/>
      <c r="W241" s="1"/>
      <c r="X241" s="1"/>
      <c r="Y241" s="1"/>
    </row>
    <row r="242" spans="1:25" s="3" customFormat="1" x14ac:dyDescent="0.25">
      <c r="B242" s="23"/>
      <c r="J242" s="6"/>
      <c r="K242" s="6"/>
      <c r="L242" s="6"/>
      <c r="M242" s="6"/>
      <c r="N242" s="6"/>
      <c r="O242" s="6"/>
      <c r="U242" s="1"/>
      <c r="V242" s="1"/>
      <c r="W242" s="1"/>
      <c r="X242" s="1"/>
      <c r="Y242" s="1"/>
    </row>
    <row r="243" spans="1:25" s="3" customFormat="1" x14ac:dyDescent="0.25">
      <c r="B243" s="23"/>
      <c r="J243" s="6"/>
      <c r="K243" s="6"/>
      <c r="L243" s="6"/>
      <c r="M243" s="6"/>
      <c r="N243" s="6"/>
      <c r="O243" s="6"/>
      <c r="U243" s="1"/>
      <c r="V243" s="1"/>
      <c r="W243" s="1"/>
      <c r="X243" s="1"/>
      <c r="Y243" s="1"/>
    </row>
    <row r="244" spans="1:25" s="3" customFormat="1" x14ac:dyDescent="0.25">
      <c r="A244" s="6"/>
      <c r="B244" s="25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Q244" s="6"/>
      <c r="R244" s="6"/>
      <c r="S244" s="6"/>
      <c r="U244" s="1"/>
      <c r="V244" s="1"/>
      <c r="W244" s="1"/>
      <c r="X244" s="1"/>
      <c r="Y244" s="1"/>
    </row>
  </sheetData>
  <sheetProtection sheet="1" objects="1" scenarios="1"/>
  <mergeCells count="184">
    <mergeCell ref="M31:N31"/>
    <mergeCell ref="M32:N32"/>
    <mergeCell ref="M33:N33"/>
    <mergeCell ref="M34:N34"/>
    <mergeCell ref="M35:N35"/>
    <mergeCell ref="M36:N36"/>
    <mergeCell ref="M37:N37"/>
    <mergeCell ref="M44:N44"/>
    <mergeCell ref="D2:K4"/>
    <mergeCell ref="L2:N4"/>
    <mergeCell ref="M18:N18"/>
    <mergeCell ref="D17:E17"/>
    <mergeCell ref="F17:G17"/>
    <mergeCell ref="H17:I17"/>
    <mergeCell ref="K17:L17"/>
    <mergeCell ref="M17:N17"/>
    <mergeCell ref="D18:E18"/>
    <mergeCell ref="F18:G18"/>
    <mergeCell ref="M20:N20"/>
    <mergeCell ref="M19:N19"/>
    <mergeCell ref="M22:N22"/>
    <mergeCell ref="M21:N21"/>
    <mergeCell ref="M28:N28"/>
    <mergeCell ref="D27:E27"/>
    <mergeCell ref="R3:T3"/>
    <mergeCell ref="B5:K5"/>
    <mergeCell ref="L5:N5"/>
    <mergeCell ref="R5:T5"/>
    <mergeCell ref="K13:L13"/>
    <mergeCell ref="F15:N15"/>
    <mergeCell ref="A16:C16"/>
    <mergeCell ref="D16:E16"/>
    <mergeCell ref="F16:G16"/>
    <mergeCell ref="H16:I16"/>
    <mergeCell ref="K16:L16"/>
    <mergeCell ref="M16:N16"/>
    <mergeCell ref="C8:F8"/>
    <mergeCell ref="K8:N8"/>
    <mergeCell ref="C10:F10"/>
    <mergeCell ref="K10:N10"/>
    <mergeCell ref="C12:F12"/>
    <mergeCell ref="K12:L12"/>
    <mergeCell ref="A21:C21"/>
    <mergeCell ref="A17:C17"/>
    <mergeCell ref="A18:C18"/>
    <mergeCell ref="H18:I18"/>
    <mergeCell ref="K18:L18"/>
    <mergeCell ref="A22:C22"/>
    <mergeCell ref="D20:E20"/>
    <mergeCell ref="F20:G20"/>
    <mergeCell ref="H20:I20"/>
    <mergeCell ref="K20:L20"/>
    <mergeCell ref="D19:E19"/>
    <mergeCell ref="F19:G19"/>
    <mergeCell ref="H19:I19"/>
    <mergeCell ref="K19:L19"/>
    <mergeCell ref="A19:C19"/>
    <mergeCell ref="A20:C20"/>
    <mergeCell ref="D22:E22"/>
    <mergeCell ref="F22:G22"/>
    <mergeCell ref="H22:I22"/>
    <mergeCell ref="K22:L22"/>
    <mergeCell ref="D21:E21"/>
    <mergeCell ref="F21:G21"/>
    <mergeCell ref="H21:I21"/>
    <mergeCell ref="K21:L21"/>
    <mergeCell ref="A25:C25"/>
    <mergeCell ref="A26:C26"/>
    <mergeCell ref="D24:E24"/>
    <mergeCell ref="F24:G24"/>
    <mergeCell ref="H24:I24"/>
    <mergeCell ref="K24:L24"/>
    <mergeCell ref="M24:N24"/>
    <mergeCell ref="D23:E23"/>
    <mergeCell ref="F23:G23"/>
    <mergeCell ref="H23:I23"/>
    <mergeCell ref="K23:L23"/>
    <mergeCell ref="M23:N23"/>
    <mergeCell ref="A23:C23"/>
    <mergeCell ref="A24:C24"/>
    <mergeCell ref="D26:E26"/>
    <mergeCell ref="F26:G26"/>
    <mergeCell ref="H26:I26"/>
    <mergeCell ref="K26:L26"/>
    <mergeCell ref="M26:N26"/>
    <mergeCell ref="D25:E25"/>
    <mergeCell ref="F25:G25"/>
    <mergeCell ref="H25:I25"/>
    <mergeCell ref="K25:L25"/>
    <mergeCell ref="M25:N25"/>
    <mergeCell ref="F27:G27"/>
    <mergeCell ref="H27:I27"/>
    <mergeCell ref="K27:L27"/>
    <mergeCell ref="M27:N27"/>
    <mergeCell ref="A27:C27"/>
    <mergeCell ref="A28:C28"/>
    <mergeCell ref="D30:E30"/>
    <mergeCell ref="F30:G30"/>
    <mergeCell ref="H30:I30"/>
    <mergeCell ref="K30:L30"/>
    <mergeCell ref="M30:N30"/>
    <mergeCell ref="D29:E29"/>
    <mergeCell ref="F29:G29"/>
    <mergeCell ref="H29:I29"/>
    <mergeCell ref="K29:L29"/>
    <mergeCell ref="M29:N29"/>
    <mergeCell ref="K33:L33"/>
    <mergeCell ref="D34:E34"/>
    <mergeCell ref="K34:L34"/>
    <mergeCell ref="A29:C29"/>
    <mergeCell ref="A30:C30"/>
    <mergeCell ref="D28:E28"/>
    <mergeCell ref="F28:G28"/>
    <mergeCell ref="H28:I28"/>
    <mergeCell ref="K28:L28"/>
    <mergeCell ref="D40:E40"/>
    <mergeCell ref="F40:G40"/>
    <mergeCell ref="H40:I40"/>
    <mergeCell ref="K40:L40"/>
    <mergeCell ref="A38:C38"/>
    <mergeCell ref="A39:C39"/>
    <mergeCell ref="D31:E31"/>
    <mergeCell ref="K31:L31"/>
    <mergeCell ref="D32:E32"/>
    <mergeCell ref="K32:L32"/>
    <mergeCell ref="A31:C31"/>
    <mergeCell ref="A32:C32"/>
    <mergeCell ref="A33:C33"/>
    <mergeCell ref="A34:C34"/>
    <mergeCell ref="D37:E37"/>
    <mergeCell ref="K37:L37"/>
    <mergeCell ref="D35:E35"/>
    <mergeCell ref="K35:L35"/>
    <mergeCell ref="D36:E36"/>
    <mergeCell ref="K36:L36"/>
    <mergeCell ref="A35:C35"/>
    <mergeCell ref="A36:C36"/>
    <mergeCell ref="A37:C37"/>
    <mergeCell ref="D33:E33"/>
    <mergeCell ref="B52:F57"/>
    <mergeCell ref="J52:N57"/>
    <mergeCell ref="A45:C45"/>
    <mergeCell ref="D45:E45"/>
    <mergeCell ref="F45:G45"/>
    <mergeCell ref="H45:I45"/>
    <mergeCell ref="K45:L45"/>
    <mergeCell ref="M45:N45"/>
    <mergeCell ref="D43:E43"/>
    <mergeCell ref="F43:G43"/>
    <mergeCell ref="H43:I43"/>
    <mergeCell ref="K43:L43"/>
    <mergeCell ref="M43:N43"/>
    <mergeCell ref="D44:E44"/>
    <mergeCell ref="D46:E46"/>
    <mergeCell ref="F46:G46"/>
    <mergeCell ref="H46:I46"/>
    <mergeCell ref="M46:N46"/>
    <mergeCell ref="K44:L44"/>
    <mergeCell ref="A43:C43"/>
    <mergeCell ref="A44:C44"/>
    <mergeCell ref="A42:C42"/>
    <mergeCell ref="M40:N40"/>
    <mergeCell ref="M38:N38"/>
    <mergeCell ref="D39:E39"/>
    <mergeCell ref="F39:G39"/>
    <mergeCell ref="H39:I39"/>
    <mergeCell ref="K39:L39"/>
    <mergeCell ref="M39:N39"/>
    <mergeCell ref="M41:N41"/>
    <mergeCell ref="D42:E42"/>
    <mergeCell ref="F42:G42"/>
    <mergeCell ref="H42:I42"/>
    <mergeCell ref="K42:L42"/>
    <mergeCell ref="M42:N42"/>
    <mergeCell ref="D41:E41"/>
    <mergeCell ref="F41:G41"/>
    <mergeCell ref="H41:I41"/>
    <mergeCell ref="K41:L41"/>
    <mergeCell ref="A41:C41"/>
    <mergeCell ref="A40:C40"/>
    <mergeCell ref="D38:E38"/>
    <mergeCell ref="F38:G38"/>
    <mergeCell ref="H38:I38"/>
    <mergeCell ref="K38:L38"/>
  </mergeCells>
  <conditionalFormatting sqref="D17:D45">
    <cfRule type="expression" dxfId="107" priority="1">
      <formula>#REF!="Non"</formula>
    </cfRule>
    <cfRule type="expression" dxfId="106" priority="2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2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BD239"/>
  <sheetViews>
    <sheetView topLeftCell="A10" zoomScale="90" zoomScaleNormal="90" workbookViewId="0">
      <selection activeCell="T39" sqref="T39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2" style="6" customWidth="1"/>
    <col min="4" max="4" width="8.42578125" style="6" customWidth="1"/>
    <col min="5" max="5" width="10.42578125" style="6" customWidth="1"/>
    <col min="6" max="6" width="5.42578125" style="6" customWidth="1"/>
    <col min="7" max="7" width="9.85546875" style="6" customWidth="1"/>
    <col min="8" max="8" width="5.85546875" style="6" customWidth="1"/>
    <col min="9" max="9" width="1.85546875" style="6" customWidth="1"/>
    <col min="10" max="10" width="11.85546875" style="6" customWidth="1"/>
    <col min="11" max="12" width="8.140625" style="6" customWidth="1"/>
    <col min="13" max="13" width="6.5703125" style="6" customWidth="1"/>
    <col min="14" max="14" width="9.5703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68</v>
      </c>
      <c r="E2" s="195"/>
      <c r="F2" s="195"/>
      <c r="G2" s="195"/>
      <c r="H2" s="195"/>
      <c r="I2" s="195"/>
      <c r="J2" s="195"/>
      <c r="K2" s="195"/>
      <c r="L2" s="251">
        <v>45383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6"/>
      <c r="Q3" s="4"/>
      <c r="R3" s="220"/>
      <c r="S3" s="220"/>
      <c r="T3" s="220"/>
      <c r="U3" s="36"/>
      <c r="V3" s="36"/>
      <c r="W3" s="36"/>
      <c r="X3" s="36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6"/>
      <c r="Q4" s="4"/>
      <c r="R4" s="36"/>
      <c r="S4" s="36"/>
      <c r="T4" s="36"/>
      <c r="U4" s="36"/>
      <c r="V4" s="36"/>
      <c r="W4" s="36"/>
      <c r="X4" s="36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v>45384</v>
      </c>
      <c r="M5" s="222"/>
      <c r="N5" s="222"/>
      <c r="O5" s="3"/>
      <c r="P5" s="36"/>
      <c r="Q5" s="5"/>
      <c r="R5" s="220"/>
      <c r="S5" s="220"/>
      <c r="T5" s="220"/>
      <c r="U5" s="36"/>
      <c r="V5" s="36"/>
      <c r="W5" s="36"/>
      <c r="X5" s="36"/>
      <c r="Y5" s="5"/>
    </row>
    <row r="6" spans="1:25" ht="19.5" customHeight="1" x14ac:dyDescent="0.35">
      <c r="A6" s="27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40"/>
      <c r="V6" s="40"/>
      <c r="W6" s="40"/>
      <c r="X6" s="40"/>
      <c r="Y6" s="5"/>
    </row>
    <row r="7" spans="1:25" ht="19.5" customHeight="1" thickBot="1" x14ac:dyDescent="0.4">
      <c r="A7" s="111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40"/>
      <c r="V7" s="40"/>
      <c r="W7" s="40"/>
      <c r="X7" s="40"/>
      <c r="Y7" s="5"/>
    </row>
    <row r="8" spans="1:25" ht="18" customHeight="1" thickBot="1" x14ac:dyDescent="0.3">
      <c r="A8" s="8" t="s">
        <v>2</v>
      </c>
      <c r="B8" s="24"/>
      <c r="C8" s="223"/>
      <c r="D8" s="224"/>
      <c r="E8" s="224"/>
      <c r="F8" s="225"/>
      <c r="G8" s="9"/>
      <c r="H8" s="8" t="s">
        <v>26</v>
      </c>
      <c r="I8" s="8"/>
      <c r="J8" s="8"/>
      <c r="K8" s="223"/>
      <c r="L8" s="224"/>
      <c r="M8" s="224"/>
      <c r="N8" s="225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223"/>
      <c r="D10" s="224"/>
      <c r="E10" s="224"/>
      <c r="F10" s="225"/>
      <c r="G10" s="9"/>
      <c r="H10" s="8" t="s">
        <v>25</v>
      </c>
      <c r="I10" s="8"/>
      <c r="J10" s="8"/>
      <c r="K10" s="223"/>
      <c r="L10" s="224"/>
      <c r="M10" s="224"/>
      <c r="N10" s="225"/>
      <c r="O10" s="26"/>
      <c r="P10" s="26"/>
      <c r="Q10" s="26"/>
      <c r="R10" s="26"/>
      <c r="S10" s="26"/>
      <c r="T10" s="26"/>
      <c r="U10" s="11"/>
    </row>
    <row r="11" spans="1:25" ht="13.5" customHeight="1" x14ac:dyDescent="0.3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3.5" customHeight="1" x14ac:dyDescent="0.3">
      <c r="A12" s="8"/>
      <c r="B12" s="24"/>
      <c r="C12" s="24"/>
      <c r="D12" s="24"/>
      <c r="E12" s="24"/>
      <c r="F12" s="24"/>
      <c r="G12" s="9"/>
      <c r="H12" s="8"/>
      <c r="I12" s="8"/>
      <c r="J12" s="8"/>
      <c r="K12" s="8"/>
      <c r="L12" s="8"/>
      <c r="M12" s="8"/>
      <c r="N12" s="8"/>
      <c r="O12" s="26"/>
      <c r="P12" s="26"/>
      <c r="Q12" s="26"/>
      <c r="R12" s="26"/>
      <c r="S12" s="26"/>
      <c r="T12" s="26"/>
      <c r="U12" s="11"/>
    </row>
    <row r="13" spans="1:25" s="19" customFormat="1" ht="54.75" customHeight="1" x14ac:dyDescent="0.25">
      <c r="A13" s="200" t="s">
        <v>1</v>
      </c>
      <c r="B13" s="201"/>
      <c r="C13" s="202"/>
      <c r="D13" s="203" t="s">
        <v>55</v>
      </c>
      <c r="E13" s="204"/>
      <c r="F13" s="205" t="s">
        <v>54</v>
      </c>
      <c r="G13" s="205"/>
      <c r="H13" s="203" t="s">
        <v>56</v>
      </c>
      <c r="I13" s="206"/>
      <c r="J13" s="207"/>
      <c r="K13" s="203" t="s">
        <v>57</v>
      </c>
      <c r="L13" s="208"/>
      <c r="M13" s="205" t="s">
        <v>53</v>
      </c>
      <c r="N13" s="205"/>
      <c r="O13" s="26"/>
      <c r="P13" s="26"/>
      <c r="Q13" s="26"/>
      <c r="R13" s="26"/>
      <c r="S13" s="26"/>
      <c r="T13" s="26"/>
      <c r="U13" s="20"/>
      <c r="V13" s="20"/>
      <c r="W13" s="20"/>
      <c r="X13" s="21"/>
    </row>
    <row r="14" spans="1:25" s="3" customFormat="1" ht="15.75" x14ac:dyDescent="0.25">
      <c r="A14" s="191">
        <v>45355</v>
      </c>
      <c r="B14" s="286"/>
      <c r="C14" s="287"/>
      <c r="D14" s="209"/>
      <c r="E14" s="209"/>
      <c r="F14" s="210"/>
      <c r="G14" s="210"/>
      <c r="H14" s="210"/>
      <c r="I14" s="210"/>
      <c r="J14" s="210"/>
      <c r="K14" s="210"/>
      <c r="L14" s="210"/>
      <c r="M14" s="226"/>
      <c r="N14" s="227"/>
      <c r="O14" s="26"/>
      <c r="P14" s="26"/>
      <c r="Q14" s="26"/>
      <c r="R14" s="26"/>
      <c r="S14" s="26"/>
      <c r="T14" s="26"/>
      <c r="U14" s="13"/>
      <c r="V14" s="13"/>
      <c r="W14" s="13"/>
      <c r="X14" s="1"/>
    </row>
    <row r="15" spans="1:25" s="3" customFormat="1" ht="15.75" x14ac:dyDescent="0.25">
      <c r="A15" s="191">
        <v>45356</v>
      </c>
      <c r="B15" s="286"/>
      <c r="C15" s="287"/>
      <c r="D15" s="209"/>
      <c r="E15" s="209"/>
      <c r="F15" s="210"/>
      <c r="G15" s="210"/>
      <c r="H15" s="210"/>
      <c r="I15" s="210"/>
      <c r="J15" s="210"/>
      <c r="K15" s="210"/>
      <c r="L15" s="210"/>
      <c r="M15" s="226"/>
      <c r="N15" s="227"/>
      <c r="P15" s="26"/>
      <c r="Q15" s="26"/>
      <c r="R15" s="26"/>
      <c r="S15" s="26"/>
      <c r="T15" s="26"/>
      <c r="U15" s="13"/>
      <c r="V15" s="13"/>
      <c r="W15" s="13"/>
      <c r="X15" s="1"/>
    </row>
    <row r="16" spans="1:25" s="3" customFormat="1" ht="15.75" x14ac:dyDescent="0.25">
      <c r="A16" s="191">
        <v>45357</v>
      </c>
      <c r="B16" s="286"/>
      <c r="C16" s="287"/>
      <c r="D16" s="209"/>
      <c r="E16" s="209"/>
      <c r="F16" s="210"/>
      <c r="G16" s="210"/>
      <c r="H16" s="210"/>
      <c r="I16" s="210"/>
      <c r="J16" s="210"/>
      <c r="K16" s="210"/>
      <c r="L16" s="210"/>
      <c r="M16" s="226"/>
      <c r="N16" s="227"/>
      <c r="P16" s="26"/>
      <c r="Q16" s="26"/>
      <c r="R16" s="26"/>
      <c r="S16" s="26"/>
      <c r="T16" s="26"/>
      <c r="U16" s="26"/>
      <c r="V16" s="13"/>
      <c r="W16" s="13"/>
      <c r="X16" s="1"/>
    </row>
    <row r="17" spans="1:24" s="3" customFormat="1" x14ac:dyDescent="0.25">
      <c r="A17" s="191">
        <v>45358</v>
      </c>
      <c r="B17" s="286"/>
      <c r="C17" s="287"/>
      <c r="D17" s="209"/>
      <c r="E17" s="209"/>
      <c r="F17" s="210"/>
      <c r="G17" s="210"/>
      <c r="H17" s="210"/>
      <c r="I17" s="210"/>
      <c r="J17" s="210"/>
      <c r="K17" s="210"/>
      <c r="L17" s="210"/>
      <c r="M17" s="226"/>
      <c r="N17" s="227"/>
      <c r="P17" s="12"/>
      <c r="Q17" s="12"/>
      <c r="R17" s="12"/>
      <c r="S17" s="12"/>
      <c r="T17" s="13"/>
      <c r="U17" s="13"/>
      <c r="V17" s="13"/>
      <c r="W17" s="13"/>
      <c r="X17" s="1"/>
    </row>
    <row r="18" spans="1:24" s="3" customFormat="1" x14ac:dyDescent="0.25">
      <c r="A18" s="191">
        <v>45359</v>
      </c>
      <c r="B18" s="286"/>
      <c r="C18" s="287"/>
      <c r="D18" s="209"/>
      <c r="E18" s="209"/>
      <c r="F18" s="210"/>
      <c r="G18" s="210"/>
      <c r="H18" s="226"/>
      <c r="I18" s="228"/>
      <c r="J18" s="227"/>
      <c r="K18" s="210"/>
      <c r="L18" s="210"/>
      <c r="M18" s="226"/>
      <c r="N18" s="227"/>
      <c r="P18" s="12"/>
      <c r="Q18" s="12"/>
      <c r="R18" s="12"/>
      <c r="S18" s="12"/>
      <c r="T18" s="13"/>
      <c r="U18" s="13"/>
      <c r="V18" s="13"/>
      <c r="W18" s="13"/>
      <c r="X18" s="1"/>
    </row>
    <row r="19" spans="1:24" s="3" customFormat="1" x14ac:dyDescent="0.25">
      <c r="A19" s="191">
        <v>45360</v>
      </c>
      <c r="B19" s="286"/>
      <c r="C19" s="287"/>
      <c r="D19" s="209"/>
      <c r="E19" s="209"/>
      <c r="F19" s="210"/>
      <c r="G19" s="210"/>
      <c r="H19" s="210"/>
      <c r="I19" s="210"/>
      <c r="J19" s="210"/>
      <c r="K19" s="210"/>
      <c r="L19" s="210"/>
      <c r="M19" s="226"/>
      <c r="N19" s="227"/>
      <c r="P19" s="12"/>
      <c r="Q19" s="12"/>
      <c r="R19" s="12"/>
      <c r="S19" s="12"/>
      <c r="T19" s="13"/>
      <c r="U19" s="13"/>
      <c r="V19" s="13"/>
      <c r="W19" s="13"/>
      <c r="X19" s="1"/>
    </row>
    <row r="20" spans="1:24" s="3" customFormat="1" x14ac:dyDescent="0.25">
      <c r="A20" s="191">
        <v>45361</v>
      </c>
      <c r="B20" s="286"/>
      <c r="C20" s="287"/>
      <c r="D20" s="209"/>
      <c r="E20" s="209"/>
      <c r="F20" s="210"/>
      <c r="G20" s="210"/>
      <c r="H20" s="210"/>
      <c r="I20" s="210"/>
      <c r="J20" s="210"/>
      <c r="K20" s="210"/>
      <c r="L20" s="210"/>
      <c r="M20" s="226"/>
      <c r="N20" s="227"/>
      <c r="P20" s="12"/>
      <c r="Q20" s="12"/>
      <c r="R20" s="12"/>
      <c r="S20" s="12"/>
      <c r="T20" s="13"/>
      <c r="U20" s="13"/>
      <c r="V20" s="13"/>
      <c r="W20" s="13"/>
      <c r="X20" s="1"/>
    </row>
    <row r="21" spans="1:24" s="3" customFormat="1" x14ac:dyDescent="0.25">
      <c r="A21" s="191">
        <v>45362</v>
      </c>
      <c r="B21" s="286"/>
      <c r="C21" s="287"/>
      <c r="D21" s="209"/>
      <c r="E21" s="209"/>
      <c r="F21" s="210"/>
      <c r="G21" s="210"/>
      <c r="H21" s="210"/>
      <c r="I21" s="210"/>
      <c r="J21" s="210"/>
      <c r="K21" s="210"/>
      <c r="L21" s="210"/>
      <c r="M21" s="226"/>
      <c r="N21" s="227"/>
      <c r="P21" s="12"/>
      <c r="Q21" s="12"/>
      <c r="R21" s="12"/>
      <c r="S21" s="12"/>
      <c r="T21" s="13"/>
      <c r="U21" s="13"/>
      <c r="V21" s="13"/>
      <c r="W21" s="13"/>
      <c r="X21" s="1"/>
    </row>
    <row r="22" spans="1:24" s="3" customFormat="1" x14ac:dyDescent="0.25">
      <c r="A22" s="191">
        <v>45363</v>
      </c>
      <c r="B22" s="286"/>
      <c r="C22" s="287"/>
      <c r="D22" s="209"/>
      <c r="E22" s="209"/>
      <c r="F22" s="210"/>
      <c r="G22" s="210"/>
      <c r="H22" s="210"/>
      <c r="I22" s="210"/>
      <c r="J22" s="210"/>
      <c r="K22" s="210"/>
      <c r="L22" s="210"/>
      <c r="M22" s="226"/>
      <c r="N22" s="227"/>
      <c r="P22" s="12"/>
      <c r="Q22" s="12"/>
      <c r="R22" s="12"/>
      <c r="S22" s="12"/>
      <c r="T22" s="13"/>
      <c r="U22" s="13"/>
      <c r="V22" s="13"/>
      <c r="W22" s="13"/>
      <c r="X22" s="1"/>
    </row>
    <row r="23" spans="1:24" s="3" customFormat="1" x14ac:dyDescent="0.25">
      <c r="A23" s="191">
        <v>45364</v>
      </c>
      <c r="B23" s="286"/>
      <c r="C23" s="287"/>
      <c r="D23" s="209"/>
      <c r="E23" s="209"/>
      <c r="F23" s="210"/>
      <c r="G23" s="210"/>
      <c r="H23" s="210"/>
      <c r="I23" s="210"/>
      <c r="J23" s="210"/>
      <c r="K23" s="210"/>
      <c r="L23" s="210"/>
      <c r="M23" s="226"/>
      <c r="N23" s="227"/>
      <c r="P23" s="12"/>
      <c r="Q23" s="12"/>
      <c r="R23" s="12"/>
      <c r="S23" s="12"/>
      <c r="T23" s="13"/>
      <c r="U23" s="13"/>
      <c r="V23" s="13"/>
      <c r="W23" s="13"/>
      <c r="X23" s="1"/>
    </row>
    <row r="24" spans="1:24" s="3" customFormat="1" x14ac:dyDescent="0.25">
      <c r="A24" s="191">
        <v>45365</v>
      </c>
      <c r="B24" s="286"/>
      <c r="C24" s="287"/>
      <c r="D24" s="209"/>
      <c r="E24" s="209"/>
      <c r="F24" s="210"/>
      <c r="G24" s="210"/>
      <c r="H24" s="210"/>
      <c r="I24" s="210"/>
      <c r="J24" s="210"/>
      <c r="K24" s="210"/>
      <c r="L24" s="210"/>
      <c r="M24" s="226"/>
      <c r="N24" s="227"/>
      <c r="P24" s="12"/>
      <c r="Q24" s="15"/>
      <c r="R24" s="15"/>
      <c r="S24" s="15"/>
      <c r="T24" s="13"/>
      <c r="U24" s="13"/>
      <c r="V24" s="13"/>
      <c r="W24" s="13"/>
      <c r="X24" s="1"/>
    </row>
    <row r="25" spans="1:24" s="3" customFormat="1" x14ac:dyDescent="0.25">
      <c r="A25" s="191">
        <v>45366</v>
      </c>
      <c r="B25" s="286"/>
      <c r="C25" s="287"/>
      <c r="D25" s="209"/>
      <c r="E25" s="209"/>
      <c r="F25" s="210"/>
      <c r="G25" s="210"/>
      <c r="H25" s="210"/>
      <c r="I25" s="210"/>
      <c r="J25" s="210"/>
      <c r="K25" s="210"/>
      <c r="L25" s="210"/>
      <c r="M25" s="226"/>
      <c r="N25" s="227"/>
      <c r="P25" s="12"/>
      <c r="Q25" s="15"/>
      <c r="R25" s="15"/>
      <c r="S25" s="15"/>
      <c r="T25" s="13"/>
      <c r="U25" s="13"/>
      <c r="V25" s="13"/>
      <c r="W25" s="13"/>
      <c r="X25" s="1"/>
    </row>
    <row r="26" spans="1:24" s="3" customFormat="1" x14ac:dyDescent="0.25">
      <c r="A26" s="191">
        <v>45367</v>
      </c>
      <c r="B26" s="286"/>
      <c r="C26" s="287"/>
      <c r="D26" s="209"/>
      <c r="E26" s="209"/>
      <c r="F26" s="210"/>
      <c r="G26" s="210"/>
      <c r="H26" s="210"/>
      <c r="I26" s="210"/>
      <c r="J26" s="210"/>
      <c r="K26" s="210"/>
      <c r="L26" s="210"/>
      <c r="M26" s="226"/>
      <c r="N26" s="227"/>
      <c r="P26" s="12"/>
      <c r="Q26" s="15"/>
      <c r="R26" s="15"/>
      <c r="S26" s="15"/>
      <c r="T26" s="13"/>
      <c r="U26" s="13"/>
      <c r="V26" s="13"/>
      <c r="W26" s="13"/>
      <c r="X26" s="1"/>
    </row>
    <row r="27" spans="1:24" s="3" customFormat="1" x14ac:dyDescent="0.25">
      <c r="A27" s="191">
        <v>45368</v>
      </c>
      <c r="B27" s="286"/>
      <c r="C27" s="287"/>
      <c r="D27" s="209"/>
      <c r="E27" s="209"/>
      <c r="F27" s="210"/>
      <c r="G27" s="210"/>
      <c r="H27" s="210"/>
      <c r="I27" s="210"/>
      <c r="J27" s="210"/>
      <c r="K27" s="210"/>
      <c r="L27" s="210"/>
      <c r="M27" s="226"/>
      <c r="N27" s="227"/>
      <c r="O27" s="1"/>
      <c r="P27" s="12"/>
      <c r="Q27" s="15"/>
      <c r="R27" s="15"/>
      <c r="S27" s="15"/>
      <c r="T27" s="13"/>
      <c r="U27" s="13"/>
      <c r="V27" s="13"/>
      <c r="W27" s="13"/>
      <c r="X27" s="1"/>
    </row>
    <row r="28" spans="1:24" s="3" customFormat="1" x14ac:dyDescent="0.25">
      <c r="A28" s="191">
        <v>45369</v>
      </c>
      <c r="B28" s="286"/>
      <c r="C28" s="287"/>
      <c r="D28" s="209"/>
      <c r="E28" s="209"/>
      <c r="F28" s="210"/>
      <c r="G28" s="210"/>
      <c r="H28" s="210"/>
      <c r="I28" s="210"/>
      <c r="J28" s="210"/>
      <c r="K28" s="210"/>
      <c r="L28" s="210"/>
      <c r="M28" s="226"/>
      <c r="N28" s="227"/>
      <c r="P28" s="12"/>
      <c r="Q28" s="15"/>
      <c r="R28" s="15"/>
      <c r="S28" s="15"/>
      <c r="T28" s="13"/>
      <c r="U28" s="13"/>
      <c r="V28" s="13"/>
      <c r="W28" s="13"/>
      <c r="X28" s="1"/>
    </row>
    <row r="29" spans="1:24" s="3" customFormat="1" x14ac:dyDescent="0.25">
      <c r="A29" s="191">
        <v>45370</v>
      </c>
      <c r="B29" s="286"/>
      <c r="C29" s="287"/>
      <c r="D29" s="209"/>
      <c r="E29" s="209"/>
      <c r="F29" s="210"/>
      <c r="G29" s="210"/>
      <c r="H29" s="210"/>
      <c r="I29" s="210"/>
      <c r="J29" s="210"/>
      <c r="K29" s="210"/>
      <c r="L29" s="210"/>
      <c r="M29" s="226"/>
      <c r="N29" s="227"/>
      <c r="P29" s="12"/>
      <c r="Q29" s="15"/>
      <c r="R29" s="15"/>
      <c r="S29" s="15"/>
      <c r="T29" s="13"/>
      <c r="U29" s="13"/>
      <c r="V29" s="13"/>
      <c r="W29" s="13"/>
      <c r="X29" s="1"/>
    </row>
    <row r="30" spans="1:24" s="3" customFormat="1" x14ac:dyDescent="0.25">
      <c r="A30" s="191">
        <v>45371</v>
      </c>
      <c r="B30" s="286"/>
      <c r="C30" s="287"/>
      <c r="D30" s="209"/>
      <c r="E30" s="209"/>
      <c r="F30" s="210"/>
      <c r="G30" s="210"/>
      <c r="H30" s="210"/>
      <c r="I30" s="210"/>
      <c r="J30" s="210"/>
      <c r="K30" s="210"/>
      <c r="L30" s="210"/>
      <c r="M30" s="226"/>
      <c r="N30" s="227"/>
      <c r="P30" s="12"/>
      <c r="Q30" s="15"/>
      <c r="R30" s="15"/>
      <c r="S30" s="15"/>
      <c r="T30" s="13"/>
      <c r="U30" s="13"/>
      <c r="V30" s="13"/>
      <c r="W30" s="13"/>
      <c r="X30" s="1"/>
    </row>
    <row r="31" spans="1:24" s="3" customFormat="1" x14ac:dyDescent="0.25">
      <c r="A31" s="191">
        <v>45372</v>
      </c>
      <c r="B31" s="286"/>
      <c r="C31" s="287"/>
      <c r="D31" s="209"/>
      <c r="E31" s="209"/>
      <c r="F31" s="210"/>
      <c r="G31" s="210"/>
      <c r="H31" s="210"/>
      <c r="I31" s="210"/>
      <c r="J31" s="210"/>
      <c r="K31" s="210"/>
      <c r="L31" s="210"/>
      <c r="M31" s="226"/>
      <c r="N31" s="227"/>
      <c r="P31" s="12"/>
      <c r="Q31" s="15"/>
      <c r="R31" s="15"/>
      <c r="S31" s="15"/>
      <c r="T31" s="13"/>
      <c r="U31" s="13"/>
      <c r="V31" s="13"/>
      <c r="W31" s="13"/>
      <c r="X31" s="1"/>
    </row>
    <row r="32" spans="1:24" s="3" customFormat="1" x14ac:dyDescent="0.25">
      <c r="A32" s="191">
        <v>45373</v>
      </c>
      <c r="B32" s="286"/>
      <c r="C32" s="287"/>
      <c r="D32" s="209"/>
      <c r="E32" s="209"/>
      <c r="F32" s="210"/>
      <c r="G32" s="210"/>
      <c r="H32" s="210"/>
      <c r="I32" s="210"/>
      <c r="J32" s="210"/>
      <c r="K32" s="210"/>
      <c r="L32" s="210"/>
      <c r="M32" s="226"/>
      <c r="N32" s="227"/>
      <c r="P32" s="12"/>
      <c r="Q32" s="15"/>
      <c r="R32" s="15"/>
      <c r="S32" s="15"/>
      <c r="T32" s="13"/>
      <c r="U32" s="13"/>
      <c r="V32" s="13"/>
      <c r="W32" s="13"/>
      <c r="X32" s="1"/>
    </row>
    <row r="33" spans="1:25" s="3" customFormat="1" x14ac:dyDescent="0.25">
      <c r="A33" s="191">
        <v>45374</v>
      </c>
      <c r="B33" s="286"/>
      <c r="C33" s="287"/>
      <c r="D33" s="209"/>
      <c r="E33" s="209"/>
      <c r="F33" s="210"/>
      <c r="G33" s="210"/>
      <c r="H33" s="210"/>
      <c r="I33" s="210"/>
      <c r="J33" s="210"/>
      <c r="K33" s="210"/>
      <c r="L33" s="210"/>
      <c r="M33" s="226"/>
      <c r="N33" s="227"/>
      <c r="P33" s="12"/>
      <c r="Q33" s="15"/>
      <c r="R33" s="15"/>
      <c r="S33" s="15"/>
      <c r="T33" s="13"/>
      <c r="U33" s="13"/>
      <c r="V33" s="13"/>
      <c r="W33" s="13"/>
      <c r="X33" s="1"/>
    </row>
    <row r="34" spans="1:25" s="3" customFormat="1" x14ac:dyDescent="0.25">
      <c r="A34" s="191">
        <v>45375</v>
      </c>
      <c r="B34" s="286"/>
      <c r="C34" s="287"/>
      <c r="D34" s="209"/>
      <c r="E34" s="209"/>
      <c r="F34" s="210"/>
      <c r="G34" s="210"/>
      <c r="H34" s="210"/>
      <c r="I34" s="210"/>
      <c r="J34" s="210"/>
      <c r="K34" s="210"/>
      <c r="L34" s="210"/>
      <c r="M34" s="226"/>
      <c r="N34" s="227"/>
      <c r="P34" s="12"/>
      <c r="Q34" s="15"/>
      <c r="R34" s="15"/>
      <c r="S34" s="15"/>
      <c r="T34" s="13"/>
      <c r="U34" s="13"/>
      <c r="V34" s="13"/>
      <c r="W34" s="13"/>
      <c r="X34" s="1"/>
    </row>
    <row r="35" spans="1:25" s="3" customFormat="1" x14ac:dyDescent="0.25">
      <c r="A35" s="191">
        <v>45376</v>
      </c>
      <c r="B35" s="286"/>
      <c r="C35" s="287"/>
      <c r="D35" s="229"/>
      <c r="E35" s="230"/>
      <c r="F35" s="226"/>
      <c r="G35" s="227"/>
      <c r="H35" s="210"/>
      <c r="I35" s="210"/>
      <c r="J35" s="210"/>
      <c r="K35" s="226"/>
      <c r="L35" s="227"/>
      <c r="M35" s="226"/>
      <c r="N35" s="227"/>
      <c r="P35" s="12"/>
      <c r="Q35" s="15"/>
      <c r="R35" s="15"/>
      <c r="S35" s="15"/>
      <c r="T35" s="13"/>
      <c r="U35" s="13"/>
      <c r="V35" s="13"/>
      <c r="W35" s="13"/>
      <c r="X35" s="1"/>
    </row>
    <row r="36" spans="1:25" s="3" customFormat="1" x14ac:dyDescent="0.25">
      <c r="A36" s="191">
        <v>45377</v>
      </c>
      <c r="B36" s="286"/>
      <c r="C36" s="287"/>
      <c r="D36" s="229"/>
      <c r="E36" s="230"/>
      <c r="F36" s="226"/>
      <c r="G36" s="227"/>
      <c r="H36" s="210"/>
      <c r="I36" s="210"/>
      <c r="J36" s="210"/>
      <c r="K36" s="226"/>
      <c r="L36" s="227"/>
      <c r="M36" s="226"/>
      <c r="N36" s="227"/>
      <c r="P36" s="12"/>
      <c r="Q36" s="15"/>
      <c r="R36" s="15"/>
      <c r="S36" s="15"/>
      <c r="T36" s="13"/>
      <c r="U36" s="13"/>
      <c r="V36" s="13"/>
      <c r="W36" s="13"/>
      <c r="X36" s="1"/>
    </row>
    <row r="37" spans="1:25" s="3" customFormat="1" x14ac:dyDescent="0.25">
      <c r="A37" s="191">
        <v>45378</v>
      </c>
      <c r="B37" s="286"/>
      <c r="C37" s="287"/>
      <c r="D37" s="229"/>
      <c r="E37" s="230"/>
      <c r="F37" s="226"/>
      <c r="G37" s="227"/>
      <c r="H37" s="210"/>
      <c r="I37" s="210"/>
      <c r="J37" s="210"/>
      <c r="K37" s="226"/>
      <c r="L37" s="227"/>
      <c r="M37" s="226"/>
      <c r="N37" s="227"/>
      <c r="P37" s="12"/>
      <c r="Q37" s="15"/>
      <c r="R37" s="15"/>
      <c r="S37" s="15"/>
      <c r="T37" s="13"/>
      <c r="U37" s="13"/>
      <c r="V37" s="13"/>
      <c r="W37" s="13"/>
      <c r="X37" s="1"/>
    </row>
    <row r="38" spans="1:25" s="3" customFormat="1" x14ac:dyDescent="0.25">
      <c r="A38" s="191">
        <v>45379</v>
      </c>
      <c r="B38" s="286"/>
      <c r="C38" s="287"/>
      <c r="D38" s="229"/>
      <c r="E38" s="230"/>
      <c r="F38" s="226"/>
      <c r="G38" s="227"/>
      <c r="H38" s="210"/>
      <c r="I38" s="210"/>
      <c r="J38" s="210"/>
      <c r="K38" s="226"/>
      <c r="L38" s="227"/>
      <c r="M38" s="226"/>
      <c r="N38" s="227"/>
      <c r="P38" s="12"/>
      <c r="Q38" s="15"/>
      <c r="R38" s="15"/>
      <c r="S38" s="15"/>
      <c r="T38" s="13"/>
      <c r="U38" s="13"/>
      <c r="V38" s="13"/>
      <c r="W38" s="13"/>
      <c r="X38" s="1"/>
    </row>
    <row r="39" spans="1:25" s="3" customFormat="1" x14ac:dyDescent="0.25">
      <c r="A39" s="191">
        <v>45380</v>
      </c>
      <c r="B39" s="286"/>
      <c r="C39" s="287"/>
      <c r="D39" s="229"/>
      <c r="E39" s="230"/>
      <c r="F39" s="226"/>
      <c r="G39" s="227"/>
      <c r="H39" s="210"/>
      <c r="I39" s="210"/>
      <c r="J39" s="210"/>
      <c r="K39" s="226"/>
      <c r="L39" s="227"/>
      <c r="M39" s="226"/>
      <c r="N39" s="227"/>
      <c r="P39" s="12"/>
      <c r="Q39" s="15"/>
      <c r="R39" s="15"/>
      <c r="S39" s="15"/>
      <c r="T39" s="13"/>
      <c r="U39" s="13"/>
      <c r="V39" s="13"/>
      <c r="W39" s="13"/>
      <c r="X39" s="1"/>
    </row>
    <row r="40" spans="1:25" s="3" customFormat="1" x14ac:dyDescent="0.25">
      <c r="A40" s="191">
        <v>45381</v>
      </c>
      <c r="B40" s="286"/>
      <c r="C40" s="287"/>
      <c r="D40" s="229"/>
      <c r="E40" s="230"/>
      <c r="F40" s="226"/>
      <c r="G40" s="227"/>
      <c r="H40" s="210"/>
      <c r="I40" s="210"/>
      <c r="J40" s="210"/>
      <c r="K40" s="226"/>
      <c r="L40" s="227"/>
      <c r="M40" s="226"/>
      <c r="N40" s="227"/>
      <c r="P40" s="12"/>
      <c r="Q40" s="15"/>
      <c r="R40" s="15"/>
      <c r="S40" s="15"/>
      <c r="T40" s="13"/>
      <c r="U40" s="13"/>
      <c r="V40" s="13"/>
      <c r="W40" s="13"/>
      <c r="X40" s="1"/>
    </row>
    <row r="41" spans="1:25" s="3" customFormat="1" x14ac:dyDescent="0.25">
      <c r="A41" s="191">
        <v>45382</v>
      </c>
      <c r="B41" s="286"/>
      <c r="C41" s="287"/>
      <c r="D41" s="229"/>
      <c r="E41" s="230"/>
      <c r="F41" s="226"/>
      <c r="G41" s="227"/>
      <c r="H41" s="210"/>
      <c r="I41" s="210"/>
      <c r="J41" s="210"/>
      <c r="K41" s="226"/>
      <c r="L41" s="227"/>
      <c r="M41" s="226"/>
      <c r="N41" s="227"/>
      <c r="P41" s="12"/>
      <c r="Q41" s="15"/>
      <c r="R41" s="15"/>
      <c r="S41" s="15"/>
      <c r="T41" s="13"/>
      <c r="U41" s="13"/>
      <c r="V41" s="13"/>
      <c r="W41" s="13"/>
      <c r="X41" s="1"/>
    </row>
    <row r="42" spans="1:25" s="3" customFormat="1" ht="15.75" x14ac:dyDescent="0.25">
      <c r="A42" s="231" t="s">
        <v>21</v>
      </c>
      <c r="B42" s="232"/>
      <c r="C42" s="233"/>
      <c r="D42" s="234">
        <f>+COUNTA(D14:E41)</f>
        <v>0</v>
      </c>
      <c r="E42" s="235"/>
      <c r="F42" s="236">
        <f>+COUNTA(F14:G41)</f>
        <v>0</v>
      </c>
      <c r="G42" s="237"/>
      <c r="H42" s="210"/>
      <c r="I42" s="210"/>
      <c r="J42" s="210"/>
      <c r="K42" s="226"/>
      <c r="L42" s="227"/>
      <c r="M42" s="226"/>
      <c r="N42" s="227"/>
      <c r="O42" s="12"/>
      <c r="P42" s="12"/>
      <c r="Q42" s="12"/>
      <c r="R42" s="12"/>
      <c r="S42" s="12"/>
      <c r="T42" s="13"/>
      <c r="U42" s="13"/>
      <c r="V42" s="13"/>
      <c r="W42" s="13"/>
      <c r="X42" s="1"/>
    </row>
    <row r="43" spans="1:25" s="3" customFormat="1" x14ac:dyDescent="0.25">
      <c r="A43" s="12"/>
      <c r="B43" s="12"/>
      <c r="C43" s="12"/>
      <c r="D43" s="238" t="s">
        <v>38</v>
      </c>
      <c r="E43" s="239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3"/>
      <c r="U43" s="13"/>
      <c r="V43" s="13"/>
      <c r="W43" s="13"/>
      <c r="X43" s="1"/>
    </row>
    <row r="44" spans="1:25" s="3" customFormat="1" x14ac:dyDescent="0.25">
      <c r="K44" s="12"/>
      <c r="L44" s="12"/>
      <c r="M44" s="12"/>
      <c r="N44" s="12"/>
      <c r="O44" s="12"/>
      <c r="P44" s="12"/>
      <c r="U44" s="1"/>
      <c r="V44" s="1"/>
      <c r="W44" s="1"/>
      <c r="X44" s="1"/>
      <c r="Y44" s="1"/>
    </row>
    <row r="45" spans="1:25" s="3" customFormat="1" x14ac:dyDescent="0.25">
      <c r="A45" s="29" t="s">
        <v>20</v>
      </c>
      <c r="B45" s="30"/>
      <c r="C45" s="29"/>
      <c r="D45" s="29"/>
      <c r="E45" s="16"/>
      <c r="H45" s="18"/>
      <c r="P45" s="12"/>
      <c r="U45" s="1"/>
      <c r="V45" s="1"/>
      <c r="W45" s="1"/>
      <c r="X45" s="1"/>
      <c r="Y45" s="1"/>
    </row>
    <row r="46" spans="1:25" s="3" customFormat="1" x14ac:dyDescent="0.25">
      <c r="A46" s="29" t="s">
        <v>7</v>
      </c>
      <c r="B46" s="30"/>
      <c r="C46" s="31">
        <f ca="1">TODAY()</f>
        <v>45320</v>
      </c>
      <c r="D46" s="29"/>
      <c r="E46" s="16"/>
      <c r="J46" s="28" t="s">
        <v>22</v>
      </c>
      <c r="P46" s="12"/>
      <c r="U46" s="1"/>
      <c r="V46" s="1"/>
      <c r="W46" s="1"/>
      <c r="X46" s="1"/>
      <c r="Y46" s="1"/>
    </row>
    <row r="47" spans="1:25" s="3" customFormat="1" x14ac:dyDescent="0.25">
      <c r="A47" s="28"/>
      <c r="B47" s="240" t="s">
        <v>47</v>
      </c>
      <c r="C47" s="240"/>
      <c r="D47" s="240"/>
      <c r="E47" s="240"/>
      <c r="F47" s="240"/>
      <c r="J47" s="240" t="s">
        <v>48</v>
      </c>
      <c r="K47" s="240"/>
      <c r="L47" s="240"/>
      <c r="M47" s="240"/>
      <c r="N47" s="240"/>
      <c r="U47" s="1"/>
      <c r="V47" s="1"/>
      <c r="W47" s="1"/>
      <c r="X47" s="1"/>
      <c r="Y47" s="1"/>
    </row>
    <row r="48" spans="1:25" s="3" customFormat="1" x14ac:dyDescent="0.25">
      <c r="B48" s="240"/>
      <c r="C48" s="240"/>
      <c r="D48" s="240"/>
      <c r="E48" s="240"/>
      <c r="F48" s="240"/>
      <c r="J48" s="240"/>
      <c r="K48" s="240"/>
      <c r="L48" s="240"/>
      <c r="M48" s="240"/>
      <c r="N48" s="240"/>
      <c r="U48" s="1"/>
      <c r="V48" s="1"/>
      <c r="W48" s="1"/>
      <c r="X48" s="1"/>
      <c r="Y48" s="1"/>
    </row>
    <row r="49" spans="1:25" s="3" customFormat="1" x14ac:dyDescent="0.25">
      <c r="B49" s="240"/>
      <c r="C49" s="240"/>
      <c r="D49" s="240"/>
      <c r="E49" s="240"/>
      <c r="F49" s="240"/>
      <c r="J49" s="240"/>
      <c r="K49" s="240"/>
      <c r="L49" s="240"/>
      <c r="M49" s="240"/>
      <c r="N49" s="240"/>
      <c r="U49" s="1"/>
      <c r="V49" s="1"/>
      <c r="W49" s="1"/>
      <c r="X49" s="1"/>
      <c r="Y49" s="1"/>
    </row>
    <row r="50" spans="1:25" s="3" customFormat="1" x14ac:dyDescent="0.25">
      <c r="B50" s="240"/>
      <c r="C50" s="240"/>
      <c r="D50" s="240"/>
      <c r="E50" s="240"/>
      <c r="F50" s="240"/>
      <c r="J50" s="240"/>
      <c r="K50" s="240"/>
      <c r="L50" s="240"/>
      <c r="M50" s="240"/>
      <c r="N50" s="240"/>
      <c r="U50" s="1"/>
      <c r="V50" s="1"/>
      <c r="W50" s="1"/>
      <c r="X50" s="1"/>
      <c r="Y50" s="1"/>
    </row>
    <row r="51" spans="1:25" s="3" customFormat="1" x14ac:dyDescent="0.25">
      <c r="B51" s="240"/>
      <c r="C51" s="240"/>
      <c r="D51" s="240"/>
      <c r="E51" s="240"/>
      <c r="F51" s="240"/>
      <c r="J51" s="240"/>
      <c r="K51" s="240"/>
      <c r="L51" s="240"/>
      <c r="M51" s="240"/>
      <c r="N51" s="240"/>
      <c r="U51" s="1"/>
      <c r="V51" s="1"/>
      <c r="W51" s="1"/>
      <c r="X51" s="1"/>
      <c r="Y51" s="1"/>
    </row>
    <row r="52" spans="1:25" s="3" customFormat="1" x14ac:dyDescent="0.25">
      <c r="B52" s="240"/>
      <c r="C52" s="240"/>
      <c r="D52" s="240"/>
      <c r="E52" s="240"/>
      <c r="F52" s="240"/>
      <c r="J52" s="240"/>
      <c r="K52" s="240"/>
      <c r="L52" s="240"/>
      <c r="M52" s="240"/>
      <c r="N52" s="240"/>
      <c r="U52" s="1"/>
      <c r="V52" s="1"/>
      <c r="W52" s="1"/>
      <c r="X52" s="1"/>
      <c r="Y52" s="1"/>
    </row>
    <row r="53" spans="1:25" s="3" customFormat="1" x14ac:dyDescent="0.25">
      <c r="A53" s="3" t="s">
        <v>46</v>
      </c>
      <c r="B53" s="23"/>
      <c r="J53" s="3" t="s">
        <v>39</v>
      </c>
      <c r="U53" s="1"/>
      <c r="V53" s="1"/>
      <c r="W53" s="1"/>
      <c r="X53" s="1"/>
      <c r="Y53" s="1"/>
    </row>
    <row r="54" spans="1:25" s="3" customFormat="1" x14ac:dyDescent="0.25">
      <c r="B54" s="23"/>
      <c r="U54" s="1"/>
      <c r="V54" s="1"/>
      <c r="W54" s="1"/>
      <c r="X54" s="1"/>
      <c r="Y54" s="1"/>
    </row>
    <row r="55" spans="1:25" s="3" customFormat="1" x14ac:dyDescent="0.25">
      <c r="B55" s="23"/>
      <c r="U55" s="1"/>
      <c r="V55" s="1"/>
      <c r="W55" s="1"/>
      <c r="X55" s="1"/>
      <c r="Y55" s="1"/>
    </row>
    <row r="56" spans="1:25" s="3" customFormat="1" x14ac:dyDescent="0.25">
      <c r="A56" s="29"/>
      <c r="B56" s="23"/>
      <c r="D56" s="29"/>
      <c r="U56" s="1"/>
      <c r="V56" s="1"/>
      <c r="W56" s="1"/>
      <c r="X56" s="1"/>
      <c r="Y56" s="1"/>
    </row>
    <row r="57" spans="1:25" s="3" customFormat="1" x14ac:dyDescent="0.25">
      <c r="U57" s="1"/>
      <c r="V57" s="1"/>
      <c r="W57" s="1"/>
      <c r="X57" s="1"/>
      <c r="Y57" s="1"/>
    </row>
    <row r="58" spans="1:25" s="3" customFormat="1" x14ac:dyDescent="0.25">
      <c r="B58" s="23"/>
      <c r="U58" s="1"/>
      <c r="V58" s="1"/>
      <c r="W58" s="1"/>
      <c r="X58" s="1"/>
      <c r="Y58" s="1"/>
    </row>
    <row r="59" spans="1:25" s="3" customFormat="1" x14ac:dyDescent="0.25">
      <c r="B59" s="23"/>
      <c r="U59" s="1"/>
      <c r="V59" s="1"/>
      <c r="W59" s="1"/>
      <c r="X59" s="1"/>
      <c r="Y59" s="1"/>
    </row>
    <row r="60" spans="1:25" s="3" customFormat="1" x14ac:dyDescent="0.25">
      <c r="B60" s="23"/>
      <c r="U60" s="1"/>
      <c r="V60" s="1"/>
      <c r="W60" s="1"/>
      <c r="X60" s="1"/>
      <c r="Y60" s="1"/>
    </row>
    <row r="61" spans="1:25" s="3" customFormat="1" x14ac:dyDescent="0.25">
      <c r="B61" s="23"/>
      <c r="U61" s="1"/>
      <c r="V61" s="1"/>
      <c r="W61" s="1"/>
      <c r="X61" s="1"/>
      <c r="Y61" s="1"/>
    </row>
    <row r="62" spans="1:25" s="3" customFormat="1" x14ac:dyDescent="0.25">
      <c r="B62" s="23"/>
      <c r="U62" s="1"/>
      <c r="V62" s="1"/>
      <c r="W62" s="1"/>
      <c r="X62" s="1"/>
      <c r="Y62" s="1"/>
    </row>
    <row r="63" spans="1:25" s="3" customFormat="1" x14ac:dyDescent="0.25">
      <c r="B63" s="23"/>
      <c r="U63" s="1"/>
      <c r="V63" s="1"/>
      <c r="W63" s="1"/>
      <c r="X63" s="1"/>
      <c r="Y63" s="1"/>
    </row>
    <row r="64" spans="1:25" s="3" customFormat="1" x14ac:dyDescent="0.25">
      <c r="B64" s="23"/>
      <c r="U64" s="1"/>
      <c r="V64" s="1"/>
      <c r="W64" s="1"/>
      <c r="X64" s="1"/>
      <c r="Y64" s="1"/>
    </row>
    <row r="65" spans="2:25" s="3" customFormat="1" x14ac:dyDescent="0.25">
      <c r="B65" s="23"/>
      <c r="U65" s="1"/>
      <c r="V65" s="1"/>
      <c r="W65" s="1"/>
      <c r="X65" s="1"/>
      <c r="Y65" s="1"/>
    </row>
    <row r="66" spans="2:25" s="3" customFormat="1" x14ac:dyDescent="0.25">
      <c r="B66" s="23"/>
      <c r="U66" s="1"/>
      <c r="V66" s="1"/>
      <c r="W66" s="1"/>
      <c r="X66" s="1"/>
      <c r="Y66" s="1"/>
    </row>
    <row r="67" spans="2:25" s="3" customFormat="1" x14ac:dyDescent="0.25">
      <c r="B67" s="23"/>
      <c r="U67" s="1"/>
      <c r="V67" s="1"/>
      <c r="W67" s="1"/>
      <c r="X67" s="1"/>
      <c r="Y67" s="1"/>
    </row>
    <row r="68" spans="2:25" s="3" customFormat="1" x14ac:dyDescent="0.25">
      <c r="B68" s="23"/>
      <c r="U68" s="1"/>
      <c r="V68" s="1"/>
      <c r="W68" s="1"/>
      <c r="X68" s="1"/>
      <c r="Y68" s="1"/>
    </row>
    <row r="69" spans="2:25" s="3" customFormat="1" x14ac:dyDescent="0.25">
      <c r="B69" s="23"/>
      <c r="U69" s="1"/>
      <c r="V69" s="1"/>
      <c r="W69" s="1"/>
      <c r="X69" s="1"/>
      <c r="Y69" s="1"/>
    </row>
    <row r="70" spans="2:25" s="3" customFormat="1" x14ac:dyDescent="0.25">
      <c r="B70" s="23"/>
      <c r="U70" s="1"/>
      <c r="V70" s="1"/>
      <c r="W70" s="1"/>
      <c r="X70" s="1"/>
      <c r="Y70" s="1"/>
    </row>
    <row r="71" spans="2:25" s="3" customFormat="1" x14ac:dyDescent="0.25">
      <c r="B71" s="23"/>
      <c r="U71" s="1"/>
      <c r="V71" s="1"/>
      <c r="W71" s="1"/>
      <c r="X71" s="1"/>
      <c r="Y71" s="1"/>
    </row>
    <row r="72" spans="2:25" s="3" customFormat="1" x14ac:dyDescent="0.25">
      <c r="B72" s="23"/>
      <c r="U72" s="1"/>
      <c r="V72" s="1"/>
      <c r="W72" s="1"/>
      <c r="X72" s="1"/>
      <c r="Y72" s="1"/>
    </row>
    <row r="73" spans="2:25" s="3" customFormat="1" x14ac:dyDescent="0.25">
      <c r="B73" s="23"/>
      <c r="U73" s="1"/>
      <c r="V73" s="1"/>
      <c r="W73" s="1"/>
      <c r="X73" s="1"/>
      <c r="Y73" s="1"/>
    </row>
    <row r="74" spans="2:25" s="3" customFormat="1" x14ac:dyDescent="0.25">
      <c r="B74" s="23"/>
      <c r="U74" s="1"/>
      <c r="V74" s="1"/>
      <c r="W74" s="1"/>
      <c r="X74" s="1"/>
      <c r="Y74" s="1"/>
    </row>
    <row r="75" spans="2:25" s="3" customFormat="1" x14ac:dyDescent="0.25">
      <c r="B75" s="23"/>
      <c r="U75" s="1"/>
      <c r="V75" s="1"/>
      <c r="W75" s="1"/>
      <c r="X75" s="1"/>
      <c r="Y75" s="1"/>
    </row>
    <row r="76" spans="2:25" s="3" customFormat="1" x14ac:dyDescent="0.25">
      <c r="B76" s="23"/>
      <c r="U76" s="1"/>
      <c r="V76" s="1"/>
      <c r="W76" s="1"/>
      <c r="X76" s="1"/>
      <c r="Y76" s="1"/>
    </row>
    <row r="77" spans="2:25" s="3" customFormat="1" x14ac:dyDescent="0.25">
      <c r="B77" s="23"/>
      <c r="U77" s="1"/>
      <c r="V77" s="1"/>
      <c r="W77" s="1"/>
      <c r="X77" s="1"/>
      <c r="Y77" s="1"/>
    </row>
    <row r="78" spans="2:25" s="3" customFormat="1" x14ac:dyDescent="0.25">
      <c r="B78" s="23"/>
      <c r="U78" s="1"/>
      <c r="V78" s="1"/>
      <c r="W78" s="1"/>
      <c r="X78" s="1"/>
      <c r="Y78" s="1"/>
    </row>
    <row r="79" spans="2:25" s="3" customFormat="1" x14ac:dyDescent="0.25">
      <c r="B79" s="23"/>
      <c r="U79" s="1"/>
      <c r="V79" s="1"/>
      <c r="W79" s="1"/>
      <c r="X79" s="1"/>
      <c r="Y79" s="1"/>
    </row>
    <row r="80" spans="2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1:25" s="3" customFormat="1" x14ac:dyDescent="0.25">
      <c r="B225" s="23"/>
      <c r="U225" s="1"/>
      <c r="V225" s="1"/>
      <c r="W225" s="1"/>
      <c r="X225" s="1"/>
      <c r="Y225" s="1"/>
    </row>
    <row r="226" spans="1:25" s="3" customFormat="1" x14ac:dyDescent="0.25">
      <c r="B226" s="23"/>
      <c r="U226" s="1"/>
      <c r="V226" s="1"/>
      <c r="W226" s="1"/>
      <c r="X226" s="1"/>
      <c r="Y226" s="1"/>
    </row>
    <row r="227" spans="1:25" s="3" customFormat="1" x14ac:dyDescent="0.25">
      <c r="B227" s="23"/>
      <c r="U227" s="1"/>
      <c r="V227" s="1"/>
      <c r="W227" s="1"/>
      <c r="X227" s="1"/>
      <c r="Y227" s="1"/>
    </row>
    <row r="228" spans="1:25" s="3" customFormat="1" x14ac:dyDescent="0.25">
      <c r="B228" s="23"/>
      <c r="U228" s="1"/>
      <c r="V228" s="1"/>
      <c r="W228" s="1"/>
      <c r="X228" s="1"/>
      <c r="Y228" s="1"/>
    </row>
    <row r="229" spans="1:25" s="3" customFormat="1" x14ac:dyDescent="0.25">
      <c r="B229" s="23"/>
      <c r="U229" s="1"/>
      <c r="V229" s="1"/>
      <c r="W229" s="1"/>
      <c r="X229" s="1"/>
      <c r="Y229" s="1"/>
    </row>
    <row r="230" spans="1:25" s="3" customFormat="1" x14ac:dyDescent="0.25">
      <c r="B230" s="23"/>
      <c r="K230" s="6"/>
      <c r="L230" s="6"/>
      <c r="M230" s="6"/>
      <c r="N230" s="6"/>
      <c r="U230" s="1"/>
      <c r="V230" s="1"/>
      <c r="W230" s="1"/>
      <c r="X230" s="1"/>
      <c r="Y230" s="1"/>
    </row>
    <row r="231" spans="1:25" s="3" customFormat="1" x14ac:dyDescent="0.25">
      <c r="B231" s="23"/>
      <c r="K231" s="6"/>
      <c r="L231" s="6"/>
      <c r="M231" s="6"/>
      <c r="N231" s="6"/>
      <c r="U231" s="1"/>
      <c r="V231" s="1"/>
      <c r="W231" s="1"/>
      <c r="X231" s="1"/>
      <c r="Y231" s="1"/>
    </row>
    <row r="232" spans="1:25" s="3" customFormat="1" x14ac:dyDescent="0.25">
      <c r="B232" s="23"/>
      <c r="K232" s="6"/>
      <c r="L232" s="6"/>
      <c r="M232" s="6"/>
      <c r="N232" s="6"/>
      <c r="U232" s="1"/>
      <c r="V232" s="1"/>
      <c r="W232" s="1"/>
      <c r="X232" s="1"/>
      <c r="Y232" s="1"/>
    </row>
    <row r="233" spans="1:25" s="3" customFormat="1" x14ac:dyDescent="0.25">
      <c r="B233" s="23"/>
      <c r="J233" s="6"/>
      <c r="K233" s="6"/>
      <c r="L233" s="6"/>
      <c r="M233" s="6"/>
      <c r="N233" s="6"/>
      <c r="U233" s="1"/>
      <c r="V233" s="1"/>
      <c r="W233" s="1"/>
      <c r="X233" s="1"/>
      <c r="Y233" s="1"/>
    </row>
    <row r="234" spans="1:25" s="3" customFormat="1" x14ac:dyDescent="0.25">
      <c r="B234" s="23"/>
      <c r="J234" s="6"/>
      <c r="K234" s="6"/>
      <c r="L234" s="6"/>
      <c r="M234" s="6"/>
      <c r="N234" s="6"/>
      <c r="U234" s="1"/>
      <c r="V234" s="1"/>
      <c r="W234" s="1"/>
      <c r="X234" s="1"/>
      <c r="Y234" s="1"/>
    </row>
    <row r="235" spans="1:25" s="3" customFormat="1" x14ac:dyDescent="0.25">
      <c r="B235" s="23"/>
      <c r="J235" s="6"/>
      <c r="K235" s="6"/>
      <c r="L235" s="6"/>
      <c r="M235" s="6"/>
      <c r="N235" s="6"/>
      <c r="U235" s="1"/>
      <c r="V235" s="1"/>
      <c r="W235" s="1"/>
      <c r="X235" s="1"/>
      <c r="Y235" s="1"/>
    </row>
    <row r="236" spans="1:25" s="3" customFormat="1" x14ac:dyDescent="0.25">
      <c r="B236" s="23"/>
      <c r="J236" s="6"/>
      <c r="K236" s="6"/>
      <c r="L236" s="6"/>
      <c r="M236" s="6"/>
      <c r="N236" s="6"/>
      <c r="U236" s="1"/>
      <c r="V236" s="1"/>
      <c r="W236" s="1"/>
      <c r="X236" s="1"/>
      <c r="Y236" s="1"/>
    </row>
    <row r="237" spans="1:25" s="3" customFormat="1" x14ac:dyDescent="0.25">
      <c r="B237" s="23"/>
      <c r="J237" s="6"/>
      <c r="K237" s="6"/>
      <c r="L237" s="6"/>
      <c r="M237" s="6"/>
      <c r="N237" s="6"/>
      <c r="O237" s="6"/>
      <c r="U237" s="1"/>
      <c r="V237" s="1"/>
      <c r="W237" s="1"/>
      <c r="X237" s="1"/>
      <c r="Y237" s="1"/>
    </row>
    <row r="238" spans="1:25" s="3" customFormat="1" x14ac:dyDescent="0.25">
      <c r="B238" s="23"/>
      <c r="J238" s="6"/>
      <c r="K238" s="6"/>
      <c r="L238" s="6"/>
      <c r="M238" s="6"/>
      <c r="N238" s="6"/>
      <c r="O238" s="6"/>
      <c r="U238" s="1"/>
      <c r="V238" s="1"/>
      <c r="W238" s="1"/>
      <c r="X238" s="1"/>
      <c r="Y238" s="1"/>
    </row>
    <row r="239" spans="1:25" s="3" customFormat="1" x14ac:dyDescent="0.25">
      <c r="A239" s="6"/>
      <c r="B239" s="25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Q239" s="6"/>
      <c r="R239" s="6"/>
      <c r="S239" s="6"/>
      <c r="U239" s="1"/>
      <c r="V239" s="1"/>
      <c r="W239" s="1"/>
      <c r="X239" s="1"/>
      <c r="Y239" s="1"/>
    </row>
  </sheetData>
  <sheetProtection sheet="1" objects="1" scenarios="1"/>
  <mergeCells count="193">
    <mergeCell ref="F41:G41"/>
    <mergeCell ref="K41:L41"/>
    <mergeCell ref="A38:C38"/>
    <mergeCell ref="D38:E38"/>
    <mergeCell ref="F38:G38"/>
    <mergeCell ref="K38:L38"/>
    <mergeCell ref="A39:C39"/>
    <mergeCell ref="D39:E39"/>
    <mergeCell ref="F39:G39"/>
    <mergeCell ref="K39:L39"/>
    <mergeCell ref="H38:J38"/>
    <mergeCell ref="H39:J39"/>
    <mergeCell ref="H40:J40"/>
    <mergeCell ref="H41:J41"/>
    <mergeCell ref="D2:K4"/>
    <mergeCell ref="L2:N4"/>
    <mergeCell ref="R3:T3"/>
    <mergeCell ref="B5:K5"/>
    <mergeCell ref="L5:N5"/>
    <mergeCell ref="R5:T5"/>
    <mergeCell ref="C8:F8"/>
    <mergeCell ref="K8:N8"/>
    <mergeCell ref="C10:F10"/>
    <mergeCell ref="K10:N10"/>
    <mergeCell ref="A16:C16"/>
    <mergeCell ref="A17:C17"/>
    <mergeCell ref="A13:C13"/>
    <mergeCell ref="D13:E13"/>
    <mergeCell ref="F13:G13"/>
    <mergeCell ref="H13:J13"/>
    <mergeCell ref="K13:L13"/>
    <mergeCell ref="M13:N13"/>
    <mergeCell ref="D15:E15"/>
    <mergeCell ref="F15:G15"/>
    <mergeCell ref="H15:J15"/>
    <mergeCell ref="K15:L15"/>
    <mergeCell ref="M15:N15"/>
    <mergeCell ref="D14:E14"/>
    <mergeCell ref="F14:G14"/>
    <mergeCell ref="H14:J14"/>
    <mergeCell ref="K14:L14"/>
    <mergeCell ref="M14:N14"/>
    <mergeCell ref="A14:C14"/>
    <mergeCell ref="A15:C15"/>
    <mergeCell ref="D17:E17"/>
    <mergeCell ref="F17:G17"/>
    <mergeCell ref="H17:J17"/>
    <mergeCell ref="K17:L17"/>
    <mergeCell ref="M17:N17"/>
    <mergeCell ref="D16:E16"/>
    <mergeCell ref="F16:G16"/>
    <mergeCell ref="H16:J16"/>
    <mergeCell ref="K16:L16"/>
    <mergeCell ref="M16:N16"/>
    <mergeCell ref="A20:C20"/>
    <mergeCell ref="A21:C21"/>
    <mergeCell ref="D19:E19"/>
    <mergeCell ref="F19:G19"/>
    <mergeCell ref="H19:J19"/>
    <mergeCell ref="K19:L19"/>
    <mergeCell ref="M19:N19"/>
    <mergeCell ref="D18:E18"/>
    <mergeCell ref="F18:G18"/>
    <mergeCell ref="H18:J18"/>
    <mergeCell ref="K18:L18"/>
    <mergeCell ref="M18:N18"/>
    <mergeCell ref="A18:C18"/>
    <mergeCell ref="A19:C19"/>
    <mergeCell ref="D21:E21"/>
    <mergeCell ref="F21:G21"/>
    <mergeCell ref="H21:J21"/>
    <mergeCell ref="K21:L21"/>
    <mergeCell ref="M21:N21"/>
    <mergeCell ref="D20:E20"/>
    <mergeCell ref="F20:G20"/>
    <mergeCell ref="H20:J20"/>
    <mergeCell ref="K20:L20"/>
    <mergeCell ref="M20:N20"/>
    <mergeCell ref="A24:C24"/>
    <mergeCell ref="A25:C25"/>
    <mergeCell ref="D23:E23"/>
    <mergeCell ref="F23:G23"/>
    <mergeCell ref="H23:J23"/>
    <mergeCell ref="K23:L23"/>
    <mergeCell ref="M23:N23"/>
    <mergeCell ref="D22:E22"/>
    <mergeCell ref="F22:G22"/>
    <mergeCell ref="H22:J22"/>
    <mergeCell ref="K22:L22"/>
    <mergeCell ref="M22:N22"/>
    <mergeCell ref="A22:C22"/>
    <mergeCell ref="A23:C23"/>
    <mergeCell ref="D25:E25"/>
    <mergeCell ref="F25:G25"/>
    <mergeCell ref="H25:J25"/>
    <mergeCell ref="K25:L25"/>
    <mergeCell ref="M25:N25"/>
    <mergeCell ref="D24:E24"/>
    <mergeCell ref="F24:G24"/>
    <mergeCell ref="H24:J24"/>
    <mergeCell ref="K24:L24"/>
    <mergeCell ref="M24:N24"/>
    <mergeCell ref="A28:C28"/>
    <mergeCell ref="A29:C29"/>
    <mergeCell ref="D27:E27"/>
    <mergeCell ref="F27:G27"/>
    <mergeCell ref="H27:J27"/>
    <mergeCell ref="K27:L27"/>
    <mergeCell ref="M27:N27"/>
    <mergeCell ref="D26:E26"/>
    <mergeCell ref="F26:G26"/>
    <mergeCell ref="H26:J26"/>
    <mergeCell ref="K26:L26"/>
    <mergeCell ref="M26:N26"/>
    <mergeCell ref="A26:C26"/>
    <mergeCell ref="A27:C27"/>
    <mergeCell ref="D29:E29"/>
    <mergeCell ref="F29:G29"/>
    <mergeCell ref="H29:J29"/>
    <mergeCell ref="K29:L29"/>
    <mergeCell ref="M29:N29"/>
    <mergeCell ref="D28:E28"/>
    <mergeCell ref="F28:G28"/>
    <mergeCell ref="H28:J28"/>
    <mergeCell ref="K28:L28"/>
    <mergeCell ref="M28:N28"/>
    <mergeCell ref="A32:C32"/>
    <mergeCell ref="A33:C33"/>
    <mergeCell ref="D31:E31"/>
    <mergeCell ref="F31:G31"/>
    <mergeCell ref="H31:J31"/>
    <mergeCell ref="K31:L31"/>
    <mergeCell ref="M31:N31"/>
    <mergeCell ref="D30:E30"/>
    <mergeCell ref="F30:G30"/>
    <mergeCell ref="H30:J30"/>
    <mergeCell ref="K30:L30"/>
    <mergeCell ref="M30:N30"/>
    <mergeCell ref="A30:C30"/>
    <mergeCell ref="A31:C31"/>
    <mergeCell ref="M34:N34"/>
    <mergeCell ref="D33:E33"/>
    <mergeCell ref="F33:G33"/>
    <mergeCell ref="H33:J33"/>
    <mergeCell ref="K33:L33"/>
    <mergeCell ref="M33:N33"/>
    <mergeCell ref="D32:E32"/>
    <mergeCell ref="F32:G32"/>
    <mergeCell ref="H32:J32"/>
    <mergeCell ref="K32:L32"/>
    <mergeCell ref="M32:N32"/>
    <mergeCell ref="D34:E34"/>
    <mergeCell ref="F34:G34"/>
    <mergeCell ref="H34:J34"/>
    <mergeCell ref="K34:L34"/>
    <mergeCell ref="A34:C34"/>
    <mergeCell ref="A35:C35"/>
    <mergeCell ref="A36:C36"/>
    <mergeCell ref="F37:G37"/>
    <mergeCell ref="K37:L37"/>
    <mergeCell ref="D35:E35"/>
    <mergeCell ref="F35:G35"/>
    <mergeCell ref="K35:L35"/>
    <mergeCell ref="D36:E36"/>
    <mergeCell ref="F36:G36"/>
    <mergeCell ref="K36:L36"/>
    <mergeCell ref="H35:J35"/>
    <mergeCell ref="H36:J36"/>
    <mergeCell ref="H37:J37"/>
    <mergeCell ref="D43:E43"/>
    <mergeCell ref="B47:F52"/>
    <mergeCell ref="J47:N52"/>
    <mergeCell ref="A42:C42"/>
    <mergeCell ref="D42:E42"/>
    <mergeCell ref="F42:G42"/>
    <mergeCell ref="K42:L42"/>
    <mergeCell ref="H42:J42"/>
    <mergeCell ref="M35:N35"/>
    <mergeCell ref="M36:N36"/>
    <mergeCell ref="M37:N37"/>
    <mergeCell ref="M38:N38"/>
    <mergeCell ref="M39:N39"/>
    <mergeCell ref="M40:N40"/>
    <mergeCell ref="M41:N41"/>
    <mergeCell ref="M42:N42"/>
    <mergeCell ref="A37:C37"/>
    <mergeCell ref="D37:E37"/>
    <mergeCell ref="A40:C40"/>
    <mergeCell ref="D40:E40"/>
    <mergeCell ref="F40:G40"/>
    <mergeCell ref="K40:L40"/>
    <mergeCell ref="A41:C41"/>
    <mergeCell ref="D41:E41"/>
  </mergeCells>
  <conditionalFormatting sqref="D14:D36 D42">
    <cfRule type="expression" dxfId="105" priority="5">
      <formula>#REF!="Non"</formula>
    </cfRule>
    <cfRule type="expression" dxfId="104" priority="6">
      <formula>#REF!="Oui"</formula>
    </cfRule>
  </conditionalFormatting>
  <conditionalFormatting sqref="D37">
    <cfRule type="expression" dxfId="103" priority="3">
      <formula>#REF!="Non"</formula>
    </cfRule>
    <cfRule type="expression" dxfId="102" priority="4">
      <formula>#REF!="Oui"</formula>
    </cfRule>
  </conditionalFormatting>
  <conditionalFormatting sqref="D38:D41">
    <cfRule type="expression" dxfId="101" priority="1">
      <formula>#REF!="Non"</formula>
    </cfRule>
    <cfRule type="expression" dxfId="100" priority="2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BD244"/>
  <sheetViews>
    <sheetView topLeftCell="A13" zoomScale="90" zoomScaleNormal="90" workbookViewId="0">
      <selection activeCell="T39" sqref="T39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1.85546875" style="6" customWidth="1"/>
    <col min="4" max="4" width="8.42578125" style="6" customWidth="1"/>
    <col min="5" max="5" width="6.42578125" style="6" customWidth="1"/>
    <col min="6" max="6" width="5.42578125" style="6" customWidth="1"/>
    <col min="7" max="7" width="8" style="6" customWidth="1"/>
    <col min="8" max="8" width="5.85546875" style="6" customWidth="1"/>
    <col min="9" max="9" width="9.42578125" style="6" customWidth="1"/>
    <col min="10" max="10" width="14.42578125" style="6" customWidth="1"/>
    <col min="11" max="12" width="8.140625" style="6" customWidth="1"/>
    <col min="13" max="13" width="8" style="6" customWidth="1"/>
    <col min="14" max="14" width="10.42578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67</v>
      </c>
      <c r="E2" s="195"/>
      <c r="F2" s="195"/>
      <c r="G2" s="195"/>
      <c r="H2" s="195"/>
      <c r="I2" s="195"/>
      <c r="J2" s="195"/>
      <c r="K2" s="195"/>
      <c r="L2" s="251">
        <f>'Niveau 1 Avril'!L2:N4</f>
        <v>45383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6"/>
      <c r="Q3" s="4"/>
      <c r="R3" s="220"/>
      <c r="S3" s="220"/>
      <c r="T3" s="220"/>
      <c r="U3" s="36"/>
      <c r="V3" s="36"/>
      <c r="W3" s="36"/>
      <c r="X3" s="36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6"/>
      <c r="Q4" s="4"/>
      <c r="R4" s="36"/>
      <c r="S4" s="36"/>
      <c r="T4" s="36"/>
      <c r="U4" s="36"/>
      <c r="V4" s="36"/>
      <c r="W4" s="36"/>
      <c r="X4" s="36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f>+'Niveau 1 Avril'!L5:N5</f>
        <v>45384</v>
      </c>
      <c r="M5" s="222"/>
      <c r="N5" s="222"/>
      <c r="O5" s="3"/>
      <c r="P5" s="36"/>
      <c r="Q5" s="5"/>
      <c r="R5" s="220"/>
      <c r="S5" s="220"/>
      <c r="T5" s="220"/>
      <c r="U5" s="36"/>
      <c r="V5" s="36"/>
      <c r="W5" s="36"/>
      <c r="X5" s="36"/>
      <c r="Y5" s="5"/>
    </row>
    <row r="6" spans="1:25" ht="19.5" customHeight="1" x14ac:dyDescent="0.35">
      <c r="A6" s="27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40"/>
      <c r="V6" s="40"/>
      <c r="W6" s="40"/>
      <c r="X6" s="40"/>
      <c r="Y6" s="5"/>
    </row>
    <row r="7" spans="1:25" ht="19.5" customHeight="1" thickBot="1" x14ac:dyDescent="0.4">
      <c r="A7" s="111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40"/>
      <c r="V7" s="40"/>
      <c r="W7" s="40"/>
      <c r="X7" s="40"/>
      <c r="Y7" s="5"/>
    </row>
    <row r="8" spans="1:25" ht="18" customHeight="1" thickBot="1" x14ac:dyDescent="0.3">
      <c r="A8" s="8" t="s">
        <v>2</v>
      </c>
      <c r="B8" s="24"/>
      <c r="C8" s="223"/>
      <c r="D8" s="224"/>
      <c r="E8" s="224"/>
      <c r="F8" s="225"/>
      <c r="G8" s="9"/>
      <c r="H8" s="8" t="s">
        <v>26</v>
      </c>
      <c r="I8" s="8"/>
      <c r="J8" s="8"/>
      <c r="K8" s="223"/>
      <c r="L8" s="224"/>
      <c r="M8" s="224"/>
      <c r="N8" s="225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223"/>
      <c r="D10" s="224"/>
      <c r="E10" s="224"/>
      <c r="F10" s="225"/>
      <c r="G10" s="9"/>
      <c r="H10" s="8" t="s">
        <v>25</v>
      </c>
      <c r="I10" s="8"/>
      <c r="J10" s="8"/>
      <c r="K10" s="223"/>
      <c r="L10" s="224"/>
      <c r="M10" s="224"/>
      <c r="N10" s="225"/>
      <c r="O10" s="26"/>
      <c r="P10" s="26"/>
      <c r="Q10" s="26"/>
      <c r="R10" s="26"/>
      <c r="S10" s="26"/>
      <c r="T10" s="26"/>
      <c r="U10" s="11"/>
    </row>
    <row r="11" spans="1:25" ht="18" customHeight="1" thickBot="1" x14ac:dyDescent="0.35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8" customHeight="1" thickBot="1" x14ac:dyDescent="0.35">
      <c r="A12" s="8" t="s">
        <v>49</v>
      </c>
      <c r="B12" s="24"/>
      <c r="C12" s="223"/>
      <c r="D12" s="224"/>
      <c r="E12" s="224"/>
      <c r="F12" s="225"/>
      <c r="G12" s="24"/>
      <c r="H12" s="8" t="s">
        <v>52</v>
      </c>
      <c r="I12" s="8"/>
      <c r="J12" s="24"/>
      <c r="K12" s="241"/>
      <c r="L12" s="242"/>
      <c r="M12" s="8" t="s">
        <v>59</v>
      </c>
      <c r="N12" s="24"/>
      <c r="O12" s="26"/>
      <c r="P12" s="26"/>
      <c r="Q12" s="26"/>
      <c r="R12" s="26"/>
      <c r="S12" s="26"/>
      <c r="T12" s="26"/>
      <c r="U12" s="11"/>
    </row>
    <row r="13" spans="1:25" ht="18" customHeight="1" thickBot="1" x14ac:dyDescent="0.35">
      <c r="A13" s="8"/>
      <c r="B13" s="24"/>
      <c r="C13" s="24"/>
      <c r="D13" s="24"/>
      <c r="E13" s="24"/>
      <c r="F13" s="24"/>
      <c r="G13" s="24"/>
      <c r="H13" s="8" t="s">
        <v>51</v>
      </c>
      <c r="I13" s="8"/>
      <c r="J13" s="24"/>
      <c r="K13" s="260"/>
      <c r="L13" s="261"/>
      <c r="M13" s="32" t="s">
        <v>60</v>
      </c>
      <c r="N13" s="24"/>
      <c r="O13" s="26"/>
      <c r="P13" s="26"/>
      <c r="Q13" s="26"/>
      <c r="R13" s="26"/>
      <c r="S13" s="26"/>
      <c r="T13" s="26"/>
      <c r="U13" s="11"/>
    </row>
    <row r="14" spans="1:25" ht="13.5" customHeight="1" thickBot="1" x14ac:dyDescent="0.35">
      <c r="A14" s="8"/>
      <c r="B14" s="24"/>
      <c r="C14" s="24"/>
      <c r="D14" s="24"/>
      <c r="E14" s="24"/>
      <c r="F14" s="24"/>
      <c r="G14" s="9"/>
      <c r="H14" s="8"/>
      <c r="I14" s="8"/>
      <c r="J14" s="8"/>
      <c r="K14" s="8"/>
      <c r="L14" s="8"/>
      <c r="M14" s="8"/>
      <c r="N14" s="8"/>
      <c r="O14" s="26"/>
      <c r="P14" s="26"/>
      <c r="Q14" s="26"/>
      <c r="R14" s="26"/>
      <c r="S14" s="26"/>
      <c r="T14" s="26"/>
      <c r="U14" s="11"/>
    </row>
    <row r="15" spans="1:25" ht="22.5" customHeight="1" thickBot="1" x14ac:dyDescent="0.35">
      <c r="A15" s="8"/>
      <c r="B15" s="24"/>
      <c r="C15" s="10"/>
      <c r="D15" s="10"/>
      <c r="E15" s="10"/>
      <c r="F15" s="262" t="s">
        <v>28</v>
      </c>
      <c r="G15" s="263"/>
      <c r="H15" s="263"/>
      <c r="I15" s="263"/>
      <c r="J15" s="263"/>
      <c r="K15" s="263"/>
      <c r="L15" s="263"/>
      <c r="M15" s="263"/>
      <c r="N15" s="264"/>
      <c r="O15" s="26"/>
      <c r="P15" s="26"/>
      <c r="Q15" s="26"/>
      <c r="R15" s="26"/>
      <c r="S15" s="26"/>
      <c r="T15" s="26"/>
      <c r="U15" s="11"/>
    </row>
    <row r="16" spans="1:25" s="19" customFormat="1" ht="54.75" customHeight="1" x14ac:dyDescent="0.25">
      <c r="A16" s="200" t="s">
        <v>1</v>
      </c>
      <c r="B16" s="201"/>
      <c r="C16" s="202"/>
      <c r="D16" s="203" t="s">
        <v>58</v>
      </c>
      <c r="E16" s="204"/>
      <c r="F16" s="265" t="s">
        <v>29</v>
      </c>
      <c r="G16" s="265"/>
      <c r="H16" s="266" t="s">
        <v>61</v>
      </c>
      <c r="I16" s="267"/>
      <c r="J16" s="37" t="s">
        <v>63</v>
      </c>
      <c r="K16" s="268" t="s">
        <v>64</v>
      </c>
      <c r="L16" s="269"/>
      <c r="M16" s="266" t="s">
        <v>30</v>
      </c>
      <c r="N16" s="267"/>
      <c r="O16" s="26"/>
      <c r="P16" s="26"/>
      <c r="Q16" s="26"/>
      <c r="R16" s="26"/>
      <c r="S16" s="26"/>
      <c r="T16" s="26"/>
      <c r="U16" s="20"/>
      <c r="V16" s="20"/>
      <c r="W16" s="20"/>
      <c r="X16" s="21"/>
    </row>
    <row r="17" spans="1:24" s="3" customFormat="1" ht="15.75" x14ac:dyDescent="0.25">
      <c r="A17" s="191">
        <v>45355</v>
      </c>
      <c r="B17" s="286"/>
      <c r="C17" s="287"/>
      <c r="D17" s="243"/>
      <c r="E17" s="243"/>
      <c r="F17" s="244"/>
      <c r="G17" s="245"/>
      <c r="H17" s="246"/>
      <c r="I17" s="247"/>
      <c r="J17" s="100"/>
      <c r="K17" s="248"/>
      <c r="L17" s="248"/>
      <c r="M17" s="249">
        <f t="shared" ref="M17" si="0">+K17-J17</f>
        <v>0</v>
      </c>
      <c r="N17" s="250"/>
      <c r="O17" s="26"/>
      <c r="P17" s="26"/>
      <c r="Q17" s="26"/>
      <c r="R17" s="26"/>
      <c r="S17" s="26"/>
      <c r="T17" s="26"/>
      <c r="U17" s="13"/>
      <c r="V17" s="13"/>
      <c r="W17" s="13"/>
      <c r="X17" s="1"/>
    </row>
    <row r="18" spans="1:24" s="3" customFormat="1" ht="15.75" x14ac:dyDescent="0.25">
      <c r="A18" s="191">
        <v>45356</v>
      </c>
      <c r="B18" s="286"/>
      <c r="C18" s="287"/>
      <c r="D18" s="243"/>
      <c r="E18" s="243"/>
      <c r="F18" s="244"/>
      <c r="G18" s="245"/>
      <c r="H18" s="246"/>
      <c r="I18" s="247"/>
      <c r="J18" s="100"/>
      <c r="K18" s="248"/>
      <c r="L18" s="248"/>
      <c r="M18" s="249">
        <f t="shared" ref="M18:M44" si="1">+K18-J18</f>
        <v>0</v>
      </c>
      <c r="N18" s="250"/>
      <c r="P18" s="26"/>
      <c r="Q18" s="26"/>
      <c r="R18" s="26"/>
      <c r="S18" s="26"/>
      <c r="T18" s="26"/>
      <c r="U18" s="13"/>
      <c r="V18" s="13"/>
      <c r="W18" s="13"/>
      <c r="X18" s="1"/>
    </row>
    <row r="19" spans="1:24" s="3" customFormat="1" ht="15.75" x14ac:dyDescent="0.25">
      <c r="A19" s="191">
        <v>45357</v>
      </c>
      <c r="B19" s="286"/>
      <c r="C19" s="287"/>
      <c r="D19" s="243"/>
      <c r="E19" s="243"/>
      <c r="F19" s="244"/>
      <c r="G19" s="245"/>
      <c r="H19" s="246"/>
      <c r="I19" s="247"/>
      <c r="J19" s="100"/>
      <c r="K19" s="248"/>
      <c r="L19" s="248"/>
      <c r="M19" s="249">
        <f t="shared" si="1"/>
        <v>0</v>
      </c>
      <c r="N19" s="250"/>
      <c r="P19" s="26"/>
      <c r="Q19" s="26"/>
      <c r="R19" s="26"/>
      <c r="S19" s="26"/>
      <c r="T19" s="26"/>
      <c r="U19" s="26"/>
      <c r="V19" s="13"/>
      <c r="W19" s="13"/>
      <c r="X19" s="1"/>
    </row>
    <row r="20" spans="1:24" s="3" customFormat="1" x14ac:dyDescent="0.25">
      <c r="A20" s="191">
        <v>45358</v>
      </c>
      <c r="B20" s="286"/>
      <c r="C20" s="287"/>
      <c r="D20" s="243"/>
      <c r="E20" s="243"/>
      <c r="F20" s="244"/>
      <c r="G20" s="245"/>
      <c r="H20" s="246"/>
      <c r="I20" s="247"/>
      <c r="J20" s="100"/>
      <c r="K20" s="248"/>
      <c r="L20" s="248"/>
      <c r="M20" s="249">
        <f t="shared" si="1"/>
        <v>0</v>
      </c>
      <c r="N20" s="250"/>
      <c r="P20" s="12"/>
      <c r="Q20" s="12"/>
      <c r="R20" s="12"/>
      <c r="S20" s="12"/>
      <c r="T20" s="13"/>
      <c r="U20" s="13"/>
      <c r="V20" s="13"/>
      <c r="W20" s="13"/>
      <c r="X20" s="1"/>
    </row>
    <row r="21" spans="1:24" s="3" customFormat="1" x14ac:dyDescent="0.25">
      <c r="A21" s="191">
        <v>45359</v>
      </c>
      <c r="B21" s="286"/>
      <c r="C21" s="287"/>
      <c r="D21" s="243"/>
      <c r="E21" s="243"/>
      <c r="F21" s="244"/>
      <c r="G21" s="245"/>
      <c r="H21" s="246"/>
      <c r="I21" s="247"/>
      <c r="J21" s="100"/>
      <c r="K21" s="248"/>
      <c r="L21" s="248"/>
      <c r="M21" s="249">
        <f t="shared" si="1"/>
        <v>0</v>
      </c>
      <c r="N21" s="250"/>
      <c r="P21" s="12"/>
      <c r="Q21" s="12"/>
      <c r="R21" s="12"/>
      <c r="S21" s="12"/>
      <c r="T21" s="13"/>
      <c r="U21" s="13"/>
      <c r="V21" s="13"/>
      <c r="W21" s="13"/>
      <c r="X21" s="1"/>
    </row>
    <row r="22" spans="1:24" s="3" customFormat="1" x14ac:dyDescent="0.25">
      <c r="A22" s="191">
        <v>45360</v>
      </c>
      <c r="B22" s="286"/>
      <c r="C22" s="287"/>
      <c r="D22" s="243"/>
      <c r="E22" s="243"/>
      <c r="F22" s="244"/>
      <c r="G22" s="245"/>
      <c r="H22" s="246"/>
      <c r="I22" s="247"/>
      <c r="J22" s="100"/>
      <c r="K22" s="248"/>
      <c r="L22" s="248"/>
      <c r="M22" s="249">
        <f t="shared" si="1"/>
        <v>0</v>
      </c>
      <c r="N22" s="250"/>
      <c r="P22" s="12"/>
      <c r="Q22" s="12"/>
      <c r="R22" s="12"/>
      <c r="S22" s="12"/>
      <c r="T22" s="13"/>
      <c r="U22" s="13"/>
      <c r="V22" s="13"/>
      <c r="W22" s="13"/>
      <c r="X22" s="1"/>
    </row>
    <row r="23" spans="1:24" s="3" customFormat="1" x14ac:dyDescent="0.25">
      <c r="A23" s="191">
        <v>45361</v>
      </c>
      <c r="B23" s="286"/>
      <c r="C23" s="287"/>
      <c r="D23" s="243"/>
      <c r="E23" s="243"/>
      <c r="F23" s="244"/>
      <c r="G23" s="245"/>
      <c r="H23" s="246"/>
      <c r="I23" s="247"/>
      <c r="J23" s="100"/>
      <c r="K23" s="248"/>
      <c r="L23" s="248"/>
      <c r="M23" s="249">
        <f t="shared" si="1"/>
        <v>0</v>
      </c>
      <c r="N23" s="250"/>
      <c r="P23" s="12"/>
      <c r="Q23" s="12"/>
      <c r="R23" s="12"/>
      <c r="S23" s="12"/>
      <c r="T23" s="13"/>
      <c r="U23" s="13"/>
      <c r="V23" s="13"/>
      <c r="W23" s="13"/>
      <c r="X23" s="1"/>
    </row>
    <row r="24" spans="1:24" s="3" customFormat="1" x14ac:dyDescent="0.25">
      <c r="A24" s="191">
        <v>45362</v>
      </c>
      <c r="B24" s="286"/>
      <c r="C24" s="287"/>
      <c r="D24" s="243"/>
      <c r="E24" s="243"/>
      <c r="F24" s="244"/>
      <c r="G24" s="245"/>
      <c r="H24" s="246"/>
      <c r="I24" s="247"/>
      <c r="J24" s="100"/>
      <c r="K24" s="248"/>
      <c r="L24" s="248"/>
      <c r="M24" s="249">
        <f t="shared" si="1"/>
        <v>0</v>
      </c>
      <c r="N24" s="250"/>
      <c r="P24" s="12"/>
      <c r="Q24" s="12"/>
      <c r="R24" s="12"/>
      <c r="S24" s="12"/>
      <c r="T24" s="13"/>
      <c r="U24" s="13"/>
      <c r="V24" s="13"/>
      <c r="W24" s="13"/>
      <c r="X24" s="1"/>
    </row>
    <row r="25" spans="1:24" s="3" customFormat="1" x14ac:dyDescent="0.25">
      <c r="A25" s="191">
        <v>45363</v>
      </c>
      <c r="B25" s="286"/>
      <c r="C25" s="287"/>
      <c r="D25" s="243"/>
      <c r="E25" s="243"/>
      <c r="F25" s="244"/>
      <c r="G25" s="245"/>
      <c r="H25" s="246"/>
      <c r="I25" s="247"/>
      <c r="J25" s="100"/>
      <c r="K25" s="248"/>
      <c r="L25" s="248"/>
      <c r="M25" s="249">
        <f t="shared" si="1"/>
        <v>0</v>
      </c>
      <c r="N25" s="250"/>
      <c r="P25" s="12"/>
      <c r="Q25" s="12"/>
      <c r="R25" s="12"/>
      <c r="S25" s="12"/>
      <c r="T25" s="13"/>
      <c r="U25" s="13"/>
      <c r="V25" s="13"/>
      <c r="W25" s="13"/>
      <c r="X25" s="1"/>
    </row>
    <row r="26" spans="1:24" s="3" customFormat="1" x14ac:dyDescent="0.25">
      <c r="A26" s="191">
        <v>45364</v>
      </c>
      <c r="B26" s="286"/>
      <c r="C26" s="287"/>
      <c r="D26" s="243"/>
      <c r="E26" s="243"/>
      <c r="F26" s="244"/>
      <c r="G26" s="245"/>
      <c r="H26" s="246"/>
      <c r="I26" s="247"/>
      <c r="J26" s="100"/>
      <c r="K26" s="248"/>
      <c r="L26" s="248"/>
      <c r="M26" s="249">
        <f t="shared" si="1"/>
        <v>0</v>
      </c>
      <c r="N26" s="250"/>
      <c r="P26" s="12"/>
      <c r="Q26" s="12"/>
      <c r="R26" s="12"/>
      <c r="S26" s="12"/>
      <c r="T26" s="13"/>
      <c r="U26" s="13"/>
      <c r="V26" s="13"/>
      <c r="W26" s="13"/>
      <c r="X26" s="1"/>
    </row>
    <row r="27" spans="1:24" s="3" customFormat="1" x14ac:dyDescent="0.25">
      <c r="A27" s="191">
        <v>45365</v>
      </c>
      <c r="B27" s="286"/>
      <c r="C27" s="287"/>
      <c r="D27" s="243"/>
      <c r="E27" s="243"/>
      <c r="F27" s="244"/>
      <c r="G27" s="245"/>
      <c r="H27" s="246"/>
      <c r="I27" s="247"/>
      <c r="J27" s="100"/>
      <c r="K27" s="248"/>
      <c r="L27" s="248"/>
      <c r="M27" s="249">
        <f t="shared" si="1"/>
        <v>0</v>
      </c>
      <c r="N27" s="250"/>
      <c r="P27" s="12"/>
      <c r="Q27" s="15"/>
      <c r="R27" s="15"/>
      <c r="S27" s="15"/>
      <c r="T27" s="13"/>
      <c r="U27" s="13"/>
      <c r="V27" s="13"/>
      <c r="W27" s="13"/>
      <c r="X27" s="1"/>
    </row>
    <row r="28" spans="1:24" s="3" customFormat="1" x14ac:dyDescent="0.25">
      <c r="A28" s="191">
        <v>45366</v>
      </c>
      <c r="B28" s="286"/>
      <c r="C28" s="287"/>
      <c r="D28" s="243"/>
      <c r="E28" s="243"/>
      <c r="F28" s="244"/>
      <c r="G28" s="245"/>
      <c r="H28" s="246"/>
      <c r="I28" s="247"/>
      <c r="J28" s="100"/>
      <c r="K28" s="248"/>
      <c r="L28" s="248"/>
      <c r="M28" s="249">
        <f t="shared" si="1"/>
        <v>0</v>
      </c>
      <c r="N28" s="250"/>
      <c r="P28" s="12"/>
      <c r="Q28" s="15"/>
      <c r="R28" s="15"/>
      <c r="S28" s="15"/>
      <c r="T28" s="13"/>
      <c r="U28" s="13"/>
      <c r="V28" s="13"/>
      <c r="W28" s="13"/>
      <c r="X28" s="1"/>
    </row>
    <row r="29" spans="1:24" s="3" customFormat="1" x14ac:dyDescent="0.25">
      <c r="A29" s="191">
        <v>45367</v>
      </c>
      <c r="B29" s="286"/>
      <c r="C29" s="287"/>
      <c r="D29" s="243"/>
      <c r="E29" s="243"/>
      <c r="F29" s="244"/>
      <c r="G29" s="245"/>
      <c r="H29" s="246"/>
      <c r="I29" s="247"/>
      <c r="J29" s="100"/>
      <c r="K29" s="248"/>
      <c r="L29" s="248"/>
      <c r="M29" s="249">
        <f t="shared" si="1"/>
        <v>0</v>
      </c>
      <c r="N29" s="250"/>
      <c r="P29" s="12"/>
      <c r="Q29" s="15"/>
      <c r="R29" s="15"/>
      <c r="S29" s="15"/>
      <c r="T29" s="13"/>
      <c r="U29" s="13"/>
      <c r="V29" s="13"/>
      <c r="W29" s="13"/>
      <c r="X29" s="1"/>
    </row>
    <row r="30" spans="1:24" s="3" customFormat="1" x14ac:dyDescent="0.25">
      <c r="A30" s="191">
        <v>45368</v>
      </c>
      <c r="B30" s="286"/>
      <c r="C30" s="287"/>
      <c r="D30" s="243"/>
      <c r="E30" s="243"/>
      <c r="F30" s="244"/>
      <c r="G30" s="245"/>
      <c r="H30" s="246"/>
      <c r="I30" s="247"/>
      <c r="J30" s="100"/>
      <c r="K30" s="248"/>
      <c r="L30" s="248"/>
      <c r="M30" s="249">
        <f t="shared" si="1"/>
        <v>0</v>
      </c>
      <c r="N30" s="250"/>
      <c r="O30" s="1"/>
      <c r="P30" s="12"/>
      <c r="Q30" s="15"/>
      <c r="R30" s="15"/>
      <c r="S30" s="15"/>
      <c r="T30" s="13"/>
      <c r="U30" s="13"/>
      <c r="V30" s="13"/>
      <c r="W30" s="13"/>
      <c r="X30" s="1"/>
    </row>
    <row r="31" spans="1:24" s="3" customFormat="1" x14ac:dyDescent="0.25">
      <c r="A31" s="191">
        <v>45369</v>
      </c>
      <c r="B31" s="286"/>
      <c r="C31" s="287"/>
      <c r="D31" s="270"/>
      <c r="E31" s="271"/>
      <c r="F31" s="101"/>
      <c r="G31" s="102"/>
      <c r="H31" s="103"/>
      <c r="I31" s="104"/>
      <c r="J31" s="100"/>
      <c r="K31" s="249"/>
      <c r="L31" s="250"/>
      <c r="M31" s="249">
        <f t="shared" si="1"/>
        <v>0</v>
      </c>
      <c r="N31" s="250"/>
      <c r="O31" s="1"/>
      <c r="P31" s="12"/>
      <c r="Q31" s="15"/>
      <c r="R31" s="15"/>
      <c r="S31" s="15"/>
      <c r="T31" s="13"/>
      <c r="U31" s="13"/>
      <c r="V31" s="13"/>
      <c r="W31" s="13"/>
      <c r="X31" s="1"/>
    </row>
    <row r="32" spans="1:24" s="3" customFormat="1" x14ac:dyDescent="0.25">
      <c r="A32" s="191">
        <v>45370</v>
      </c>
      <c r="B32" s="286"/>
      <c r="C32" s="287"/>
      <c r="D32" s="270"/>
      <c r="E32" s="271"/>
      <c r="F32" s="101"/>
      <c r="G32" s="102"/>
      <c r="H32" s="103"/>
      <c r="I32" s="104"/>
      <c r="J32" s="100"/>
      <c r="K32" s="249"/>
      <c r="L32" s="250"/>
      <c r="M32" s="249">
        <f t="shared" si="1"/>
        <v>0</v>
      </c>
      <c r="N32" s="250"/>
      <c r="O32" s="1"/>
      <c r="P32" s="12"/>
      <c r="Q32" s="15"/>
      <c r="R32" s="15"/>
      <c r="S32" s="15"/>
      <c r="T32" s="13"/>
      <c r="U32" s="13"/>
      <c r="V32" s="13"/>
      <c r="W32" s="13"/>
      <c r="X32" s="1"/>
    </row>
    <row r="33" spans="1:25" s="3" customFormat="1" x14ac:dyDescent="0.25">
      <c r="A33" s="191">
        <v>45371</v>
      </c>
      <c r="B33" s="286"/>
      <c r="C33" s="287"/>
      <c r="D33" s="270"/>
      <c r="E33" s="271"/>
      <c r="F33" s="101"/>
      <c r="G33" s="102"/>
      <c r="H33" s="103"/>
      <c r="I33" s="104"/>
      <c r="J33" s="100"/>
      <c r="K33" s="249"/>
      <c r="L33" s="250"/>
      <c r="M33" s="249">
        <f t="shared" si="1"/>
        <v>0</v>
      </c>
      <c r="N33" s="250"/>
      <c r="O33" s="1"/>
      <c r="P33" s="12"/>
      <c r="Q33" s="15"/>
      <c r="R33" s="15"/>
      <c r="S33" s="15"/>
      <c r="T33" s="13"/>
      <c r="U33" s="13"/>
      <c r="V33" s="13"/>
      <c r="W33" s="13"/>
      <c r="X33" s="1"/>
    </row>
    <row r="34" spans="1:25" s="3" customFormat="1" x14ac:dyDescent="0.25">
      <c r="A34" s="191">
        <v>45372</v>
      </c>
      <c r="B34" s="286"/>
      <c r="C34" s="287"/>
      <c r="D34" s="270"/>
      <c r="E34" s="271"/>
      <c r="F34" s="101"/>
      <c r="G34" s="102"/>
      <c r="H34" s="103"/>
      <c r="I34" s="104"/>
      <c r="J34" s="100"/>
      <c r="K34" s="249"/>
      <c r="L34" s="250"/>
      <c r="M34" s="249">
        <f t="shared" si="1"/>
        <v>0</v>
      </c>
      <c r="N34" s="250"/>
      <c r="O34" s="1"/>
      <c r="P34" s="12"/>
      <c r="Q34" s="15"/>
      <c r="R34" s="15"/>
      <c r="S34" s="15"/>
      <c r="T34" s="13"/>
      <c r="U34" s="13"/>
      <c r="V34" s="13"/>
      <c r="W34" s="13"/>
      <c r="X34" s="1"/>
    </row>
    <row r="35" spans="1:25" s="3" customFormat="1" x14ac:dyDescent="0.25">
      <c r="A35" s="191">
        <v>45373</v>
      </c>
      <c r="B35" s="286"/>
      <c r="C35" s="287"/>
      <c r="D35" s="270"/>
      <c r="E35" s="271"/>
      <c r="F35" s="101"/>
      <c r="G35" s="102"/>
      <c r="H35" s="103"/>
      <c r="I35" s="104"/>
      <c r="J35" s="100"/>
      <c r="K35" s="249"/>
      <c r="L35" s="250"/>
      <c r="M35" s="249">
        <f t="shared" si="1"/>
        <v>0</v>
      </c>
      <c r="N35" s="250"/>
      <c r="O35" s="1"/>
      <c r="P35" s="12"/>
      <c r="Q35" s="15"/>
      <c r="R35" s="15"/>
      <c r="S35" s="15"/>
      <c r="T35" s="13"/>
      <c r="U35" s="13"/>
      <c r="V35" s="13"/>
      <c r="W35" s="13"/>
      <c r="X35" s="1"/>
    </row>
    <row r="36" spans="1:25" s="3" customFormat="1" x14ac:dyDescent="0.25">
      <c r="A36" s="191">
        <v>45374</v>
      </c>
      <c r="B36" s="286"/>
      <c r="C36" s="287"/>
      <c r="D36" s="270"/>
      <c r="E36" s="271"/>
      <c r="F36" s="101"/>
      <c r="G36" s="102"/>
      <c r="H36" s="103"/>
      <c r="I36" s="104"/>
      <c r="J36" s="100"/>
      <c r="K36" s="249"/>
      <c r="L36" s="250"/>
      <c r="M36" s="249">
        <f t="shared" si="1"/>
        <v>0</v>
      </c>
      <c r="N36" s="250"/>
      <c r="O36" s="1"/>
      <c r="P36" s="12"/>
      <c r="Q36" s="15"/>
      <c r="R36" s="15"/>
      <c r="S36" s="15"/>
      <c r="T36" s="13"/>
      <c r="U36" s="13"/>
      <c r="V36" s="13"/>
      <c r="W36" s="13"/>
      <c r="X36" s="1"/>
    </row>
    <row r="37" spans="1:25" s="3" customFormat="1" x14ac:dyDescent="0.25">
      <c r="A37" s="191">
        <v>45375</v>
      </c>
      <c r="B37" s="286"/>
      <c r="C37" s="287"/>
      <c r="D37" s="270"/>
      <c r="E37" s="271"/>
      <c r="F37" s="101"/>
      <c r="G37" s="102"/>
      <c r="H37" s="103"/>
      <c r="I37" s="104"/>
      <c r="J37" s="100"/>
      <c r="K37" s="249"/>
      <c r="L37" s="250"/>
      <c r="M37" s="249">
        <f t="shared" si="1"/>
        <v>0</v>
      </c>
      <c r="N37" s="250"/>
      <c r="O37" s="1"/>
      <c r="P37" s="12"/>
      <c r="Q37" s="15"/>
      <c r="R37" s="15"/>
      <c r="S37" s="15"/>
      <c r="T37" s="13"/>
      <c r="U37" s="13"/>
      <c r="V37" s="13"/>
      <c r="W37" s="13"/>
      <c r="X37" s="1"/>
    </row>
    <row r="38" spans="1:25" s="3" customFormat="1" x14ac:dyDescent="0.25">
      <c r="A38" s="191">
        <v>45376</v>
      </c>
      <c r="B38" s="286"/>
      <c r="C38" s="287"/>
      <c r="D38" s="270"/>
      <c r="E38" s="271"/>
      <c r="F38" s="101"/>
      <c r="G38" s="102"/>
      <c r="H38" s="103"/>
      <c r="I38" s="104"/>
      <c r="J38" s="100"/>
      <c r="K38" s="249"/>
      <c r="L38" s="250"/>
      <c r="M38" s="249">
        <f t="shared" si="1"/>
        <v>0</v>
      </c>
      <c r="N38" s="250"/>
      <c r="O38" s="1"/>
      <c r="P38" s="12"/>
      <c r="Q38" s="15"/>
      <c r="R38" s="15"/>
      <c r="S38" s="15"/>
      <c r="T38" s="13"/>
      <c r="U38" s="13"/>
      <c r="V38" s="13"/>
      <c r="W38" s="13"/>
      <c r="X38" s="1"/>
    </row>
    <row r="39" spans="1:25" s="3" customFormat="1" x14ac:dyDescent="0.25">
      <c r="A39" s="191">
        <v>45377</v>
      </c>
      <c r="B39" s="286"/>
      <c r="C39" s="287"/>
      <c r="D39" s="270"/>
      <c r="E39" s="271"/>
      <c r="F39" s="101"/>
      <c r="G39" s="102"/>
      <c r="H39" s="103"/>
      <c r="I39" s="104"/>
      <c r="J39" s="100"/>
      <c r="K39" s="249"/>
      <c r="L39" s="250"/>
      <c r="M39" s="249">
        <f t="shared" si="1"/>
        <v>0</v>
      </c>
      <c r="N39" s="250"/>
      <c r="O39" s="1"/>
      <c r="P39" s="12"/>
      <c r="Q39" s="15"/>
      <c r="R39" s="15"/>
      <c r="S39" s="15"/>
      <c r="T39" s="13"/>
      <c r="U39" s="13"/>
      <c r="V39" s="13"/>
      <c r="W39" s="13"/>
      <c r="X39" s="1"/>
    </row>
    <row r="40" spans="1:25" s="3" customFormat="1" x14ac:dyDescent="0.25">
      <c r="A40" s="191">
        <v>45378</v>
      </c>
      <c r="B40" s="286"/>
      <c r="C40" s="287"/>
      <c r="D40" s="270"/>
      <c r="E40" s="271"/>
      <c r="F40" s="101"/>
      <c r="G40" s="102"/>
      <c r="H40" s="103"/>
      <c r="I40" s="104"/>
      <c r="J40" s="100"/>
      <c r="K40" s="249"/>
      <c r="L40" s="250"/>
      <c r="M40" s="249">
        <f t="shared" si="1"/>
        <v>0</v>
      </c>
      <c r="N40" s="250"/>
      <c r="O40" s="1"/>
      <c r="P40" s="12"/>
      <c r="Q40" s="15"/>
      <c r="R40" s="15"/>
      <c r="S40" s="15"/>
      <c r="T40" s="13"/>
      <c r="U40" s="13"/>
      <c r="V40" s="13"/>
      <c r="W40" s="13"/>
      <c r="X40" s="1"/>
    </row>
    <row r="41" spans="1:25" s="3" customFormat="1" x14ac:dyDescent="0.25">
      <c r="A41" s="191">
        <v>45379</v>
      </c>
      <c r="B41" s="286"/>
      <c r="C41" s="287"/>
      <c r="D41" s="270"/>
      <c r="E41" s="271"/>
      <c r="F41" s="101"/>
      <c r="G41" s="102"/>
      <c r="H41" s="103"/>
      <c r="I41" s="104"/>
      <c r="J41" s="100"/>
      <c r="K41" s="249"/>
      <c r="L41" s="250"/>
      <c r="M41" s="249">
        <f t="shared" si="1"/>
        <v>0</v>
      </c>
      <c r="N41" s="250"/>
      <c r="O41" s="1"/>
      <c r="P41" s="12"/>
      <c r="Q41" s="15"/>
      <c r="R41" s="15"/>
      <c r="S41" s="15"/>
      <c r="T41" s="13"/>
      <c r="U41" s="13"/>
      <c r="V41" s="13"/>
      <c r="W41" s="13"/>
      <c r="X41" s="1"/>
    </row>
    <row r="42" spans="1:25" s="3" customFormat="1" x14ac:dyDescent="0.25">
      <c r="A42" s="191">
        <v>45380</v>
      </c>
      <c r="B42" s="286"/>
      <c r="C42" s="287"/>
      <c r="D42" s="270"/>
      <c r="E42" s="271"/>
      <c r="F42" s="101"/>
      <c r="G42" s="102"/>
      <c r="H42" s="103"/>
      <c r="I42" s="104"/>
      <c r="J42" s="100"/>
      <c r="K42" s="249"/>
      <c r="L42" s="250"/>
      <c r="M42" s="249">
        <f t="shared" si="1"/>
        <v>0</v>
      </c>
      <c r="N42" s="250"/>
      <c r="O42" s="1"/>
      <c r="P42" s="12"/>
      <c r="Q42" s="15"/>
      <c r="R42" s="15"/>
      <c r="S42" s="15"/>
      <c r="T42" s="13"/>
      <c r="U42" s="13"/>
      <c r="V42" s="13"/>
      <c r="W42" s="13"/>
      <c r="X42" s="1"/>
    </row>
    <row r="43" spans="1:25" s="3" customFormat="1" x14ac:dyDescent="0.25">
      <c r="A43" s="191">
        <v>45381</v>
      </c>
      <c r="B43" s="286"/>
      <c r="C43" s="287"/>
      <c r="D43" s="270"/>
      <c r="E43" s="271"/>
      <c r="F43" s="101"/>
      <c r="G43" s="102"/>
      <c r="H43" s="103"/>
      <c r="I43" s="104"/>
      <c r="J43" s="100"/>
      <c r="K43" s="249"/>
      <c r="L43" s="250"/>
      <c r="M43" s="249">
        <f t="shared" si="1"/>
        <v>0</v>
      </c>
      <c r="N43" s="250"/>
      <c r="O43" s="1"/>
      <c r="P43" s="12"/>
      <c r="Q43" s="15"/>
      <c r="R43" s="15"/>
      <c r="S43" s="15"/>
      <c r="T43" s="13"/>
      <c r="U43" s="13"/>
      <c r="V43" s="13"/>
      <c r="W43" s="13"/>
      <c r="X43" s="1"/>
    </row>
    <row r="44" spans="1:25" s="3" customFormat="1" x14ac:dyDescent="0.25">
      <c r="A44" s="191">
        <v>45382</v>
      </c>
      <c r="B44" s="286"/>
      <c r="C44" s="287"/>
      <c r="D44" s="270"/>
      <c r="E44" s="271"/>
      <c r="F44" s="101"/>
      <c r="G44" s="102"/>
      <c r="H44" s="103"/>
      <c r="I44" s="104"/>
      <c r="J44" s="100"/>
      <c r="K44" s="249"/>
      <c r="L44" s="250"/>
      <c r="M44" s="249">
        <f t="shared" si="1"/>
        <v>0</v>
      </c>
      <c r="N44" s="250"/>
      <c r="O44" s="1"/>
      <c r="P44" s="12"/>
      <c r="Q44" s="15"/>
      <c r="R44" s="15"/>
      <c r="S44" s="15"/>
      <c r="T44" s="13"/>
      <c r="U44" s="13"/>
      <c r="V44" s="13"/>
      <c r="W44" s="13"/>
      <c r="X44" s="1"/>
    </row>
    <row r="45" spans="1:25" s="3" customFormat="1" ht="15.75" x14ac:dyDescent="0.25">
      <c r="A45" s="231" t="s">
        <v>21</v>
      </c>
      <c r="B45" s="232"/>
      <c r="C45" s="233"/>
      <c r="D45" s="278">
        <f>+COUNTA(D17:E44)</f>
        <v>0</v>
      </c>
      <c r="E45" s="279"/>
      <c r="F45" s="280">
        <f>+COUNTA(F17:G44)</f>
        <v>0</v>
      </c>
      <c r="G45" s="281"/>
      <c r="H45" s="282">
        <f>SUM(H17:I44)</f>
        <v>0</v>
      </c>
      <c r="I45" s="282"/>
      <c r="J45" s="107"/>
      <c r="K45" s="301"/>
      <c r="L45" s="283"/>
      <c r="M45" s="284">
        <f>+SUM(M17:O44)</f>
        <v>0</v>
      </c>
      <c r="N45" s="285"/>
      <c r="P45" s="12"/>
      <c r="Q45" s="12"/>
      <c r="R45" s="12"/>
      <c r="S45" s="12"/>
      <c r="T45" s="13"/>
      <c r="U45" s="13"/>
      <c r="V45" s="13"/>
      <c r="W45" s="13"/>
      <c r="X45" s="1"/>
    </row>
    <row r="46" spans="1:25" s="3" customFormat="1" x14ac:dyDescent="0.25">
      <c r="A46" s="12"/>
      <c r="B46" s="12"/>
      <c r="C46" s="12"/>
      <c r="D46" s="272" t="s">
        <v>65</v>
      </c>
      <c r="E46" s="273"/>
      <c r="F46" s="274" t="s">
        <v>24</v>
      </c>
      <c r="G46" s="274"/>
      <c r="H46" s="275" t="s">
        <v>62</v>
      </c>
      <c r="I46" s="275"/>
      <c r="K46" s="12"/>
      <c r="L46" s="12"/>
      <c r="M46" s="276" t="s">
        <v>66</v>
      </c>
      <c r="N46" s="277"/>
      <c r="O46" s="12"/>
      <c r="P46" s="12"/>
      <c r="Q46" s="12"/>
      <c r="R46" s="12"/>
      <c r="S46" s="12"/>
      <c r="T46" s="13"/>
      <c r="U46" s="13"/>
      <c r="V46" s="13"/>
      <c r="W46" s="13"/>
      <c r="X46" s="1"/>
    </row>
    <row r="47" spans="1:25" s="3" customFormat="1" x14ac:dyDescent="0.25">
      <c r="K47" s="12"/>
      <c r="L47" s="12"/>
      <c r="M47" s="12"/>
      <c r="N47" s="12"/>
      <c r="O47" s="12"/>
      <c r="P47" s="12"/>
      <c r="U47" s="1"/>
      <c r="V47" s="1"/>
      <c r="W47" s="1"/>
      <c r="X47" s="1"/>
      <c r="Y47" s="1"/>
    </row>
    <row r="48" spans="1:25" s="3" customFormat="1" x14ac:dyDescent="0.25">
      <c r="A48" s="28" t="s">
        <v>23</v>
      </c>
      <c r="J48" s="28" t="s">
        <v>27</v>
      </c>
      <c r="N48" s="39"/>
      <c r="P48" s="12"/>
      <c r="U48" s="1"/>
      <c r="V48" s="1"/>
      <c r="W48" s="1"/>
      <c r="X48" s="1"/>
      <c r="Y48" s="1"/>
    </row>
    <row r="49" spans="1:25" s="3" customFormat="1" x14ac:dyDescent="0.25">
      <c r="J49" s="28" t="s">
        <v>31</v>
      </c>
      <c r="N49" s="39"/>
      <c r="P49" s="12"/>
      <c r="U49" s="1"/>
      <c r="V49" s="1"/>
      <c r="W49" s="1"/>
      <c r="X49" s="1"/>
      <c r="Y49" s="1"/>
    </row>
    <row r="50" spans="1:25" s="3" customFormat="1" x14ac:dyDescent="0.25">
      <c r="A50" s="29" t="s">
        <v>20</v>
      </c>
      <c r="B50" s="30"/>
      <c r="C50" s="29"/>
      <c r="D50" s="29"/>
      <c r="E50" s="16"/>
      <c r="H50" s="18"/>
      <c r="P50" s="12"/>
      <c r="U50" s="1"/>
      <c r="V50" s="1"/>
      <c r="W50" s="1"/>
      <c r="X50" s="1"/>
      <c r="Y50" s="1"/>
    </row>
    <row r="51" spans="1:25" s="3" customFormat="1" x14ac:dyDescent="0.25">
      <c r="A51" s="29" t="s">
        <v>7</v>
      </c>
      <c r="B51" s="30"/>
      <c r="C51" s="31">
        <f ca="1">TODAY()</f>
        <v>45320</v>
      </c>
      <c r="D51" s="29"/>
      <c r="E51" s="16"/>
      <c r="J51" s="28" t="s">
        <v>22</v>
      </c>
      <c r="P51" s="12"/>
      <c r="U51" s="1"/>
      <c r="V51" s="1"/>
      <c r="W51" s="1"/>
      <c r="X51" s="1"/>
      <c r="Y51" s="1"/>
    </row>
    <row r="52" spans="1:25" s="3" customFormat="1" x14ac:dyDescent="0.25">
      <c r="A52" s="28"/>
      <c r="B52" s="240" t="s">
        <v>47</v>
      </c>
      <c r="C52" s="240"/>
      <c r="D52" s="240"/>
      <c r="E52" s="240"/>
      <c r="F52" s="240"/>
      <c r="J52" s="240" t="s">
        <v>48</v>
      </c>
      <c r="K52" s="240"/>
      <c r="L52" s="240"/>
      <c r="M52" s="240"/>
      <c r="N52" s="240"/>
      <c r="U52" s="1"/>
      <c r="V52" s="1"/>
      <c r="W52" s="1"/>
      <c r="X52" s="1"/>
      <c r="Y52" s="1"/>
    </row>
    <row r="53" spans="1:25" s="3" customFormat="1" x14ac:dyDescent="0.25">
      <c r="B53" s="240"/>
      <c r="C53" s="240"/>
      <c r="D53" s="240"/>
      <c r="E53" s="240"/>
      <c r="F53" s="240"/>
      <c r="J53" s="240"/>
      <c r="K53" s="240"/>
      <c r="L53" s="240"/>
      <c r="M53" s="240"/>
      <c r="N53" s="240"/>
      <c r="U53" s="1"/>
      <c r="V53" s="1"/>
      <c r="W53" s="1"/>
      <c r="X53" s="1"/>
      <c r="Y53" s="1"/>
    </row>
    <row r="54" spans="1:25" s="3" customFormat="1" x14ac:dyDescent="0.25">
      <c r="B54" s="240"/>
      <c r="C54" s="240"/>
      <c r="D54" s="240"/>
      <c r="E54" s="240"/>
      <c r="F54" s="240"/>
      <c r="J54" s="240"/>
      <c r="K54" s="240"/>
      <c r="L54" s="240"/>
      <c r="M54" s="240"/>
      <c r="N54" s="240"/>
      <c r="U54" s="1"/>
      <c r="V54" s="1"/>
      <c r="W54" s="1"/>
      <c r="X54" s="1"/>
      <c r="Y54" s="1"/>
    </row>
    <row r="55" spans="1:25" s="3" customFormat="1" x14ac:dyDescent="0.25">
      <c r="B55" s="240"/>
      <c r="C55" s="240"/>
      <c r="D55" s="240"/>
      <c r="E55" s="240"/>
      <c r="F55" s="240"/>
      <c r="J55" s="240"/>
      <c r="K55" s="240"/>
      <c r="L55" s="240"/>
      <c r="M55" s="240"/>
      <c r="N55" s="240"/>
      <c r="U55" s="1"/>
      <c r="V55" s="1"/>
      <c r="W55" s="1"/>
      <c r="X55" s="1"/>
      <c r="Y55" s="1"/>
    </row>
    <row r="56" spans="1:25" s="3" customFormat="1" x14ac:dyDescent="0.25">
      <c r="B56" s="240"/>
      <c r="C56" s="240"/>
      <c r="D56" s="240"/>
      <c r="E56" s="240"/>
      <c r="F56" s="240"/>
      <c r="J56" s="240"/>
      <c r="K56" s="240"/>
      <c r="L56" s="240"/>
      <c r="M56" s="240"/>
      <c r="N56" s="240"/>
      <c r="U56" s="1"/>
      <c r="V56" s="1"/>
      <c r="W56" s="1"/>
      <c r="X56" s="1"/>
      <c r="Y56" s="1"/>
    </row>
    <row r="57" spans="1:25" s="3" customFormat="1" x14ac:dyDescent="0.25">
      <c r="B57" s="240"/>
      <c r="C57" s="240"/>
      <c r="D57" s="240"/>
      <c r="E57" s="240"/>
      <c r="F57" s="240"/>
      <c r="J57" s="240"/>
      <c r="K57" s="240"/>
      <c r="L57" s="240"/>
      <c r="M57" s="240"/>
      <c r="N57" s="240"/>
      <c r="U57" s="1"/>
      <c r="V57" s="1"/>
      <c r="W57" s="1"/>
      <c r="X57" s="1"/>
      <c r="Y57" s="1"/>
    </row>
    <row r="58" spans="1:25" s="3" customFormat="1" x14ac:dyDescent="0.25">
      <c r="A58" s="3" t="s">
        <v>46</v>
      </c>
      <c r="B58" s="23"/>
      <c r="J58" s="3" t="s">
        <v>39</v>
      </c>
      <c r="U58" s="1"/>
      <c r="V58" s="1"/>
      <c r="W58" s="1"/>
      <c r="X58" s="1"/>
      <c r="Y58" s="1"/>
    </row>
    <row r="59" spans="1:25" s="3" customFormat="1" x14ac:dyDescent="0.25">
      <c r="B59" s="23"/>
      <c r="U59" s="1"/>
      <c r="V59" s="1"/>
      <c r="W59" s="1"/>
      <c r="X59" s="1"/>
      <c r="Y59" s="1"/>
    </row>
    <row r="60" spans="1:25" s="3" customFormat="1" x14ac:dyDescent="0.25">
      <c r="B60" s="23"/>
      <c r="U60" s="1"/>
      <c r="V60" s="1"/>
      <c r="W60" s="1"/>
      <c r="X60" s="1"/>
      <c r="Y60" s="1"/>
    </row>
    <row r="61" spans="1:25" s="3" customFormat="1" x14ac:dyDescent="0.25">
      <c r="A61" s="29"/>
      <c r="B61" s="23"/>
      <c r="D61" s="29"/>
      <c r="U61" s="1"/>
      <c r="V61" s="1"/>
      <c r="W61" s="1"/>
      <c r="X61" s="1"/>
      <c r="Y61" s="1"/>
    </row>
    <row r="62" spans="1:25" s="3" customFormat="1" x14ac:dyDescent="0.25">
      <c r="U62" s="1"/>
      <c r="V62" s="1"/>
      <c r="W62" s="1"/>
      <c r="X62" s="1"/>
      <c r="Y62" s="1"/>
    </row>
    <row r="63" spans="1:25" s="3" customFormat="1" x14ac:dyDescent="0.25">
      <c r="B63" s="23"/>
      <c r="U63" s="1"/>
      <c r="V63" s="1"/>
      <c r="W63" s="1"/>
      <c r="X63" s="1"/>
      <c r="Y63" s="1"/>
    </row>
    <row r="64" spans="1:25" s="3" customFormat="1" x14ac:dyDescent="0.25">
      <c r="B64" s="23"/>
      <c r="U64" s="1"/>
      <c r="V64" s="1"/>
      <c r="W64" s="1"/>
      <c r="X64" s="1"/>
      <c r="Y64" s="1"/>
    </row>
    <row r="65" spans="2:25" s="3" customFormat="1" x14ac:dyDescent="0.25">
      <c r="B65" s="23"/>
      <c r="U65" s="1"/>
      <c r="V65" s="1"/>
      <c r="W65" s="1"/>
      <c r="X65" s="1"/>
      <c r="Y65" s="1"/>
    </row>
    <row r="66" spans="2:25" s="3" customFormat="1" x14ac:dyDescent="0.25">
      <c r="B66" s="23"/>
      <c r="U66" s="1"/>
      <c r="V66" s="1"/>
      <c r="W66" s="1"/>
      <c r="X66" s="1"/>
      <c r="Y66" s="1"/>
    </row>
    <row r="67" spans="2:25" s="3" customFormat="1" x14ac:dyDescent="0.25">
      <c r="B67" s="23"/>
      <c r="U67" s="1"/>
      <c r="V67" s="1"/>
      <c r="W67" s="1"/>
      <c r="X67" s="1"/>
      <c r="Y67" s="1"/>
    </row>
    <row r="68" spans="2:25" s="3" customFormat="1" x14ac:dyDescent="0.25">
      <c r="B68" s="23"/>
      <c r="U68" s="1"/>
      <c r="V68" s="1"/>
      <c r="W68" s="1"/>
      <c r="X68" s="1"/>
      <c r="Y68" s="1"/>
    </row>
    <row r="69" spans="2:25" s="3" customFormat="1" x14ac:dyDescent="0.25">
      <c r="B69" s="23"/>
      <c r="U69" s="1"/>
      <c r="V69" s="1"/>
      <c r="W69" s="1"/>
      <c r="X69" s="1"/>
      <c r="Y69" s="1"/>
    </row>
    <row r="70" spans="2:25" s="3" customFormat="1" x14ac:dyDescent="0.25">
      <c r="B70" s="23"/>
      <c r="U70" s="1"/>
      <c r="V70" s="1"/>
      <c r="W70" s="1"/>
      <c r="X70" s="1"/>
      <c r="Y70" s="1"/>
    </row>
    <row r="71" spans="2:25" s="3" customFormat="1" x14ac:dyDescent="0.25">
      <c r="B71" s="23"/>
      <c r="U71" s="1"/>
      <c r="V71" s="1"/>
      <c r="W71" s="1"/>
      <c r="X71" s="1"/>
      <c r="Y71" s="1"/>
    </row>
    <row r="72" spans="2:25" s="3" customFormat="1" x14ac:dyDescent="0.25">
      <c r="B72" s="23"/>
      <c r="U72" s="1"/>
      <c r="V72" s="1"/>
      <c r="W72" s="1"/>
      <c r="X72" s="1"/>
      <c r="Y72" s="1"/>
    </row>
    <row r="73" spans="2:25" s="3" customFormat="1" x14ac:dyDescent="0.25">
      <c r="B73" s="23"/>
      <c r="U73" s="1"/>
      <c r="V73" s="1"/>
      <c r="W73" s="1"/>
      <c r="X73" s="1"/>
      <c r="Y73" s="1"/>
    </row>
    <row r="74" spans="2:25" s="3" customFormat="1" x14ac:dyDescent="0.25">
      <c r="B74" s="23"/>
      <c r="U74" s="1"/>
      <c r="V74" s="1"/>
      <c r="W74" s="1"/>
      <c r="X74" s="1"/>
      <c r="Y74" s="1"/>
    </row>
    <row r="75" spans="2:25" s="3" customFormat="1" x14ac:dyDescent="0.25">
      <c r="B75" s="23"/>
      <c r="U75" s="1"/>
      <c r="V75" s="1"/>
      <c r="W75" s="1"/>
      <c r="X75" s="1"/>
      <c r="Y75" s="1"/>
    </row>
    <row r="76" spans="2:25" s="3" customFormat="1" x14ac:dyDescent="0.25">
      <c r="B76" s="23"/>
      <c r="U76" s="1"/>
      <c r="V76" s="1"/>
      <c r="W76" s="1"/>
      <c r="X76" s="1"/>
      <c r="Y76" s="1"/>
    </row>
    <row r="77" spans="2:25" s="3" customFormat="1" x14ac:dyDescent="0.25">
      <c r="B77" s="23"/>
      <c r="U77" s="1"/>
      <c r="V77" s="1"/>
      <c r="W77" s="1"/>
      <c r="X77" s="1"/>
      <c r="Y77" s="1"/>
    </row>
    <row r="78" spans="2:25" s="3" customFormat="1" x14ac:dyDescent="0.25">
      <c r="B78" s="23"/>
      <c r="U78" s="1"/>
      <c r="V78" s="1"/>
      <c r="W78" s="1"/>
      <c r="X78" s="1"/>
      <c r="Y78" s="1"/>
    </row>
    <row r="79" spans="2:25" s="3" customFormat="1" x14ac:dyDescent="0.25">
      <c r="B79" s="23"/>
      <c r="U79" s="1"/>
      <c r="V79" s="1"/>
      <c r="W79" s="1"/>
      <c r="X79" s="1"/>
      <c r="Y79" s="1"/>
    </row>
    <row r="80" spans="2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2:25" s="3" customFormat="1" x14ac:dyDescent="0.25">
      <c r="B225" s="23"/>
      <c r="U225" s="1"/>
      <c r="V225" s="1"/>
      <c r="W225" s="1"/>
      <c r="X225" s="1"/>
      <c r="Y225" s="1"/>
    </row>
    <row r="226" spans="2:25" s="3" customFormat="1" x14ac:dyDescent="0.25">
      <c r="B226" s="23"/>
      <c r="U226" s="1"/>
      <c r="V226" s="1"/>
      <c r="W226" s="1"/>
      <c r="X226" s="1"/>
      <c r="Y226" s="1"/>
    </row>
    <row r="227" spans="2:25" s="3" customFormat="1" x14ac:dyDescent="0.25">
      <c r="B227" s="23"/>
      <c r="U227" s="1"/>
      <c r="V227" s="1"/>
      <c r="W227" s="1"/>
      <c r="X227" s="1"/>
      <c r="Y227" s="1"/>
    </row>
    <row r="228" spans="2:25" s="3" customFormat="1" x14ac:dyDescent="0.25">
      <c r="B228" s="23"/>
      <c r="U228" s="1"/>
      <c r="V228" s="1"/>
      <c r="W228" s="1"/>
      <c r="X228" s="1"/>
      <c r="Y228" s="1"/>
    </row>
    <row r="229" spans="2:25" s="3" customFormat="1" x14ac:dyDescent="0.25">
      <c r="B229" s="23"/>
      <c r="U229" s="1"/>
      <c r="V229" s="1"/>
      <c r="W229" s="1"/>
      <c r="X229" s="1"/>
      <c r="Y229" s="1"/>
    </row>
    <row r="230" spans="2:25" s="3" customFormat="1" x14ac:dyDescent="0.25">
      <c r="B230" s="23"/>
      <c r="U230" s="1"/>
      <c r="V230" s="1"/>
      <c r="W230" s="1"/>
      <c r="X230" s="1"/>
      <c r="Y230" s="1"/>
    </row>
    <row r="231" spans="2:25" s="3" customFormat="1" x14ac:dyDescent="0.25">
      <c r="B231" s="23"/>
      <c r="U231" s="1"/>
      <c r="V231" s="1"/>
      <c r="W231" s="1"/>
      <c r="X231" s="1"/>
      <c r="Y231" s="1"/>
    </row>
    <row r="232" spans="2:25" s="3" customFormat="1" x14ac:dyDescent="0.25">
      <c r="B232" s="23"/>
      <c r="U232" s="1"/>
      <c r="V232" s="1"/>
      <c r="W232" s="1"/>
      <c r="X232" s="1"/>
      <c r="Y232" s="1"/>
    </row>
    <row r="233" spans="2:25" s="3" customFormat="1" x14ac:dyDescent="0.25">
      <c r="B233" s="23"/>
      <c r="U233" s="1"/>
      <c r="V233" s="1"/>
      <c r="W233" s="1"/>
      <c r="X233" s="1"/>
      <c r="Y233" s="1"/>
    </row>
    <row r="234" spans="2:25" s="3" customFormat="1" x14ac:dyDescent="0.25">
      <c r="B234" s="23"/>
      <c r="U234" s="1"/>
      <c r="V234" s="1"/>
      <c r="W234" s="1"/>
      <c r="X234" s="1"/>
      <c r="Y234" s="1"/>
    </row>
    <row r="235" spans="2:25" s="3" customFormat="1" x14ac:dyDescent="0.25">
      <c r="B235" s="23"/>
      <c r="K235" s="6"/>
      <c r="L235" s="6"/>
      <c r="M235" s="6"/>
      <c r="N235" s="6"/>
      <c r="U235" s="1"/>
      <c r="V235" s="1"/>
      <c r="W235" s="1"/>
      <c r="X235" s="1"/>
      <c r="Y235" s="1"/>
    </row>
    <row r="236" spans="2:25" s="3" customFormat="1" x14ac:dyDescent="0.25">
      <c r="B236" s="23"/>
      <c r="K236" s="6"/>
      <c r="L236" s="6"/>
      <c r="M236" s="6"/>
      <c r="N236" s="6"/>
      <c r="U236" s="1"/>
      <c r="V236" s="1"/>
      <c r="W236" s="1"/>
      <c r="X236" s="1"/>
      <c r="Y236" s="1"/>
    </row>
    <row r="237" spans="2:25" s="3" customFormat="1" x14ac:dyDescent="0.25">
      <c r="B237" s="23"/>
      <c r="K237" s="6"/>
      <c r="L237" s="6"/>
      <c r="M237" s="6"/>
      <c r="N237" s="6"/>
      <c r="U237" s="1"/>
      <c r="V237" s="1"/>
      <c r="W237" s="1"/>
      <c r="X237" s="1"/>
      <c r="Y237" s="1"/>
    </row>
    <row r="238" spans="2:25" s="3" customFormat="1" x14ac:dyDescent="0.25">
      <c r="B238" s="23"/>
      <c r="J238" s="6"/>
      <c r="K238" s="6"/>
      <c r="L238" s="6"/>
      <c r="M238" s="6"/>
      <c r="N238" s="6"/>
      <c r="U238" s="1"/>
      <c r="V238" s="1"/>
      <c r="W238" s="1"/>
      <c r="X238" s="1"/>
      <c r="Y238" s="1"/>
    </row>
    <row r="239" spans="2:25" s="3" customFormat="1" x14ac:dyDescent="0.25">
      <c r="B239" s="23"/>
      <c r="J239" s="6"/>
      <c r="K239" s="6"/>
      <c r="L239" s="6"/>
      <c r="M239" s="6"/>
      <c r="N239" s="6"/>
      <c r="U239" s="1"/>
      <c r="V239" s="1"/>
      <c r="W239" s="1"/>
      <c r="X239" s="1"/>
      <c r="Y239" s="1"/>
    </row>
    <row r="240" spans="2:25" s="3" customFormat="1" x14ac:dyDescent="0.25">
      <c r="B240" s="23"/>
      <c r="J240" s="6"/>
      <c r="K240" s="6"/>
      <c r="L240" s="6"/>
      <c r="M240" s="6"/>
      <c r="N240" s="6"/>
      <c r="U240" s="1"/>
      <c r="V240" s="1"/>
      <c r="W240" s="1"/>
      <c r="X240" s="1"/>
      <c r="Y240" s="1"/>
    </row>
    <row r="241" spans="1:25" s="3" customFormat="1" x14ac:dyDescent="0.25">
      <c r="B241" s="23"/>
      <c r="J241" s="6"/>
      <c r="K241" s="6"/>
      <c r="L241" s="6"/>
      <c r="M241" s="6"/>
      <c r="N241" s="6"/>
      <c r="U241" s="1"/>
      <c r="V241" s="1"/>
      <c r="W241" s="1"/>
      <c r="X241" s="1"/>
      <c r="Y241" s="1"/>
    </row>
    <row r="242" spans="1:25" s="3" customFormat="1" x14ac:dyDescent="0.25">
      <c r="B242" s="23"/>
      <c r="J242" s="6"/>
      <c r="K242" s="6"/>
      <c r="L242" s="6"/>
      <c r="M242" s="6"/>
      <c r="N242" s="6"/>
      <c r="O242" s="6"/>
      <c r="U242" s="1"/>
      <c r="V242" s="1"/>
      <c r="W242" s="1"/>
      <c r="X242" s="1"/>
      <c r="Y242" s="1"/>
    </row>
    <row r="243" spans="1:25" s="3" customFormat="1" x14ac:dyDescent="0.25">
      <c r="B243" s="23"/>
      <c r="J243" s="6"/>
      <c r="K243" s="6"/>
      <c r="L243" s="6"/>
      <c r="M243" s="6"/>
      <c r="N243" s="6"/>
      <c r="O243" s="6"/>
      <c r="U243" s="1"/>
      <c r="V243" s="1"/>
      <c r="W243" s="1"/>
      <c r="X243" s="1"/>
      <c r="Y243" s="1"/>
    </row>
    <row r="244" spans="1:25" s="3" customFormat="1" x14ac:dyDescent="0.25">
      <c r="A244" s="6"/>
      <c r="B244" s="25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Q244" s="6"/>
      <c r="R244" s="6"/>
      <c r="S244" s="6"/>
      <c r="U244" s="1"/>
      <c r="V244" s="1"/>
      <c r="W244" s="1"/>
      <c r="X244" s="1"/>
      <c r="Y244" s="1"/>
    </row>
  </sheetData>
  <sheetProtection sheet="1" objects="1" scenarios="1"/>
  <mergeCells count="172">
    <mergeCell ref="M40:N40"/>
    <mergeCell ref="M41:N41"/>
    <mergeCell ref="M42:N42"/>
    <mergeCell ref="M43:N43"/>
    <mergeCell ref="M44:N44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18:N18"/>
    <mergeCell ref="D17:E17"/>
    <mergeCell ref="F17:G17"/>
    <mergeCell ref="H17:I17"/>
    <mergeCell ref="K17:L17"/>
    <mergeCell ref="M17:N17"/>
    <mergeCell ref="A17:C17"/>
    <mergeCell ref="A18:C18"/>
    <mergeCell ref="M20:N20"/>
    <mergeCell ref="D18:E18"/>
    <mergeCell ref="F18:G18"/>
    <mergeCell ref="H18:I18"/>
    <mergeCell ref="K18:L18"/>
    <mergeCell ref="A19:C19"/>
    <mergeCell ref="A20:C20"/>
    <mergeCell ref="R3:T3"/>
    <mergeCell ref="B5:K5"/>
    <mergeCell ref="L5:N5"/>
    <mergeCell ref="R5:T5"/>
    <mergeCell ref="K13:L13"/>
    <mergeCell ref="F15:N15"/>
    <mergeCell ref="A16:C16"/>
    <mergeCell ref="D16:E16"/>
    <mergeCell ref="F16:G16"/>
    <mergeCell ref="H16:I16"/>
    <mergeCell ref="K16:L16"/>
    <mergeCell ref="M16:N16"/>
    <mergeCell ref="C8:F8"/>
    <mergeCell ref="K8:N8"/>
    <mergeCell ref="C10:F10"/>
    <mergeCell ref="K10:N10"/>
    <mergeCell ref="C12:F12"/>
    <mergeCell ref="K12:L12"/>
    <mergeCell ref="D2:K4"/>
    <mergeCell ref="L2:N4"/>
    <mergeCell ref="M23:N23"/>
    <mergeCell ref="D19:E19"/>
    <mergeCell ref="F19:G19"/>
    <mergeCell ref="H19:I19"/>
    <mergeCell ref="K19:L19"/>
    <mergeCell ref="M19:N19"/>
    <mergeCell ref="D22:E22"/>
    <mergeCell ref="F22:G22"/>
    <mergeCell ref="H22:I22"/>
    <mergeCell ref="K22:L22"/>
    <mergeCell ref="M22:N22"/>
    <mergeCell ref="D21:E21"/>
    <mergeCell ref="F21:G21"/>
    <mergeCell ref="H21:I21"/>
    <mergeCell ref="K21:L21"/>
    <mergeCell ref="M21:N21"/>
    <mergeCell ref="D20:E20"/>
    <mergeCell ref="F20:G20"/>
    <mergeCell ref="H20:I20"/>
    <mergeCell ref="K20:L20"/>
    <mergeCell ref="D23:E23"/>
    <mergeCell ref="F23:G23"/>
    <mergeCell ref="H23:I23"/>
    <mergeCell ref="K23:L23"/>
    <mergeCell ref="M25:N25"/>
    <mergeCell ref="D24:E24"/>
    <mergeCell ref="F24:G24"/>
    <mergeCell ref="H24:I24"/>
    <mergeCell ref="K24:L24"/>
    <mergeCell ref="M24:N24"/>
    <mergeCell ref="D27:E27"/>
    <mergeCell ref="F27:G27"/>
    <mergeCell ref="H27:I27"/>
    <mergeCell ref="K27:L27"/>
    <mergeCell ref="M27:N27"/>
    <mergeCell ref="D26:E26"/>
    <mergeCell ref="F26:G26"/>
    <mergeCell ref="H26:I26"/>
    <mergeCell ref="K26:L26"/>
    <mergeCell ref="M26:N26"/>
    <mergeCell ref="D25:E25"/>
    <mergeCell ref="F25:G25"/>
    <mergeCell ref="H25:I25"/>
    <mergeCell ref="K25:L25"/>
    <mergeCell ref="M30:N30"/>
    <mergeCell ref="D29:E29"/>
    <mergeCell ref="F29:G29"/>
    <mergeCell ref="H29:I29"/>
    <mergeCell ref="K29:L29"/>
    <mergeCell ref="M29:N29"/>
    <mergeCell ref="A29:C29"/>
    <mergeCell ref="A30:C30"/>
    <mergeCell ref="D28:E28"/>
    <mergeCell ref="F28:G28"/>
    <mergeCell ref="H28:I28"/>
    <mergeCell ref="K28:L28"/>
    <mergeCell ref="M28:N28"/>
    <mergeCell ref="A28:C28"/>
    <mergeCell ref="D30:E30"/>
    <mergeCell ref="F30:G30"/>
    <mergeCell ref="H30:I30"/>
    <mergeCell ref="K30:L30"/>
    <mergeCell ref="D43:E43"/>
    <mergeCell ref="K43:L43"/>
    <mergeCell ref="A35:C35"/>
    <mergeCell ref="A43:C43"/>
    <mergeCell ref="D40:E40"/>
    <mergeCell ref="K40:L40"/>
    <mergeCell ref="A41:C41"/>
    <mergeCell ref="D41:E41"/>
    <mergeCell ref="K41:L41"/>
    <mergeCell ref="A42:C42"/>
    <mergeCell ref="D42:E42"/>
    <mergeCell ref="K42:L42"/>
    <mergeCell ref="A39:C39"/>
    <mergeCell ref="D39:E39"/>
    <mergeCell ref="K39:L39"/>
    <mergeCell ref="A40:C40"/>
    <mergeCell ref="K34:L34"/>
    <mergeCell ref="A36:C36"/>
    <mergeCell ref="D36:E36"/>
    <mergeCell ref="K36:L36"/>
    <mergeCell ref="A37:C37"/>
    <mergeCell ref="D37:E37"/>
    <mergeCell ref="K37:L37"/>
    <mergeCell ref="D35:E35"/>
    <mergeCell ref="K35:L35"/>
    <mergeCell ref="D46:E46"/>
    <mergeCell ref="F46:G46"/>
    <mergeCell ref="H46:I46"/>
    <mergeCell ref="M46:N46"/>
    <mergeCell ref="B52:F57"/>
    <mergeCell ref="J52:N57"/>
    <mergeCell ref="A45:C45"/>
    <mergeCell ref="D45:E45"/>
    <mergeCell ref="F45:G45"/>
    <mergeCell ref="H45:I45"/>
    <mergeCell ref="K45:L45"/>
    <mergeCell ref="M45:N45"/>
    <mergeCell ref="A21:C21"/>
    <mergeCell ref="A22:C22"/>
    <mergeCell ref="A23:C23"/>
    <mergeCell ref="A24:C24"/>
    <mergeCell ref="A25:C25"/>
    <mergeCell ref="A26:C26"/>
    <mergeCell ref="A27:C27"/>
    <mergeCell ref="D44:E44"/>
    <mergeCell ref="K44:L44"/>
    <mergeCell ref="A44:C44"/>
    <mergeCell ref="D31:E31"/>
    <mergeCell ref="K31:L31"/>
    <mergeCell ref="D32:E32"/>
    <mergeCell ref="K32:L32"/>
    <mergeCell ref="A31:C31"/>
    <mergeCell ref="A32:C32"/>
    <mergeCell ref="A38:C38"/>
    <mergeCell ref="D38:E38"/>
    <mergeCell ref="K38:L38"/>
    <mergeCell ref="A33:C33"/>
    <mergeCell ref="A34:C34"/>
    <mergeCell ref="D33:E33"/>
    <mergeCell ref="K33:L33"/>
    <mergeCell ref="D34:E34"/>
  </mergeCells>
  <conditionalFormatting sqref="D17:D35 D43:D45">
    <cfRule type="expression" dxfId="99" priority="3">
      <formula>#REF!="Non"</formula>
    </cfRule>
    <cfRule type="expression" dxfId="98" priority="4">
      <formula>#REF!="Oui"</formula>
    </cfRule>
  </conditionalFormatting>
  <conditionalFormatting sqref="D36:D42">
    <cfRule type="expression" dxfId="97" priority="1">
      <formula>#REF!="Non"</formula>
    </cfRule>
    <cfRule type="expression" dxfId="96" priority="2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3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BD244"/>
  <sheetViews>
    <sheetView zoomScale="90" zoomScaleNormal="90" workbookViewId="0">
      <selection activeCell="T39" sqref="T39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2.28515625" style="6" customWidth="1"/>
    <col min="4" max="4" width="8.42578125" style="6" customWidth="1"/>
    <col min="5" max="5" width="6.42578125" style="6" customWidth="1"/>
    <col min="6" max="6" width="5.42578125" style="6" customWidth="1"/>
    <col min="7" max="7" width="8" style="6" customWidth="1"/>
    <col min="8" max="8" width="5.85546875" style="6" customWidth="1"/>
    <col min="9" max="9" width="10" style="6" customWidth="1"/>
    <col min="10" max="10" width="14.42578125" style="6" customWidth="1"/>
    <col min="11" max="12" width="8.140625" style="6" customWidth="1"/>
    <col min="13" max="13" width="8" style="6" customWidth="1"/>
    <col min="14" max="14" width="10.42578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69</v>
      </c>
      <c r="E2" s="195"/>
      <c r="F2" s="195"/>
      <c r="G2" s="195"/>
      <c r="H2" s="195"/>
      <c r="I2" s="195"/>
      <c r="J2" s="195"/>
      <c r="K2" s="195"/>
      <c r="L2" s="251">
        <f>'Niveau 1 Avril'!L2:N4</f>
        <v>45383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6"/>
      <c r="Q3" s="4"/>
      <c r="R3" s="220"/>
      <c r="S3" s="220"/>
      <c r="T3" s="220"/>
      <c r="U3" s="36"/>
      <c r="V3" s="36"/>
      <c r="W3" s="36"/>
      <c r="X3" s="36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6"/>
      <c r="Q4" s="4"/>
      <c r="R4" s="36"/>
      <c r="S4" s="36"/>
      <c r="T4" s="36"/>
      <c r="U4" s="36"/>
      <c r="V4" s="36"/>
      <c r="W4" s="36"/>
      <c r="X4" s="36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f>+'Niveau 2 Avril'!L5:N5</f>
        <v>45384</v>
      </c>
      <c r="M5" s="222"/>
      <c r="N5" s="222"/>
      <c r="O5" s="3"/>
      <c r="P5" s="36"/>
      <c r="Q5" s="5"/>
      <c r="R5" s="220"/>
      <c r="S5" s="220"/>
      <c r="T5" s="220"/>
      <c r="U5" s="36"/>
      <c r="V5" s="36"/>
      <c r="W5" s="36"/>
      <c r="X5" s="36"/>
      <c r="Y5" s="5"/>
    </row>
    <row r="6" spans="1:25" ht="19.5" customHeight="1" x14ac:dyDescent="0.35">
      <c r="A6" s="27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40"/>
      <c r="V6" s="40"/>
      <c r="W6" s="40"/>
      <c r="X6" s="40"/>
      <c r="Y6" s="5"/>
    </row>
    <row r="7" spans="1:25" ht="19.5" customHeight="1" thickBot="1" x14ac:dyDescent="0.4">
      <c r="A7" s="111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40"/>
      <c r="V7" s="40"/>
      <c r="W7" s="40"/>
      <c r="X7" s="40"/>
      <c r="Y7" s="5"/>
    </row>
    <row r="8" spans="1:25" ht="18" customHeight="1" thickBot="1" x14ac:dyDescent="0.3">
      <c r="A8" s="8" t="s">
        <v>2</v>
      </c>
      <c r="B8" s="24"/>
      <c r="C8" s="223"/>
      <c r="D8" s="224"/>
      <c r="E8" s="224"/>
      <c r="F8" s="225"/>
      <c r="G8" s="9"/>
      <c r="H8" s="8" t="s">
        <v>26</v>
      </c>
      <c r="I8" s="8"/>
      <c r="J8" s="8"/>
      <c r="K8" s="223"/>
      <c r="L8" s="224"/>
      <c r="M8" s="224"/>
      <c r="N8" s="225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223"/>
      <c r="D10" s="224"/>
      <c r="E10" s="224"/>
      <c r="F10" s="225"/>
      <c r="G10" s="9"/>
      <c r="H10" s="8" t="s">
        <v>25</v>
      </c>
      <c r="I10" s="8"/>
      <c r="J10" s="8"/>
      <c r="K10" s="223"/>
      <c r="L10" s="224"/>
      <c r="M10" s="224"/>
      <c r="N10" s="225"/>
      <c r="O10" s="26"/>
      <c r="P10" s="26"/>
      <c r="Q10" s="26"/>
      <c r="R10" s="26"/>
      <c r="S10" s="26"/>
      <c r="T10" s="26"/>
      <c r="U10" s="11"/>
    </row>
    <row r="11" spans="1:25" ht="18" customHeight="1" thickBot="1" x14ac:dyDescent="0.35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8" customHeight="1" thickBot="1" x14ac:dyDescent="0.35">
      <c r="A12" s="8" t="s">
        <v>49</v>
      </c>
      <c r="B12" s="24"/>
      <c r="C12" s="223" t="s">
        <v>50</v>
      </c>
      <c r="D12" s="224"/>
      <c r="E12" s="224"/>
      <c r="F12" s="225"/>
      <c r="G12" s="24"/>
      <c r="H12" s="8" t="s">
        <v>52</v>
      </c>
      <c r="I12" s="8"/>
      <c r="J12" s="24"/>
      <c r="K12" s="241"/>
      <c r="L12" s="242"/>
      <c r="M12" s="8" t="s">
        <v>59</v>
      </c>
      <c r="N12" s="24"/>
      <c r="O12" s="26"/>
      <c r="P12" s="26"/>
      <c r="Q12" s="26"/>
      <c r="R12" s="26"/>
      <c r="S12" s="26"/>
      <c r="T12" s="26"/>
      <c r="U12" s="11"/>
    </row>
    <row r="13" spans="1:25" ht="18" customHeight="1" thickBot="1" x14ac:dyDescent="0.35">
      <c r="A13" s="8"/>
      <c r="B13" s="24"/>
      <c r="C13" s="24"/>
      <c r="D13" s="24"/>
      <c r="E13" s="24"/>
      <c r="F13" s="24"/>
      <c r="G13" s="24"/>
      <c r="H13" s="8" t="s">
        <v>51</v>
      </c>
      <c r="I13" s="8"/>
      <c r="J13" s="24"/>
      <c r="K13" s="260"/>
      <c r="L13" s="261"/>
      <c r="M13" s="32" t="s">
        <v>60</v>
      </c>
      <c r="N13" s="24"/>
      <c r="O13" s="26"/>
      <c r="P13" s="26"/>
      <c r="Q13" s="26"/>
      <c r="R13" s="26"/>
      <c r="S13" s="26"/>
      <c r="T13" s="26"/>
      <c r="U13" s="11"/>
    </row>
    <row r="14" spans="1:25" ht="13.5" customHeight="1" thickBot="1" x14ac:dyDescent="0.35">
      <c r="A14" s="8" t="s">
        <v>70</v>
      </c>
      <c r="B14" s="24"/>
      <c r="C14" s="24"/>
      <c r="D14" s="24"/>
      <c r="E14" s="24"/>
      <c r="F14" s="24"/>
      <c r="G14" s="9"/>
      <c r="H14" s="8"/>
      <c r="I14" s="8"/>
      <c r="J14" s="8"/>
      <c r="K14" s="8"/>
      <c r="L14" s="8"/>
      <c r="M14" s="8"/>
      <c r="N14" s="8"/>
      <c r="O14" s="26"/>
      <c r="P14" s="26"/>
      <c r="Q14" s="26"/>
      <c r="R14" s="26"/>
      <c r="S14" s="26"/>
      <c r="T14" s="26"/>
      <c r="U14" s="11"/>
    </row>
    <row r="15" spans="1:25" ht="22.5" customHeight="1" thickBot="1" x14ac:dyDescent="0.35">
      <c r="A15" s="8"/>
      <c r="B15" s="24"/>
      <c r="C15" s="10"/>
      <c r="D15" s="10"/>
      <c r="E15" s="10"/>
      <c r="F15" s="262" t="s">
        <v>28</v>
      </c>
      <c r="G15" s="263"/>
      <c r="H15" s="263"/>
      <c r="I15" s="263"/>
      <c r="J15" s="263"/>
      <c r="K15" s="263"/>
      <c r="L15" s="263"/>
      <c r="M15" s="263"/>
      <c r="N15" s="264"/>
      <c r="O15" s="26"/>
      <c r="P15" s="26"/>
      <c r="Q15" s="26"/>
      <c r="R15" s="26"/>
      <c r="S15" s="26"/>
      <c r="T15" s="26"/>
      <c r="U15" s="11"/>
    </row>
    <row r="16" spans="1:25" s="19" customFormat="1" ht="54.75" customHeight="1" x14ac:dyDescent="0.25">
      <c r="A16" s="200" t="s">
        <v>1</v>
      </c>
      <c r="B16" s="201"/>
      <c r="C16" s="202"/>
      <c r="D16" s="203" t="s">
        <v>58</v>
      </c>
      <c r="E16" s="204"/>
      <c r="F16" s="265" t="s">
        <v>29</v>
      </c>
      <c r="G16" s="265"/>
      <c r="H16" s="266" t="s">
        <v>61</v>
      </c>
      <c r="I16" s="267"/>
      <c r="J16" s="37" t="s">
        <v>63</v>
      </c>
      <c r="K16" s="268" t="s">
        <v>64</v>
      </c>
      <c r="L16" s="269"/>
      <c r="M16" s="266" t="s">
        <v>30</v>
      </c>
      <c r="N16" s="267"/>
      <c r="O16" s="26"/>
      <c r="P16" s="26"/>
      <c r="Q16" s="26"/>
      <c r="R16" s="26"/>
      <c r="S16" s="26"/>
      <c r="T16" s="26"/>
      <c r="U16" s="20"/>
      <c r="V16" s="20"/>
      <c r="W16" s="20"/>
      <c r="X16" s="21"/>
    </row>
    <row r="17" spans="1:24" s="3" customFormat="1" ht="15.75" x14ac:dyDescent="0.25">
      <c r="A17" s="191">
        <v>45355</v>
      </c>
      <c r="B17" s="286"/>
      <c r="C17" s="287"/>
      <c r="D17" s="243"/>
      <c r="E17" s="243"/>
      <c r="F17" s="244"/>
      <c r="G17" s="245"/>
      <c r="H17" s="246"/>
      <c r="I17" s="247"/>
      <c r="J17" s="100"/>
      <c r="K17" s="248"/>
      <c r="L17" s="248"/>
      <c r="M17" s="249">
        <f t="shared" ref="M17" si="0">+K17-J17</f>
        <v>0</v>
      </c>
      <c r="N17" s="250"/>
      <c r="O17" s="26"/>
      <c r="P17" s="26"/>
      <c r="Q17" s="26"/>
      <c r="R17" s="26"/>
      <c r="S17" s="26"/>
      <c r="T17" s="26"/>
      <c r="U17" s="13"/>
      <c r="V17" s="13"/>
      <c r="W17" s="13"/>
      <c r="X17" s="1"/>
    </row>
    <row r="18" spans="1:24" s="3" customFormat="1" ht="15.75" x14ac:dyDescent="0.25">
      <c r="A18" s="191">
        <v>45356</v>
      </c>
      <c r="B18" s="286"/>
      <c r="C18" s="287"/>
      <c r="D18" s="243"/>
      <c r="E18" s="243"/>
      <c r="F18" s="244"/>
      <c r="G18" s="245"/>
      <c r="H18" s="246"/>
      <c r="I18" s="247"/>
      <c r="J18" s="100"/>
      <c r="K18" s="248"/>
      <c r="L18" s="248"/>
      <c r="M18" s="249">
        <f t="shared" ref="M18:M43" si="1">+K18-J18</f>
        <v>0</v>
      </c>
      <c r="N18" s="250"/>
      <c r="P18" s="26"/>
      <c r="Q18" s="26"/>
      <c r="R18" s="26"/>
      <c r="S18" s="26"/>
      <c r="T18" s="26"/>
      <c r="U18" s="13"/>
      <c r="V18" s="13"/>
      <c r="W18" s="13"/>
      <c r="X18" s="1"/>
    </row>
    <row r="19" spans="1:24" s="3" customFormat="1" ht="15.75" x14ac:dyDescent="0.25">
      <c r="A19" s="191">
        <v>45357</v>
      </c>
      <c r="B19" s="286"/>
      <c r="C19" s="287"/>
      <c r="D19" s="243"/>
      <c r="E19" s="243"/>
      <c r="F19" s="244"/>
      <c r="G19" s="245"/>
      <c r="H19" s="246"/>
      <c r="I19" s="247"/>
      <c r="J19" s="100"/>
      <c r="K19" s="248"/>
      <c r="L19" s="248"/>
      <c r="M19" s="249">
        <f t="shared" si="1"/>
        <v>0</v>
      </c>
      <c r="N19" s="250"/>
      <c r="P19" s="26"/>
      <c r="Q19" s="26"/>
      <c r="R19" s="26"/>
      <c r="S19" s="26"/>
      <c r="T19" s="26"/>
      <c r="U19" s="26"/>
      <c r="V19" s="13"/>
      <c r="W19" s="13"/>
      <c r="X19" s="1"/>
    </row>
    <row r="20" spans="1:24" s="3" customFormat="1" x14ac:dyDescent="0.25">
      <c r="A20" s="191">
        <v>45358</v>
      </c>
      <c r="B20" s="286"/>
      <c r="C20" s="287"/>
      <c r="D20" s="243"/>
      <c r="E20" s="243"/>
      <c r="F20" s="244"/>
      <c r="G20" s="245"/>
      <c r="H20" s="246"/>
      <c r="I20" s="247"/>
      <c r="J20" s="100"/>
      <c r="K20" s="248"/>
      <c r="L20" s="248"/>
      <c r="M20" s="249">
        <f t="shared" si="1"/>
        <v>0</v>
      </c>
      <c r="N20" s="250"/>
      <c r="P20" s="12"/>
      <c r="Q20" s="12"/>
      <c r="R20" s="12"/>
      <c r="S20" s="12"/>
      <c r="T20" s="13"/>
      <c r="U20" s="13"/>
      <c r="V20" s="13"/>
      <c r="W20" s="13"/>
      <c r="X20" s="1"/>
    </row>
    <row r="21" spans="1:24" s="3" customFormat="1" x14ac:dyDescent="0.25">
      <c r="A21" s="191">
        <v>45359</v>
      </c>
      <c r="B21" s="286"/>
      <c r="C21" s="287"/>
      <c r="D21" s="243"/>
      <c r="E21" s="243"/>
      <c r="F21" s="244"/>
      <c r="G21" s="245"/>
      <c r="H21" s="246"/>
      <c r="I21" s="247"/>
      <c r="J21" s="100"/>
      <c r="K21" s="248"/>
      <c r="L21" s="248"/>
      <c r="M21" s="249">
        <f t="shared" si="1"/>
        <v>0</v>
      </c>
      <c r="N21" s="250"/>
      <c r="P21" s="12"/>
      <c r="Q21" s="12"/>
      <c r="R21" s="12"/>
      <c r="S21" s="12"/>
      <c r="T21" s="13"/>
      <c r="U21" s="13"/>
      <c r="V21" s="13"/>
      <c r="W21" s="13"/>
      <c r="X21" s="1"/>
    </row>
    <row r="22" spans="1:24" s="3" customFormat="1" x14ac:dyDescent="0.25">
      <c r="A22" s="191">
        <v>45360</v>
      </c>
      <c r="B22" s="286"/>
      <c r="C22" s="287"/>
      <c r="D22" s="243"/>
      <c r="E22" s="243"/>
      <c r="F22" s="244"/>
      <c r="G22" s="245"/>
      <c r="H22" s="246"/>
      <c r="I22" s="247"/>
      <c r="J22" s="100"/>
      <c r="K22" s="248"/>
      <c r="L22" s="248"/>
      <c r="M22" s="249">
        <f t="shared" si="1"/>
        <v>0</v>
      </c>
      <c r="N22" s="250"/>
      <c r="P22" s="12"/>
      <c r="Q22" s="12"/>
      <c r="R22" s="12"/>
      <c r="S22" s="12"/>
      <c r="T22" s="13"/>
      <c r="U22" s="13"/>
      <c r="V22" s="13"/>
      <c r="W22" s="13"/>
      <c r="X22" s="1"/>
    </row>
    <row r="23" spans="1:24" s="3" customFormat="1" x14ac:dyDescent="0.25">
      <c r="A23" s="191">
        <v>45361</v>
      </c>
      <c r="B23" s="286"/>
      <c r="C23" s="287"/>
      <c r="D23" s="243"/>
      <c r="E23" s="243"/>
      <c r="F23" s="244"/>
      <c r="G23" s="245"/>
      <c r="H23" s="246"/>
      <c r="I23" s="247"/>
      <c r="J23" s="100"/>
      <c r="K23" s="248"/>
      <c r="L23" s="248"/>
      <c r="M23" s="249">
        <f t="shared" si="1"/>
        <v>0</v>
      </c>
      <c r="N23" s="250"/>
      <c r="P23" s="12"/>
      <c r="Q23" s="12"/>
      <c r="R23" s="12"/>
      <c r="S23" s="12"/>
      <c r="T23" s="13"/>
      <c r="U23" s="13"/>
      <c r="V23" s="13"/>
      <c r="W23" s="13"/>
      <c r="X23" s="1"/>
    </row>
    <row r="24" spans="1:24" s="3" customFormat="1" x14ac:dyDescent="0.25">
      <c r="A24" s="191">
        <v>45362</v>
      </c>
      <c r="B24" s="286"/>
      <c r="C24" s="287"/>
      <c r="D24" s="243"/>
      <c r="E24" s="243"/>
      <c r="F24" s="244"/>
      <c r="G24" s="245"/>
      <c r="H24" s="246"/>
      <c r="I24" s="247"/>
      <c r="J24" s="100"/>
      <c r="K24" s="248"/>
      <c r="L24" s="248"/>
      <c r="M24" s="249">
        <f t="shared" si="1"/>
        <v>0</v>
      </c>
      <c r="N24" s="250"/>
      <c r="P24" s="12"/>
      <c r="Q24" s="12"/>
      <c r="R24" s="12"/>
      <c r="S24" s="12"/>
      <c r="T24" s="13"/>
      <c r="U24" s="13"/>
      <c r="V24" s="13"/>
      <c r="W24" s="13"/>
      <c r="X24" s="1"/>
    </row>
    <row r="25" spans="1:24" s="3" customFormat="1" x14ac:dyDescent="0.25">
      <c r="A25" s="191">
        <v>45363</v>
      </c>
      <c r="B25" s="286"/>
      <c r="C25" s="287"/>
      <c r="D25" s="243"/>
      <c r="E25" s="243"/>
      <c r="F25" s="244"/>
      <c r="G25" s="245"/>
      <c r="H25" s="246"/>
      <c r="I25" s="247"/>
      <c r="J25" s="100"/>
      <c r="K25" s="248"/>
      <c r="L25" s="248"/>
      <c r="M25" s="249">
        <f t="shared" si="1"/>
        <v>0</v>
      </c>
      <c r="N25" s="250"/>
      <c r="P25" s="12"/>
      <c r="Q25" s="12"/>
      <c r="R25" s="12"/>
      <c r="S25" s="12"/>
      <c r="T25" s="13"/>
      <c r="U25" s="13"/>
      <c r="V25" s="13"/>
      <c r="W25" s="13"/>
      <c r="X25" s="1"/>
    </row>
    <row r="26" spans="1:24" s="3" customFormat="1" x14ac:dyDescent="0.25">
      <c r="A26" s="191">
        <v>45364</v>
      </c>
      <c r="B26" s="286"/>
      <c r="C26" s="287"/>
      <c r="D26" s="243"/>
      <c r="E26" s="243"/>
      <c r="F26" s="244"/>
      <c r="G26" s="245"/>
      <c r="H26" s="246"/>
      <c r="I26" s="247"/>
      <c r="J26" s="100"/>
      <c r="K26" s="248"/>
      <c r="L26" s="248"/>
      <c r="M26" s="249">
        <f t="shared" si="1"/>
        <v>0</v>
      </c>
      <c r="N26" s="250"/>
      <c r="P26" s="12"/>
      <c r="Q26" s="12"/>
      <c r="R26" s="12"/>
      <c r="S26" s="12"/>
      <c r="T26" s="13"/>
      <c r="U26" s="13"/>
      <c r="V26" s="13"/>
      <c r="W26" s="13"/>
      <c r="X26" s="1"/>
    </row>
    <row r="27" spans="1:24" s="3" customFormat="1" x14ac:dyDescent="0.25">
      <c r="A27" s="191">
        <v>45365</v>
      </c>
      <c r="B27" s="286"/>
      <c r="C27" s="287"/>
      <c r="D27" s="243"/>
      <c r="E27" s="243"/>
      <c r="F27" s="244"/>
      <c r="G27" s="245"/>
      <c r="H27" s="246"/>
      <c r="I27" s="247"/>
      <c r="J27" s="100"/>
      <c r="K27" s="248"/>
      <c r="L27" s="248"/>
      <c r="M27" s="249">
        <f t="shared" si="1"/>
        <v>0</v>
      </c>
      <c r="N27" s="250"/>
      <c r="P27" s="12"/>
      <c r="Q27" s="15"/>
      <c r="R27" s="15"/>
      <c r="S27" s="15"/>
      <c r="T27" s="13"/>
      <c r="U27" s="13"/>
      <c r="V27" s="13"/>
      <c r="W27" s="13"/>
      <c r="X27" s="1"/>
    </row>
    <row r="28" spans="1:24" s="3" customFormat="1" x14ac:dyDescent="0.25">
      <c r="A28" s="191">
        <v>45366</v>
      </c>
      <c r="B28" s="286"/>
      <c r="C28" s="287"/>
      <c r="D28" s="243"/>
      <c r="E28" s="243"/>
      <c r="F28" s="244"/>
      <c r="G28" s="245"/>
      <c r="H28" s="246"/>
      <c r="I28" s="247"/>
      <c r="J28" s="100"/>
      <c r="K28" s="248"/>
      <c r="L28" s="248"/>
      <c r="M28" s="249">
        <f t="shared" si="1"/>
        <v>0</v>
      </c>
      <c r="N28" s="250"/>
      <c r="P28" s="12"/>
      <c r="Q28" s="15"/>
      <c r="R28" s="15"/>
      <c r="S28" s="15"/>
      <c r="T28" s="13"/>
      <c r="U28" s="13"/>
      <c r="V28" s="13"/>
      <c r="W28" s="13"/>
      <c r="X28" s="1"/>
    </row>
    <row r="29" spans="1:24" s="3" customFormat="1" x14ac:dyDescent="0.25">
      <c r="A29" s="191">
        <v>45367</v>
      </c>
      <c r="B29" s="286"/>
      <c r="C29" s="287"/>
      <c r="D29" s="243"/>
      <c r="E29" s="243"/>
      <c r="F29" s="244"/>
      <c r="G29" s="245"/>
      <c r="H29" s="246"/>
      <c r="I29" s="247"/>
      <c r="J29" s="100"/>
      <c r="K29" s="248"/>
      <c r="L29" s="248"/>
      <c r="M29" s="249">
        <f t="shared" si="1"/>
        <v>0</v>
      </c>
      <c r="N29" s="250"/>
      <c r="P29" s="12"/>
      <c r="Q29" s="15"/>
      <c r="R29" s="15"/>
      <c r="S29" s="15"/>
      <c r="T29" s="13"/>
      <c r="U29" s="13"/>
      <c r="V29" s="13"/>
      <c r="W29" s="13"/>
      <c r="X29" s="1"/>
    </row>
    <row r="30" spans="1:24" s="3" customFormat="1" x14ac:dyDescent="0.25">
      <c r="A30" s="191">
        <v>45368</v>
      </c>
      <c r="B30" s="286"/>
      <c r="C30" s="287"/>
      <c r="D30" s="243"/>
      <c r="E30" s="243"/>
      <c r="F30" s="244"/>
      <c r="G30" s="245"/>
      <c r="H30" s="246"/>
      <c r="I30" s="247"/>
      <c r="J30" s="100"/>
      <c r="K30" s="248"/>
      <c r="L30" s="248"/>
      <c r="M30" s="249">
        <f t="shared" si="1"/>
        <v>0</v>
      </c>
      <c r="N30" s="250"/>
      <c r="O30" s="1"/>
      <c r="P30" s="12"/>
      <c r="Q30" s="15"/>
      <c r="R30" s="15"/>
      <c r="S30" s="15"/>
      <c r="T30" s="13"/>
      <c r="U30" s="13"/>
      <c r="V30" s="13"/>
      <c r="W30" s="13"/>
      <c r="X30" s="1"/>
    </row>
    <row r="31" spans="1:24" s="3" customFormat="1" x14ac:dyDescent="0.25">
      <c r="A31" s="191">
        <v>45369</v>
      </c>
      <c r="B31" s="286"/>
      <c r="C31" s="287"/>
      <c r="D31" s="270"/>
      <c r="E31" s="271"/>
      <c r="F31" s="101"/>
      <c r="G31" s="102"/>
      <c r="H31" s="103"/>
      <c r="I31" s="104"/>
      <c r="J31" s="100"/>
      <c r="K31" s="249"/>
      <c r="L31" s="250"/>
      <c r="M31" s="249">
        <f t="shared" si="1"/>
        <v>0</v>
      </c>
      <c r="N31" s="250"/>
      <c r="O31" s="1"/>
      <c r="P31" s="12"/>
      <c r="Q31" s="15"/>
      <c r="R31" s="15"/>
      <c r="S31" s="15"/>
      <c r="T31" s="13"/>
      <c r="U31" s="13"/>
      <c r="V31" s="13"/>
      <c r="W31" s="13"/>
      <c r="X31" s="1"/>
    </row>
    <row r="32" spans="1:24" s="3" customFormat="1" x14ac:dyDescent="0.25">
      <c r="A32" s="191">
        <v>45370</v>
      </c>
      <c r="B32" s="286"/>
      <c r="C32" s="287"/>
      <c r="D32" s="270"/>
      <c r="E32" s="271"/>
      <c r="F32" s="101"/>
      <c r="G32" s="102"/>
      <c r="H32" s="103"/>
      <c r="I32" s="104"/>
      <c r="J32" s="100"/>
      <c r="K32" s="249"/>
      <c r="L32" s="250"/>
      <c r="M32" s="249">
        <f t="shared" si="1"/>
        <v>0</v>
      </c>
      <c r="N32" s="250"/>
      <c r="O32" s="1"/>
      <c r="P32" s="12"/>
      <c r="Q32" s="15"/>
      <c r="R32" s="15"/>
      <c r="S32" s="15"/>
      <c r="T32" s="13"/>
      <c r="U32" s="13"/>
      <c r="V32" s="13"/>
      <c r="W32" s="13"/>
      <c r="X32" s="1"/>
    </row>
    <row r="33" spans="1:25" s="3" customFormat="1" x14ac:dyDescent="0.25">
      <c r="A33" s="191">
        <v>45371</v>
      </c>
      <c r="B33" s="286"/>
      <c r="C33" s="287"/>
      <c r="D33" s="270"/>
      <c r="E33" s="271"/>
      <c r="F33" s="101"/>
      <c r="G33" s="102"/>
      <c r="H33" s="103"/>
      <c r="I33" s="104"/>
      <c r="J33" s="100"/>
      <c r="K33" s="249"/>
      <c r="L33" s="250"/>
      <c r="M33" s="249">
        <f t="shared" si="1"/>
        <v>0</v>
      </c>
      <c r="N33" s="250"/>
      <c r="O33" s="1"/>
      <c r="P33" s="12"/>
      <c r="Q33" s="15"/>
      <c r="R33" s="15"/>
      <c r="S33" s="15"/>
      <c r="T33" s="13"/>
      <c r="U33" s="13"/>
      <c r="V33" s="13"/>
      <c r="W33" s="13"/>
      <c r="X33" s="1"/>
    </row>
    <row r="34" spans="1:25" s="3" customFormat="1" x14ac:dyDescent="0.25">
      <c r="A34" s="191">
        <v>45372</v>
      </c>
      <c r="B34" s="286"/>
      <c r="C34" s="287"/>
      <c r="D34" s="270"/>
      <c r="E34" s="271"/>
      <c r="F34" s="101"/>
      <c r="G34" s="102"/>
      <c r="H34" s="103"/>
      <c r="I34" s="104"/>
      <c r="J34" s="100"/>
      <c r="K34" s="249"/>
      <c r="L34" s="250"/>
      <c r="M34" s="249">
        <f t="shared" si="1"/>
        <v>0</v>
      </c>
      <c r="N34" s="250"/>
      <c r="O34" s="1"/>
      <c r="P34" s="12"/>
      <c r="Q34" s="15"/>
      <c r="R34" s="15"/>
      <c r="S34" s="15"/>
      <c r="T34" s="13"/>
      <c r="U34" s="13"/>
      <c r="V34" s="13"/>
      <c r="W34" s="13"/>
      <c r="X34" s="1"/>
    </row>
    <row r="35" spans="1:25" s="3" customFormat="1" x14ac:dyDescent="0.25">
      <c r="A35" s="191">
        <v>45373</v>
      </c>
      <c r="B35" s="286"/>
      <c r="C35" s="287"/>
      <c r="D35" s="270"/>
      <c r="E35" s="271"/>
      <c r="F35" s="101"/>
      <c r="G35" s="102"/>
      <c r="H35" s="103"/>
      <c r="I35" s="104"/>
      <c r="J35" s="100"/>
      <c r="K35" s="249"/>
      <c r="L35" s="250"/>
      <c r="M35" s="249">
        <f t="shared" si="1"/>
        <v>0</v>
      </c>
      <c r="N35" s="250"/>
      <c r="O35" s="1"/>
      <c r="P35" s="12"/>
      <c r="Q35" s="15"/>
      <c r="R35" s="15"/>
      <c r="S35" s="15"/>
      <c r="T35" s="13"/>
      <c r="U35" s="13"/>
      <c r="V35" s="13"/>
      <c r="W35" s="13"/>
      <c r="X35" s="1"/>
    </row>
    <row r="36" spans="1:25" s="3" customFormat="1" x14ac:dyDescent="0.25">
      <c r="A36" s="191">
        <v>45374</v>
      </c>
      <c r="B36" s="286"/>
      <c r="C36" s="287"/>
      <c r="D36" s="270"/>
      <c r="E36" s="271"/>
      <c r="F36" s="101"/>
      <c r="G36" s="102"/>
      <c r="H36" s="103"/>
      <c r="I36" s="104"/>
      <c r="J36" s="100"/>
      <c r="K36" s="249"/>
      <c r="L36" s="250"/>
      <c r="M36" s="249">
        <f t="shared" si="1"/>
        <v>0</v>
      </c>
      <c r="N36" s="250"/>
      <c r="O36" s="1"/>
      <c r="P36" s="12"/>
      <c r="Q36" s="15"/>
      <c r="R36" s="15"/>
      <c r="S36" s="15"/>
      <c r="T36" s="13"/>
      <c r="U36" s="13"/>
      <c r="V36" s="13"/>
      <c r="W36" s="13"/>
      <c r="X36" s="1"/>
    </row>
    <row r="37" spans="1:25" s="3" customFormat="1" x14ac:dyDescent="0.25">
      <c r="A37" s="191">
        <v>45375</v>
      </c>
      <c r="B37" s="286"/>
      <c r="C37" s="287"/>
      <c r="D37" s="270"/>
      <c r="E37" s="271"/>
      <c r="F37" s="101"/>
      <c r="G37" s="102"/>
      <c r="H37" s="103"/>
      <c r="I37" s="104"/>
      <c r="J37" s="100"/>
      <c r="K37" s="249"/>
      <c r="L37" s="250"/>
      <c r="M37" s="249">
        <f t="shared" si="1"/>
        <v>0</v>
      </c>
      <c r="N37" s="250"/>
      <c r="O37" s="1"/>
      <c r="P37" s="12"/>
      <c r="Q37" s="15"/>
      <c r="R37" s="15"/>
      <c r="S37" s="15"/>
      <c r="T37" s="13"/>
      <c r="U37" s="13"/>
      <c r="V37" s="13"/>
      <c r="W37" s="13"/>
      <c r="X37" s="1"/>
    </row>
    <row r="38" spans="1:25" s="3" customFormat="1" x14ac:dyDescent="0.25">
      <c r="A38" s="191">
        <v>45376</v>
      </c>
      <c r="B38" s="286"/>
      <c r="C38" s="287"/>
      <c r="D38" s="270"/>
      <c r="E38" s="271"/>
      <c r="F38" s="101"/>
      <c r="G38" s="102"/>
      <c r="H38" s="103"/>
      <c r="I38" s="104"/>
      <c r="J38" s="100"/>
      <c r="K38" s="249"/>
      <c r="L38" s="250"/>
      <c r="M38" s="249">
        <f t="shared" si="1"/>
        <v>0</v>
      </c>
      <c r="N38" s="250"/>
      <c r="O38" s="1"/>
      <c r="P38" s="12"/>
      <c r="Q38" s="15"/>
      <c r="R38" s="15"/>
      <c r="S38" s="15"/>
      <c r="T38" s="13"/>
      <c r="U38" s="13"/>
      <c r="V38" s="13"/>
      <c r="W38" s="13"/>
      <c r="X38" s="1"/>
    </row>
    <row r="39" spans="1:25" s="3" customFormat="1" x14ac:dyDescent="0.25">
      <c r="A39" s="191">
        <v>45377</v>
      </c>
      <c r="B39" s="286"/>
      <c r="C39" s="287"/>
      <c r="D39" s="270"/>
      <c r="E39" s="271"/>
      <c r="F39" s="101"/>
      <c r="G39" s="102"/>
      <c r="H39" s="103"/>
      <c r="I39" s="104"/>
      <c r="J39" s="100"/>
      <c r="K39" s="249"/>
      <c r="L39" s="250"/>
      <c r="M39" s="249">
        <f t="shared" si="1"/>
        <v>0</v>
      </c>
      <c r="N39" s="250"/>
      <c r="O39" s="1"/>
      <c r="P39" s="12"/>
      <c r="Q39" s="15"/>
      <c r="R39" s="15"/>
      <c r="S39" s="15"/>
      <c r="T39" s="13"/>
      <c r="U39" s="13"/>
      <c r="V39" s="13"/>
      <c r="W39" s="13"/>
      <c r="X39" s="1"/>
    </row>
    <row r="40" spans="1:25" s="3" customFormat="1" x14ac:dyDescent="0.25">
      <c r="A40" s="191">
        <v>45378</v>
      </c>
      <c r="B40" s="286"/>
      <c r="C40" s="287"/>
      <c r="D40" s="270"/>
      <c r="E40" s="271"/>
      <c r="F40" s="101"/>
      <c r="G40" s="102"/>
      <c r="H40" s="103"/>
      <c r="I40" s="104"/>
      <c r="J40" s="100"/>
      <c r="K40" s="249"/>
      <c r="L40" s="250"/>
      <c r="M40" s="249">
        <f t="shared" si="1"/>
        <v>0</v>
      </c>
      <c r="N40" s="250"/>
      <c r="O40" s="1"/>
      <c r="P40" s="12"/>
      <c r="Q40" s="15"/>
      <c r="R40" s="15"/>
      <c r="S40" s="15"/>
      <c r="T40" s="13"/>
      <c r="U40" s="13"/>
      <c r="V40" s="13"/>
      <c r="W40" s="13"/>
      <c r="X40" s="1"/>
    </row>
    <row r="41" spans="1:25" s="3" customFormat="1" x14ac:dyDescent="0.25">
      <c r="A41" s="191">
        <v>45379</v>
      </c>
      <c r="B41" s="286"/>
      <c r="C41" s="287"/>
      <c r="D41" s="270"/>
      <c r="E41" s="271"/>
      <c r="F41" s="101"/>
      <c r="G41" s="102"/>
      <c r="H41" s="103"/>
      <c r="I41" s="104"/>
      <c r="J41" s="100"/>
      <c r="K41" s="249"/>
      <c r="L41" s="250"/>
      <c r="M41" s="249">
        <f t="shared" si="1"/>
        <v>0</v>
      </c>
      <c r="N41" s="250"/>
      <c r="O41" s="1"/>
      <c r="P41" s="12"/>
      <c r="Q41" s="15"/>
      <c r="R41" s="15"/>
      <c r="S41" s="15"/>
      <c r="T41" s="13"/>
      <c r="U41" s="13"/>
      <c r="V41" s="13"/>
      <c r="W41" s="13"/>
      <c r="X41" s="1"/>
    </row>
    <row r="42" spans="1:25" s="3" customFormat="1" x14ac:dyDescent="0.25">
      <c r="A42" s="191">
        <v>45380</v>
      </c>
      <c r="B42" s="286"/>
      <c r="C42" s="287"/>
      <c r="D42" s="270"/>
      <c r="E42" s="271"/>
      <c r="F42" s="101"/>
      <c r="G42" s="102"/>
      <c r="H42" s="103"/>
      <c r="I42" s="104"/>
      <c r="J42" s="100"/>
      <c r="K42" s="249"/>
      <c r="L42" s="250"/>
      <c r="M42" s="249">
        <f t="shared" si="1"/>
        <v>0</v>
      </c>
      <c r="N42" s="250"/>
      <c r="O42" s="1"/>
      <c r="P42" s="12"/>
      <c r="Q42" s="15"/>
      <c r="R42" s="15"/>
      <c r="S42" s="15"/>
      <c r="T42" s="13"/>
      <c r="U42" s="13"/>
      <c r="V42" s="13"/>
      <c r="W42" s="13"/>
      <c r="X42" s="1"/>
    </row>
    <row r="43" spans="1:25" s="3" customFormat="1" x14ac:dyDescent="0.25">
      <c r="A43" s="191">
        <v>45381</v>
      </c>
      <c r="B43" s="286"/>
      <c r="C43" s="287"/>
      <c r="D43" s="270"/>
      <c r="E43" s="271"/>
      <c r="F43" s="101"/>
      <c r="G43" s="102"/>
      <c r="H43" s="103"/>
      <c r="I43" s="104"/>
      <c r="J43" s="100"/>
      <c r="K43" s="249"/>
      <c r="L43" s="250"/>
      <c r="M43" s="249">
        <f t="shared" si="1"/>
        <v>0</v>
      </c>
      <c r="N43" s="250"/>
      <c r="O43" s="1"/>
      <c r="P43" s="12"/>
      <c r="Q43" s="15"/>
      <c r="R43" s="15"/>
      <c r="S43" s="15"/>
      <c r="T43" s="13"/>
      <c r="U43" s="13"/>
      <c r="V43" s="13"/>
      <c r="W43" s="13"/>
      <c r="X43" s="1"/>
    </row>
    <row r="44" spans="1:25" s="3" customFormat="1" x14ac:dyDescent="0.25">
      <c r="A44" s="191">
        <v>45382</v>
      </c>
      <c r="B44" s="286"/>
      <c r="C44" s="287"/>
      <c r="D44" s="270"/>
      <c r="E44" s="271"/>
      <c r="F44" s="101"/>
      <c r="G44" s="102"/>
      <c r="H44" s="103"/>
      <c r="I44" s="104"/>
      <c r="J44" s="100"/>
      <c r="K44" s="249"/>
      <c r="L44" s="250"/>
      <c r="M44" s="249">
        <f>+K44-J44</f>
        <v>0</v>
      </c>
      <c r="N44" s="250"/>
      <c r="O44" s="1"/>
      <c r="P44" s="12"/>
      <c r="Q44" s="15"/>
      <c r="R44" s="15"/>
      <c r="S44" s="15"/>
      <c r="T44" s="13"/>
      <c r="U44" s="13"/>
      <c r="V44" s="13"/>
      <c r="W44" s="13"/>
      <c r="X44" s="1"/>
    </row>
    <row r="45" spans="1:25" s="3" customFormat="1" ht="15.75" x14ac:dyDescent="0.25">
      <c r="A45" s="231" t="s">
        <v>21</v>
      </c>
      <c r="B45" s="232"/>
      <c r="C45" s="233"/>
      <c r="D45" s="278">
        <f>+COUNTA(D17:E44)</f>
        <v>0</v>
      </c>
      <c r="E45" s="279"/>
      <c r="F45" s="280">
        <f>+COUNTA(F17:G44)</f>
        <v>0</v>
      </c>
      <c r="G45" s="281"/>
      <c r="H45" s="282">
        <f>SUM(H17:I44)</f>
        <v>0</v>
      </c>
      <c r="I45" s="282"/>
      <c r="J45" s="107"/>
      <c r="K45" s="283"/>
      <c r="L45" s="283"/>
      <c r="M45" s="284">
        <f>+SUM(M17:O44)</f>
        <v>0</v>
      </c>
      <c r="N45" s="285"/>
      <c r="P45" s="12"/>
      <c r="Q45" s="12"/>
      <c r="R45" s="12"/>
      <c r="S45" s="12"/>
      <c r="T45" s="13"/>
      <c r="U45" s="13"/>
      <c r="V45" s="13"/>
      <c r="W45" s="13"/>
      <c r="X45" s="1"/>
    </row>
    <row r="46" spans="1:25" s="3" customFormat="1" x14ac:dyDescent="0.25">
      <c r="A46" s="12"/>
      <c r="B46" s="12"/>
      <c r="C46" s="12"/>
      <c r="D46" s="272" t="s">
        <v>65</v>
      </c>
      <c r="E46" s="273"/>
      <c r="F46" s="274" t="s">
        <v>24</v>
      </c>
      <c r="G46" s="274"/>
      <c r="H46" s="275" t="s">
        <v>62</v>
      </c>
      <c r="I46" s="275"/>
      <c r="K46" s="12"/>
      <c r="L46" s="12"/>
      <c r="M46" s="276" t="s">
        <v>66</v>
      </c>
      <c r="N46" s="277"/>
      <c r="O46" s="12"/>
      <c r="P46" s="12"/>
      <c r="Q46" s="12"/>
      <c r="R46" s="12"/>
      <c r="S46" s="12"/>
      <c r="T46" s="13"/>
      <c r="U46" s="13"/>
      <c r="V46" s="13"/>
      <c r="W46" s="13"/>
      <c r="X46" s="1"/>
    </row>
    <row r="47" spans="1:25" s="3" customFormat="1" x14ac:dyDescent="0.25">
      <c r="K47" s="12"/>
      <c r="L47" s="12"/>
      <c r="M47" s="12"/>
      <c r="N47" s="12"/>
      <c r="O47" s="12"/>
      <c r="P47" s="12"/>
      <c r="U47" s="1"/>
      <c r="V47" s="1"/>
      <c r="W47" s="1"/>
      <c r="X47" s="1"/>
      <c r="Y47" s="1"/>
    </row>
    <row r="48" spans="1:25" s="3" customFormat="1" x14ac:dyDescent="0.25">
      <c r="A48" s="28" t="s">
        <v>23</v>
      </c>
      <c r="J48" s="28" t="s">
        <v>27</v>
      </c>
      <c r="N48" s="39"/>
      <c r="P48" s="12"/>
      <c r="U48" s="1"/>
      <c r="V48" s="1"/>
      <c r="W48" s="1"/>
      <c r="X48" s="1"/>
      <c r="Y48" s="1"/>
    </row>
    <row r="49" spans="1:25" s="3" customFormat="1" x14ac:dyDescent="0.25">
      <c r="J49" s="28" t="s">
        <v>31</v>
      </c>
      <c r="N49" s="39"/>
      <c r="P49" s="12"/>
      <c r="U49" s="1"/>
      <c r="V49" s="1"/>
      <c r="W49" s="1"/>
      <c r="X49" s="1"/>
      <c r="Y49" s="1"/>
    </row>
    <row r="50" spans="1:25" s="3" customFormat="1" x14ac:dyDescent="0.25">
      <c r="A50" s="29" t="s">
        <v>20</v>
      </c>
      <c r="B50" s="30"/>
      <c r="C50" s="29"/>
      <c r="D50" s="29"/>
      <c r="E50" s="16"/>
      <c r="H50" s="18"/>
      <c r="P50" s="12"/>
      <c r="U50" s="1"/>
      <c r="V50" s="1"/>
      <c r="W50" s="1"/>
      <c r="X50" s="1"/>
      <c r="Y50" s="1"/>
    </row>
    <row r="51" spans="1:25" s="3" customFormat="1" x14ac:dyDescent="0.25">
      <c r="A51" s="29" t="s">
        <v>7</v>
      </c>
      <c r="B51" s="30"/>
      <c r="C51" s="31">
        <f ca="1">TODAY()</f>
        <v>45320</v>
      </c>
      <c r="D51" s="29"/>
      <c r="E51" s="16"/>
      <c r="J51" s="28" t="s">
        <v>22</v>
      </c>
      <c r="P51" s="12"/>
      <c r="U51" s="1"/>
      <c r="V51" s="1"/>
      <c r="W51" s="1"/>
      <c r="X51" s="1"/>
      <c r="Y51" s="1"/>
    </row>
    <row r="52" spans="1:25" s="3" customFormat="1" x14ac:dyDescent="0.25">
      <c r="A52" s="28"/>
      <c r="B52" s="240" t="s">
        <v>47</v>
      </c>
      <c r="C52" s="240"/>
      <c r="D52" s="240"/>
      <c r="E52" s="240"/>
      <c r="F52" s="240"/>
      <c r="J52" s="240" t="s">
        <v>48</v>
      </c>
      <c r="K52" s="240"/>
      <c r="L52" s="240"/>
      <c r="M52" s="240"/>
      <c r="N52" s="240"/>
      <c r="U52" s="1"/>
      <c r="V52" s="1"/>
      <c r="W52" s="1"/>
      <c r="X52" s="1"/>
      <c r="Y52" s="1"/>
    </row>
    <row r="53" spans="1:25" s="3" customFormat="1" x14ac:dyDescent="0.25">
      <c r="B53" s="240"/>
      <c r="C53" s="240"/>
      <c r="D53" s="240"/>
      <c r="E53" s="240"/>
      <c r="F53" s="240"/>
      <c r="J53" s="240"/>
      <c r="K53" s="240"/>
      <c r="L53" s="240"/>
      <c r="M53" s="240"/>
      <c r="N53" s="240"/>
      <c r="U53" s="1"/>
      <c r="V53" s="1"/>
      <c r="W53" s="1"/>
      <c r="X53" s="1"/>
      <c r="Y53" s="1"/>
    </row>
    <row r="54" spans="1:25" s="3" customFormat="1" x14ac:dyDescent="0.25">
      <c r="B54" s="240"/>
      <c r="C54" s="240"/>
      <c r="D54" s="240"/>
      <c r="E54" s="240"/>
      <c r="F54" s="240"/>
      <c r="J54" s="240"/>
      <c r="K54" s="240"/>
      <c r="L54" s="240"/>
      <c r="M54" s="240"/>
      <c r="N54" s="240"/>
      <c r="U54" s="1"/>
      <c r="V54" s="1"/>
      <c r="W54" s="1"/>
      <c r="X54" s="1"/>
      <c r="Y54" s="1"/>
    </row>
    <row r="55" spans="1:25" s="3" customFormat="1" x14ac:dyDescent="0.25">
      <c r="B55" s="240"/>
      <c r="C55" s="240"/>
      <c r="D55" s="240"/>
      <c r="E55" s="240"/>
      <c r="F55" s="240"/>
      <c r="J55" s="240"/>
      <c r="K55" s="240"/>
      <c r="L55" s="240"/>
      <c r="M55" s="240"/>
      <c r="N55" s="240"/>
      <c r="U55" s="1"/>
      <c r="V55" s="1"/>
      <c r="W55" s="1"/>
      <c r="X55" s="1"/>
      <c r="Y55" s="1"/>
    </row>
    <row r="56" spans="1:25" s="3" customFormat="1" x14ac:dyDescent="0.25">
      <c r="B56" s="240"/>
      <c r="C56" s="240"/>
      <c r="D56" s="240"/>
      <c r="E56" s="240"/>
      <c r="F56" s="240"/>
      <c r="J56" s="240"/>
      <c r="K56" s="240"/>
      <c r="L56" s="240"/>
      <c r="M56" s="240"/>
      <c r="N56" s="240"/>
      <c r="U56" s="1"/>
      <c r="V56" s="1"/>
      <c r="W56" s="1"/>
      <c r="X56" s="1"/>
      <c r="Y56" s="1"/>
    </row>
    <row r="57" spans="1:25" s="3" customFormat="1" x14ac:dyDescent="0.25">
      <c r="B57" s="240"/>
      <c r="C57" s="240"/>
      <c r="D57" s="240"/>
      <c r="E57" s="240"/>
      <c r="F57" s="240"/>
      <c r="J57" s="240"/>
      <c r="K57" s="240"/>
      <c r="L57" s="240"/>
      <c r="M57" s="240"/>
      <c r="N57" s="240"/>
      <c r="U57" s="1"/>
      <c r="V57" s="1"/>
      <c r="W57" s="1"/>
      <c r="X57" s="1"/>
      <c r="Y57" s="1"/>
    </row>
    <row r="58" spans="1:25" s="3" customFormat="1" x14ac:dyDescent="0.25">
      <c r="A58" s="3" t="s">
        <v>46</v>
      </c>
      <c r="B58" s="23"/>
      <c r="J58" s="3" t="s">
        <v>39</v>
      </c>
      <c r="U58" s="1"/>
      <c r="V58" s="1"/>
      <c r="W58" s="1"/>
      <c r="X58" s="1"/>
      <c r="Y58" s="1"/>
    </row>
    <row r="59" spans="1:25" s="3" customFormat="1" x14ac:dyDescent="0.25">
      <c r="B59" s="23"/>
      <c r="U59" s="1"/>
      <c r="V59" s="1"/>
      <c r="W59" s="1"/>
      <c r="X59" s="1"/>
      <c r="Y59" s="1"/>
    </row>
    <row r="60" spans="1:25" s="3" customFormat="1" x14ac:dyDescent="0.25">
      <c r="B60" s="23"/>
      <c r="U60" s="1"/>
      <c r="V60" s="1"/>
      <c r="W60" s="1"/>
      <c r="X60" s="1"/>
      <c r="Y60" s="1"/>
    </row>
    <row r="61" spans="1:25" s="3" customFormat="1" x14ac:dyDescent="0.25">
      <c r="A61" s="29"/>
      <c r="B61" s="23"/>
      <c r="D61" s="29"/>
      <c r="U61" s="1"/>
      <c r="V61" s="1"/>
      <c r="W61" s="1"/>
      <c r="X61" s="1"/>
      <c r="Y61" s="1"/>
    </row>
    <row r="62" spans="1:25" s="3" customFormat="1" x14ac:dyDescent="0.25">
      <c r="U62" s="1"/>
      <c r="V62" s="1"/>
      <c r="W62" s="1"/>
      <c r="X62" s="1"/>
      <c r="Y62" s="1"/>
    </row>
    <row r="63" spans="1:25" s="3" customFormat="1" x14ac:dyDescent="0.25">
      <c r="B63" s="23"/>
      <c r="U63" s="1"/>
      <c r="V63" s="1"/>
      <c r="W63" s="1"/>
      <c r="X63" s="1"/>
      <c r="Y63" s="1"/>
    </row>
    <row r="64" spans="1:25" s="3" customFormat="1" x14ac:dyDescent="0.25">
      <c r="B64" s="23"/>
      <c r="U64" s="1"/>
      <c r="V64" s="1"/>
      <c r="W64" s="1"/>
      <c r="X64" s="1"/>
      <c r="Y64" s="1"/>
    </row>
    <row r="65" spans="2:25" s="3" customFormat="1" x14ac:dyDescent="0.25">
      <c r="B65" s="23"/>
      <c r="U65" s="1"/>
      <c r="V65" s="1"/>
      <c r="W65" s="1"/>
      <c r="X65" s="1"/>
      <c r="Y65" s="1"/>
    </row>
    <row r="66" spans="2:25" s="3" customFormat="1" x14ac:dyDescent="0.25">
      <c r="B66" s="23"/>
      <c r="U66" s="1"/>
      <c r="V66" s="1"/>
      <c r="W66" s="1"/>
      <c r="X66" s="1"/>
      <c r="Y66" s="1"/>
    </row>
    <row r="67" spans="2:25" s="3" customFormat="1" x14ac:dyDescent="0.25">
      <c r="B67" s="23"/>
      <c r="U67" s="1"/>
      <c r="V67" s="1"/>
      <c r="W67" s="1"/>
      <c r="X67" s="1"/>
      <c r="Y67" s="1"/>
    </row>
    <row r="68" spans="2:25" s="3" customFormat="1" x14ac:dyDescent="0.25">
      <c r="B68" s="23"/>
      <c r="U68" s="1"/>
      <c r="V68" s="1"/>
      <c r="W68" s="1"/>
      <c r="X68" s="1"/>
      <c r="Y68" s="1"/>
    </row>
    <row r="69" spans="2:25" s="3" customFormat="1" x14ac:dyDescent="0.25">
      <c r="B69" s="23"/>
      <c r="U69" s="1"/>
      <c r="V69" s="1"/>
      <c r="W69" s="1"/>
      <c r="X69" s="1"/>
      <c r="Y69" s="1"/>
    </row>
    <row r="70" spans="2:25" s="3" customFormat="1" x14ac:dyDescent="0.25">
      <c r="B70" s="23"/>
      <c r="U70" s="1"/>
      <c r="V70" s="1"/>
      <c r="W70" s="1"/>
      <c r="X70" s="1"/>
      <c r="Y70" s="1"/>
    </row>
    <row r="71" spans="2:25" s="3" customFormat="1" x14ac:dyDescent="0.25">
      <c r="B71" s="23"/>
      <c r="U71" s="1"/>
      <c r="V71" s="1"/>
      <c r="W71" s="1"/>
      <c r="X71" s="1"/>
      <c r="Y71" s="1"/>
    </row>
    <row r="72" spans="2:25" s="3" customFormat="1" x14ac:dyDescent="0.25">
      <c r="B72" s="23"/>
      <c r="U72" s="1"/>
      <c r="V72" s="1"/>
      <c r="W72" s="1"/>
      <c r="X72" s="1"/>
      <c r="Y72" s="1"/>
    </row>
    <row r="73" spans="2:25" s="3" customFormat="1" x14ac:dyDescent="0.25">
      <c r="B73" s="23"/>
      <c r="U73" s="1"/>
      <c r="V73" s="1"/>
      <c r="W73" s="1"/>
      <c r="X73" s="1"/>
      <c r="Y73" s="1"/>
    </row>
    <row r="74" spans="2:25" s="3" customFormat="1" x14ac:dyDescent="0.25">
      <c r="B74" s="23"/>
      <c r="U74" s="1"/>
      <c r="V74" s="1"/>
      <c r="W74" s="1"/>
      <c r="X74" s="1"/>
      <c r="Y74" s="1"/>
    </row>
    <row r="75" spans="2:25" s="3" customFormat="1" x14ac:dyDescent="0.25">
      <c r="B75" s="23"/>
      <c r="U75" s="1"/>
      <c r="V75" s="1"/>
      <c r="W75" s="1"/>
      <c r="X75" s="1"/>
      <c r="Y75" s="1"/>
    </row>
    <row r="76" spans="2:25" s="3" customFormat="1" x14ac:dyDescent="0.25">
      <c r="B76" s="23"/>
      <c r="U76" s="1"/>
      <c r="V76" s="1"/>
      <c r="W76" s="1"/>
      <c r="X76" s="1"/>
      <c r="Y76" s="1"/>
    </row>
    <row r="77" spans="2:25" s="3" customFormat="1" x14ac:dyDescent="0.25">
      <c r="B77" s="23"/>
      <c r="U77" s="1"/>
      <c r="V77" s="1"/>
      <c r="W77" s="1"/>
      <c r="X77" s="1"/>
      <c r="Y77" s="1"/>
    </row>
    <row r="78" spans="2:25" s="3" customFormat="1" x14ac:dyDescent="0.25">
      <c r="B78" s="23"/>
      <c r="U78" s="1"/>
      <c r="V78" s="1"/>
      <c r="W78" s="1"/>
      <c r="X78" s="1"/>
      <c r="Y78" s="1"/>
    </row>
    <row r="79" spans="2:25" s="3" customFormat="1" x14ac:dyDescent="0.25">
      <c r="B79" s="23"/>
      <c r="U79" s="1"/>
      <c r="V79" s="1"/>
      <c r="W79" s="1"/>
      <c r="X79" s="1"/>
      <c r="Y79" s="1"/>
    </row>
    <row r="80" spans="2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2:25" s="3" customFormat="1" x14ac:dyDescent="0.25">
      <c r="B225" s="23"/>
      <c r="U225" s="1"/>
      <c r="V225" s="1"/>
      <c r="W225" s="1"/>
      <c r="X225" s="1"/>
      <c r="Y225" s="1"/>
    </row>
    <row r="226" spans="2:25" s="3" customFormat="1" x14ac:dyDescent="0.25">
      <c r="B226" s="23"/>
      <c r="U226" s="1"/>
      <c r="V226" s="1"/>
      <c r="W226" s="1"/>
      <c r="X226" s="1"/>
      <c r="Y226" s="1"/>
    </row>
    <row r="227" spans="2:25" s="3" customFormat="1" x14ac:dyDescent="0.25">
      <c r="B227" s="23"/>
      <c r="U227" s="1"/>
      <c r="V227" s="1"/>
      <c r="W227" s="1"/>
      <c r="X227" s="1"/>
      <c r="Y227" s="1"/>
    </row>
    <row r="228" spans="2:25" s="3" customFormat="1" x14ac:dyDescent="0.25">
      <c r="B228" s="23"/>
      <c r="U228" s="1"/>
      <c r="V228" s="1"/>
      <c r="W228" s="1"/>
      <c r="X228" s="1"/>
      <c r="Y228" s="1"/>
    </row>
    <row r="229" spans="2:25" s="3" customFormat="1" x14ac:dyDescent="0.25">
      <c r="B229" s="23"/>
      <c r="U229" s="1"/>
      <c r="V229" s="1"/>
      <c r="W229" s="1"/>
      <c r="X229" s="1"/>
      <c r="Y229" s="1"/>
    </row>
    <row r="230" spans="2:25" s="3" customFormat="1" x14ac:dyDescent="0.25">
      <c r="B230" s="23"/>
      <c r="U230" s="1"/>
      <c r="V230" s="1"/>
      <c r="W230" s="1"/>
      <c r="X230" s="1"/>
      <c r="Y230" s="1"/>
    </row>
    <row r="231" spans="2:25" s="3" customFormat="1" x14ac:dyDescent="0.25">
      <c r="B231" s="23"/>
      <c r="U231" s="1"/>
      <c r="V231" s="1"/>
      <c r="W231" s="1"/>
      <c r="X231" s="1"/>
      <c r="Y231" s="1"/>
    </row>
    <row r="232" spans="2:25" s="3" customFormat="1" x14ac:dyDescent="0.25">
      <c r="B232" s="23"/>
      <c r="U232" s="1"/>
      <c r="V232" s="1"/>
      <c r="W232" s="1"/>
      <c r="X232" s="1"/>
      <c r="Y232" s="1"/>
    </row>
    <row r="233" spans="2:25" s="3" customFormat="1" x14ac:dyDescent="0.25">
      <c r="B233" s="23"/>
      <c r="U233" s="1"/>
      <c r="V233" s="1"/>
      <c r="W233" s="1"/>
      <c r="X233" s="1"/>
      <c r="Y233" s="1"/>
    </row>
    <row r="234" spans="2:25" s="3" customFormat="1" x14ac:dyDescent="0.25">
      <c r="B234" s="23"/>
      <c r="U234" s="1"/>
      <c r="V234" s="1"/>
      <c r="W234" s="1"/>
      <c r="X234" s="1"/>
      <c r="Y234" s="1"/>
    </row>
    <row r="235" spans="2:25" s="3" customFormat="1" x14ac:dyDescent="0.25">
      <c r="B235" s="23"/>
      <c r="K235" s="6"/>
      <c r="L235" s="6"/>
      <c r="M235" s="6"/>
      <c r="N235" s="6"/>
      <c r="U235" s="1"/>
      <c r="V235" s="1"/>
      <c r="W235" s="1"/>
      <c r="X235" s="1"/>
      <c r="Y235" s="1"/>
    </row>
    <row r="236" spans="2:25" s="3" customFormat="1" x14ac:dyDescent="0.25">
      <c r="B236" s="23"/>
      <c r="K236" s="6"/>
      <c r="L236" s="6"/>
      <c r="M236" s="6"/>
      <c r="N236" s="6"/>
      <c r="U236" s="1"/>
      <c r="V236" s="1"/>
      <c r="W236" s="1"/>
      <c r="X236" s="1"/>
      <c r="Y236" s="1"/>
    </row>
    <row r="237" spans="2:25" s="3" customFormat="1" x14ac:dyDescent="0.25">
      <c r="B237" s="23"/>
      <c r="K237" s="6"/>
      <c r="L237" s="6"/>
      <c r="M237" s="6"/>
      <c r="N237" s="6"/>
      <c r="U237" s="1"/>
      <c r="V237" s="1"/>
      <c r="W237" s="1"/>
      <c r="X237" s="1"/>
      <c r="Y237" s="1"/>
    </row>
    <row r="238" spans="2:25" s="3" customFormat="1" x14ac:dyDescent="0.25">
      <c r="B238" s="23"/>
      <c r="J238" s="6"/>
      <c r="K238" s="6"/>
      <c r="L238" s="6"/>
      <c r="M238" s="6"/>
      <c r="N238" s="6"/>
      <c r="U238" s="1"/>
      <c r="V238" s="1"/>
      <c r="W238" s="1"/>
      <c r="X238" s="1"/>
      <c r="Y238" s="1"/>
    </row>
    <row r="239" spans="2:25" s="3" customFormat="1" x14ac:dyDescent="0.25">
      <c r="B239" s="23"/>
      <c r="J239" s="6"/>
      <c r="K239" s="6"/>
      <c r="L239" s="6"/>
      <c r="M239" s="6"/>
      <c r="N239" s="6"/>
      <c r="U239" s="1"/>
      <c r="V239" s="1"/>
      <c r="W239" s="1"/>
      <c r="X239" s="1"/>
      <c r="Y239" s="1"/>
    </row>
    <row r="240" spans="2:25" s="3" customFormat="1" x14ac:dyDescent="0.25">
      <c r="B240" s="23"/>
      <c r="J240" s="6"/>
      <c r="K240" s="6"/>
      <c r="L240" s="6"/>
      <c r="M240" s="6"/>
      <c r="N240" s="6"/>
      <c r="U240" s="1"/>
      <c r="V240" s="1"/>
      <c r="W240" s="1"/>
      <c r="X240" s="1"/>
      <c r="Y240" s="1"/>
    </row>
    <row r="241" spans="1:25" s="3" customFormat="1" x14ac:dyDescent="0.25">
      <c r="B241" s="23"/>
      <c r="J241" s="6"/>
      <c r="K241" s="6"/>
      <c r="L241" s="6"/>
      <c r="M241" s="6"/>
      <c r="N241" s="6"/>
      <c r="U241" s="1"/>
      <c r="V241" s="1"/>
      <c r="W241" s="1"/>
      <c r="X241" s="1"/>
      <c r="Y241" s="1"/>
    </row>
    <row r="242" spans="1:25" s="3" customFormat="1" x14ac:dyDescent="0.25">
      <c r="B242" s="23"/>
      <c r="J242" s="6"/>
      <c r="K242" s="6"/>
      <c r="L242" s="6"/>
      <c r="M242" s="6"/>
      <c r="N242" s="6"/>
      <c r="O242" s="6"/>
      <c r="U242" s="1"/>
      <c r="V242" s="1"/>
      <c r="W242" s="1"/>
      <c r="X242" s="1"/>
      <c r="Y242" s="1"/>
    </row>
    <row r="243" spans="1:25" s="3" customFormat="1" x14ac:dyDescent="0.25">
      <c r="B243" s="23"/>
      <c r="J243" s="6"/>
      <c r="K243" s="6"/>
      <c r="L243" s="6"/>
      <c r="M243" s="6"/>
      <c r="N243" s="6"/>
      <c r="O243" s="6"/>
      <c r="U243" s="1"/>
      <c r="V243" s="1"/>
      <c r="W243" s="1"/>
      <c r="X243" s="1"/>
      <c r="Y243" s="1"/>
    </row>
    <row r="244" spans="1:25" s="3" customFormat="1" x14ac:dyDescent="0.25">
      <c r="A244" s="6"/>
      <c r="B244" s="25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Q244" s="6"/>
      <c r="R244" s="6"/>
      <c r="S244" s="6"/>
      <c r="U244" s="1"/>
      <c r="V244" s="1"/>
      <c r="W244" s="1"/>
      <c r="X244" s="1"/>
      <c r="Y244" s="1"/>
    </row>
  </sheetData>
  <sheetProtection sheet="1" objects="1" scenarios="1"/>
  <mergeCells count="172">
    <mergeCell ref="M40:N40"/>
    <mergeCell ref="M41:N41"/>
    <mergeCell ref="M42:N42"/>
    <mergeCell ref="M43:N43"/>
    <mergeCell ref="M44:N44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K41:L41"/>
    <mergeCell ref="A42:C42"/>
    <mergeCell ref="D42:E42"/>
    <mergeCell ref="K42:L42"/>
    <mergeCell ref="A43:C43"/>
    <mergeCell ref="D43:E43"/>
    <mergeCell ref="K43:L43"/>
    <mergeCell ref="A44:C44"/>
    <mergeCell ref="D44:E44"/>
    <mergeCell ref="K44:L44"/>
    <mergeCell ref="A41:C41"/>
    <mergeCell ref="D41:E41"/>
    <mergeCell ref="K18:L18"/>
    <mergeCell ref="M18:N18"/>
    <mergeCell ref="D17:E17"/>
    <mergeCell ref="F17:G17"/>
    <mergeCell ref="H17:I17"/>
    <mergeCell ref="K17:L17"/>
    <mergeCell ref="M17:N17"/>
    <mergeCell ref="A17:C17"/>
    <mergeCell ref="A18:C18"/>
    <mergeCell ref="M20:N20"/>
    <mergeCell ref="R3:T3"/>
    <mergeCell ref="B5:K5"/>
    <mergeCell ref="L5:N5"/>
    <mergeCell ref="R5:T5"/>
    <mergeCell ref="K13:L13"/>
    <mergeCell ref="F15:N15"/>
    <mergeCell ref="A16:C16"/>
    <mergeCell ref="D16:E16"/>
    <mergeCell ref="F16:G16"/>
    <mergeCell ref="H16:I16"/>
    <mergeCell ref="K16:L16"/>
    <mergeCell ref="M16:N16"/>
    <mergeCell ref="C8:F8"/>
    <mergeCell ref="K8:N8"/>
    <mergeCell ref="C10:F10"/>
    <mergeCell ref="K10:N10"/>
    <mergeCell ref="C12:F12"/>
    <mergeCell ref="K12:L12"/>
    <mergeCell ref="D2:K4"/>
    <mergeCell ref="L2:N4"/>
    <mergeCell ref="D18:E18"/>
    <mergeCell ref="F18:G18"/>
    <mergeCell ref="H18:I18"/>
    <mergeCell ref="D23:E23"/>
    <mergeCell ref="F23:G23"/>
    <mergeCell ref="H23:I23"/>
    <mergeCell ref="K23:L23"/>
    <mergeCell ref="M23:N23"/>
    <mergeCell ref="D19:E19"/>
    <mergeCell ref="F19:G19"/>
    <mergeCell ref="H19:I19"/>
    <mergeCell ref="K19:L19"/>
    <mergeCell ref="M19:N19"/>
    <mergeCell ref="D22:E22"/>
    <mergeCell ref="F22:G22"/>
    <mergeCell ref="H22:I22"/>
    <mergeCell ref="K22:L22"/>
    <mergeCell ref="M22:N22"/>
    <mergeCell ref="D21:E21"/>
    <mergeCell ref="F21:G21"/>
    <mergeCell ref="H21:I21"/>
    <mergeCell ref="K21:L21"/>
    <mergeCell ref="M21:N21"/>
    <mergeCell ref="D20:E20"/>
    <mergeCell ref="F20:G20"/>
    <mergeCell ref="H20:I20"/>
    <mergeCell ref="K20:L20"/>
    <mergeCell ref="D25:E25"/>
    <mergeCell ref="F25:G25"/>
    <mergeCell ref="H25:I25"/>
    <mergeCell ref="K25:L25"/>
    <mergeCell ref="M25:N25"/>
    <mergeCell ref="D24:E24"/>
    <mergeCell ref="F24:G24"/>
    <mergeCell ref="H24:I24"/>
    <mergeCell ref="K24:L24"/>
    <mergeCell ref="M24:N24"/>
    <mergeCell ref="D27:E27"/>
    <mergeCell ref="F27:G27"/>
    <mergeCell ref="H27:I27"/>
    <mergeCell ref="K27:L27"/>
    <mergeCell ref="M27:N27"/>
    <mergeCell ref="A28:C28"/>
    <mergeCell ref="D26:E26"/>
    <mergeCell ref="F26:G26"/>
    <mergeCell ref="H26:I26"/>
    <mergeCell ref="K26:L26"/>
    <mergeCell ref="M26:N26"/>
    <mergeCell ref="M30:N30"/>
    <mergeCell ref="D29:E29"/>
    <mergeCell ref="F29:G29"/>
    <mergeCell ref="H29:I29"/>
    <mergeCell ref="K29:L29"/>
    <mergeCell ref="M29:N29"/>
    <mergeCell ref="A29:C29"/>
    <mergeCell ref="A30:C30"/>
    <mergeCell ref="D28:E28"/>
    <mergeCell ref="F28:G28"/>
    <mergeCell ref="H28:I28"/>
    <mergeCell ref="K28:L28"/>
    <mergeCell ref="M28:N28"/>
    <mergeCell ref="D31:E31"/>
    <mergeCell ref="K31:L31"/>
    <mergeCell ref="D32:E32"/>
    <mergeCell ref="K32:L32"/>
    <mergeCell ref="A31:C31"/>
    <mergeCell ref="A32:C32"/>
    <mergeCell ref="A33:C33"/>
    <mergeCell ref="A34:C34"/>
    <mergeCell ref="D30:E30"/>
    <mergeCell ref="F30:G30"/>
    <mergeCell ref="H30:I30"/>
    <mergeCell ref="K30:L30"/>
    <mergeCell ref="D35:E35"/>
    <mergeCell ref="K35:L35"/>
    <mergeCell ref="D36:E36"/>
    <mergeCell ref="K36:L36"/>
    <mergeCell ref="A35:C35"/>
    <mergeCell ref="A36:C36"/>
    <mergeCell ref="A37:C37"/>
    <mergeCell ref="D33:E33"/>
    <mergeCell ref="K33:L33"/>
    <mergeCell ref="D34:E34"/>
    <mergeCell ref="K34:L34"/>
    <mergeCell ref="D37:E37"/>
    <mergeCell ref="K37:L37"/>
    <mergeCell ref="A38:C38"/>
    <mergeCell ref="D38:E38"/>
    <mergeCell ref="K38:L38"/>
    <mergeCell ref="A39:C39"/>
    <mergeCell ref="D39:E39"/>
    <mergeCell ref="K39:L39"/>
    <mergeCell ref="A40:C40"/>
    <mergeCell ref="D40:E40"/>
    <mergeCell ref="K40:L40"/>
    <mergeCell ref="D46:E46"/>
    <mergeCell ref="F46:G46"/>
    <mergeCell ref="H46:I46"/>
    <mergeCell ref="M46:N46"/>
    <mergeCell ref="B52:F57"/>
    <mergeCell ref="J52:N57"/>
    <mergeCell ref="A45:C45"/>
    <mergeCell ref="D45:E45"/>
    <mergeCell ref="F45:G45"/>
    <mergeCell ref="H45:I45"/>
    <mergeCell ref="K45:L45"/>
    <mergeCell ref="M45:N45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</mergeCells>
  <conditionalFormatting sqref="D17:D37 D45">
    <cfRule type="expression" dxfId="95" priority="3">
      <formula>#REF!="Non"</formula>
    </cfRule>
    <cfRule type="expression" dxfId="94" priority="4">
      <formula>#REF!="Oui"</formula>
    </cfRule>
  </conditionalFormatting>
  <conditionalFormatting sqref="D38:D44">
    <cfRule type="expression" dxfId="93" priority="1">
      <formula>#REF!="Non"</formula>
    </cfRule>
    <cfRule type="expression" dxfId="92" priority="2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2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BD239"/>
  <sheetViews>
    <sheetView topLeftCell="A4" zoomScale="90" zoomScaleNormal="90" workbookViewId="0">
      <selection activeCell="T39" sqref="T39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2.140625" style="6" customWidth="1"/>
    <col min="4" max="4" width="8.42578125" style="6" customWidth="1"/>
    <col min="5" max="5" width="10.42578125" style="6" customWidth="1"/>
    <col min="6" max="6" width="5.42578125" style="6" customWidth="1"/>
    <col min="7" max="7" width="9.85546875" style="6" customWidth="1"/>
    <col min="8" max="8" width="5.85546875" style="6" customWidth="1"/>
    <col min="9" max="9" width="1.85546875" style="6" customWidth="1"/>
    <col min="10" max="10" width="11.85546875" style="6" customWidth="1"/>
    <col min="11" max="12" width="8.140625" style="6" customWidth="1"/>
    <col min="13" max="13" width="6.5703125" style="6" customWidth="1"/>
    <col min="14" max="14" width="9.5703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68</v>
      </c>
      <c r="E2" s="195"/>
      <c r="F2" s="195"/>
      <c r="G2" s="195"/>
      <c r="H2" s="195"/>
      <c r="I2" s="195"/>
      <c r="J2" s="195"/>
      <c r="K2" s="195"/>
      <c r="L2" s="251">
        <v>45413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6"/>
      <c r="Q3" s="4"/>
      <c r="R3" s="220"/>
      <c r="S3" s="220"/>
      <c r="T3" s="220"/>
      <c r="U3" s="36"/>
      <c r="V3" s="36"/>
      <c r="W3" s="36"/>
      <c r="X3" s="36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6"/>
      <c r="Q4" s="4"/>
      <c r="R4" s="36"/>
      <c r="S4" s="36"/>
      <c r="T4" s="36"/>
      <c r="U4" s="36"/>
      <c r="V4" s="36"/>
      <c r="W4" s="36"/>
      <c r="X4" s="36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v>45412</v>
      </c>
      <c r="M5" s="222"/>
      <c r="N5" s="222"/>
      <c r="O5" s="3"/>
      <c r="P5" s="36"/>
      <c r="Q5" s="5"/>
      <c r="R5" s="220"/>
      <c r="S5" s="220"/>
      <c r="T5" s="220"/>
      <c r="U5" s="36"/>
      <c r="V5" s="36"/>
      <c r="W5" s="36"/>
      <c r="X5" s="36"/>
      <c r="Y5" s="5"/>
    </row>
    <row r="6" spans="1:25" ht="19.5" customHeight="1" x14ac:dyDescent="0.35">
      <c r="A6" s="27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40"/>
      <c r="V6" s="40"/>
      <c r="W6" s="40"/>
      <c r="X6" s="40"/>
      <c r="Y6" s="5"/>
    </row>
    <row r="7" spans="1:25" ht="19.5" customHeight="1" thickBot="1" x14ac:dyDescent="0.4">
      <c r="A7" s="111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40"/>
      <c r="V7" s="40"/>
      <c r="W7" s="40"/>
      <c r="X7" s="40"/>
      <c r="Y7" s="5"/>
    </row>
    <row r="8" spans="1:25" ht="18" customHeight="1" thickBot="1" x14ac:dyDescent="0.3">
      <c r="A8" s="8" t="s">
        <v>2</v>
      </c>
      <c r="B8" s="24"/>
      <c r="C8" s="223"/>
      <c r="D8" s="224"/>
      <c r="E8" s="224"/>
      <c r="F8" s="225"/>
      <c r="G8" s="9"/>
      <c r="H8" s="8" t="s">
        <v>26</v>
      </c>
      <c r="I8" s="8"/>
      <c r="J8" s="8"/>
      <c r="K8" s="223"/>
      <c r="L8" s="224"/>
      <c r="M8" s="224"/>
      <c r="N8" s="225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223"/>
      <c r="D10" s="224"/>
      <c r="E10" s="224"/>
      <c r="F10" s="225"/>
      <c r="G10" s="9"/>
      <c r="H10" s="8" t="s">
        <v>25</v>
      </c>
      <c r="I10" s="8"/>
      <c r="J10" s="8"/>
      <c r="K10" s="223"/>
      <c r="L10" s="224"/>
      <c r="M10" s="224"/>
      <c r="N10" s="225"/>
      <c r="O10" s="26"/>
      <c r="P10" s="26"/>
      <c r="Q10" s="26"/>
      <c r="R10" s="26"/>
      <c r="S10" s="26"/>
      <c r="T10" s="26"/>
      <c r="U10" s="11"/>
    </row>
    <row r="11" spans="1:25" ht="13.5" customHeight="1" x14ac:dyDescent="0.3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3.5" customHeight="1" x14ac:dyDescent="0.3">
      <c r="A12" s="8"/>
      <c r="B12" s="24"/>
      <c r="C12" s="24"/>
      <c r="D12" s="24"/>
      <c r="E12" s="24"/>
      <c r="F12" s="24"/>
      <c r="G12" s="9"/>
      <c r="H12" s="8"/>
      <c r="I12" s="8"/>
      <c r="J12" s="8"/>
      <c r="K12" s="8"/>
      <c r="L12" s="8"/>
      <c r="M12" s="8"/>
      <c r="N12" s="8"/>
      <c r="O12" s="26"/>
      <c r="P12" s="26"/>
      <c r="Q12" s="26"/>
      <c r="R12" s="26"/>
      <c r="S12" s="26"/>
      <c r="T12" s="26"/>
      <c r="U12" s="11"/>
    </row>
    <row r="13" spans="1:25" s="19" customFormat="1" ht="54.75" customHeight="1" x14ac:dyDescent="0.25">
      <c r="A13" s="200" t="s">
        <v>1</v>
      </c>
      <c r="B13" s="201"/>
      <c r="C13" s="202"/>
      <c r="D13" s="203" t="s">
        <v>55</v>
      </c>
      <c r="E13" s="204"/>
      <c r="F13" s="205" t="s">
        <v>54</v>
      </c>
      <c r="G13" s="205"/>
      <c r="H13" s="203" t="s">
        <v>56</v>
      </c>
      <c r="I13" s="206"/>
      <c r="J13" s="207"/>
      <c r="K13" s="203" t="s">
        <v>57</v>
      </c>
      <c r="L13" s="208"/>
      <c r="M13" s="205" t="s">
        <v>53</v>
      </c>
      <c r="N13" s="205"/>
      <c r="O13" s="26"/>
      <c r="P13" s="26"/>
      <c r="Q13" s="26"/>
      <c r="R13" s="26"/>
      <c r="S13" s="26"/>
      <c r="T13" s="26"/>
      <c r="U13" s="20"/>
      <c r="V13" s="20"/>
      <c r="W13" s="20"/>
      <c r="X13" s="21"/>
    </row>
    <row r="14" spans="1:25" s="3" customFormat="1" x14ac:dyDescent="0.25">
      <c r="A14" s="191">
        <v>45383</v>
      </c>
      <c r="B14" s="192"/>
      <c r="C14" s="193"/>
      <c r="D14" s="112"/>
      <c r="E14" s="113"/>
      <c r="F14" s="97"/>
      <c r="G14" s="99"/>
      <c r="H14" s="97"/>
      <c r="I14" s="98"/>
      <c r="J14" s="99"/>
      <c r="K14" s="97"/>
      <c r="L14" s="99"/>
      <c r="M14" s="98"/>
      <c r="N14" s="99"/>
      <c r="P14" s="12"/>
      <c r="Q14" s="15"/>
      <c r="R14" s="15"/>
      <c r="S14" s="15"/>
      <c r="T14" s="13"/>
      <c r="U14" s="13"/>
      <c r="V14" s="13"/>
      <c r="W14" s="13"/>
      <c r="X14" s="1"/>
    </row>
    <row r="15" spans="1:25" s="3" customFormat="1" x14ac:dyDescent="0.25">
      <c r="A15" s="191">
        <v>45384</v>
      </c>
      <c r="B15" s="192"/>
      <c r="C15" s="193"/>
      <c r="D15" s="112"/>
      <c r="E15" s="113"/>
      <c r="F15" s="97"/>
      <c r="G15" s="99"/>
      <c r="H15" s="97"/>
      <c r="I15" s="98"/>
      <c r="J15" s="99"/>
      <c r="K15" s="114"/>
      <c r="L15" s="99"/>
      <c r="M15" s="98"/>
      <c r="N15" s="99"/>
      <c r="P15" s="12"/>
      <c r="Q15" s="15"/>
      <c r="R15" s="15"/>
      <c r="S15" s="15"/>
      <c r="T15" s="13"/>
      <c r="U15" s="13"/>
      <c r="V15" s="13"/>
      <c r="W15" s="13"/>
      <c r="X15" s="1"/>
    </row>
    <row r="16" spans="1:25" s="3" customFormat="1" x14ac:dyDescent="0.25">
      <c r="A16" s="191">
        <v>45385</v>
      </c>
      <c r="B16" s="192"/>
      <c r="C16" s="193"/>
      <c r="D16" s="112"/>
      <c r="E16" s="113"/>
      <c r="F16" s="97"/>
      <c r="G16" s="99"/>
      <c r="H16" s="115"/>
      <c r="I16" s="116"/>
      <c r="J16" s="117"/>
      <c r="K16" s="114"/>
      <c r="L16" s="99"/>
      <c r="M16" s="118"/>
      <c r="N16" s="119"/>
      <c r="P16" s="12"/>
      <c r="Q16" s="15"/>
      <c r="R16" s="15"/>
      <c r="S16" s="15"/>
      <c r="T16" s="13"/>
      <c r="U16" s="13"/>
      <c r="V16" s="13"/>
      <c r="W16" s="13"/>
      <c r="X16" s="1"/>
    </row>
    <row r="17" spans="1:24" s="3" customFormat="1" x14ac:dyDescent="0.25">
      <c r="A17" s="191">
        <v>45386</v>
      </c>
      <c r="B17" s="192"/>
      <c r="C17" s="193"/>
      <c r="D17" s="112"/>
      <c r="E17" s="113"/>
      <c r="F17" s="97"/>
      <c r="G17" s="99"/>
      <c r="H17" s="97"/>
      <c r="I17" s="98"/>
      <c r="J17" s="99"/>
      <c r="K17" s="98"/>
      <c r="L17" s="99"/>
      <c r="M17" s="98"/>
      <c r="N17" s="99"/>
      <c r="P17" s="12"/>
      <c r="Q17" s="15"/>
      <c r="R17" s="15"/>
      <c r="S17" s="15"/>
      <c r="T17" s="13"/>
      <c r="U17" s="13"/>
      <c r="V17" s="13"/>
      <c r="W17" s="13"/>
      <c r="X17" s="1"/>
    </row>
    <row r="18" spans="1:24" s="3" customFormat="1" x14ac:dyDescent="0.25">
      <c r="A18" s="191">
        <v>45387</v>
      </c>
      <c r="B18" s="192"/>
      <c r="C18" s="193"/>
      <c r="D18" s="112"/>
      <c r="E18" s="113"/>
      <c r="F18" s="97"/>
      <c r="G18" s="99"/>
      <c r="H18" s="97"/>
      <c r="I18" s="98"/>
      <c r="J18" s="99"/>
      <c r="K18" s="98"/>
      <c r="L18" s="99"/>
      <c r="M18" s="98"/>
      <c r="N18" s="99"/>
      <c r="P18" s="12"/>
      <c r="Q18" s="15"/>
      <c r="R18" s="15"/>
      <c r="S18" s="15"/>
      <c r="T18" s="13"/>
      <c r="U18" s="13"/>
      <c r="V18" s="13"/>
      <c r="W18" s="13"/>
      <c r="X18" s="1"/>
    </row>
    <row r="19" spans="1:24" s="3" customFormat="1" x14ac:dyDescent="0.25">
      <c r="A19" s="191">
        <v>45388</v>
      </c>
      <c r="B19" s="192"/>
      <c r="C19" s="193"/>
      <c r="D19" s="112"/>
      <c r="E19" s="113"/>
      <c r="F19" s="97"/>
      <c r="G19" s="99"/>
      <c r="H19" s="97"/>
      <c r="I19" s="98"/>
      <c r="J19" s="99"/>
      <c r="K19" s="98"/>
      <c r="L19" s="99"/>
      <c r="M19" s="98"/>
      <c r="N19" s="99"/>
      <c r="P19" s="12"/>
      <c r="Q19" s="15"/>
      <c r="R19" s="15"/>
      <c r="S19" s="15"/>
      <c r="T19" s="13"/>
      <c r="U19" s="13"/>
      <c r="V19" s="13"/>
      <c r="W19" s="13"/>
      <c r="X19" s="1"/>
    </row>
    <row r="20" spans="1:24" s="3" customFormat="1" x14ac:dyDescent="0.25">
      <c r="A20" s="191">
        <v>45389</v>
      </c>
      <c r="B20" s="192"/>
      <c r="C20" s="193"/>
      <c r="D20" s="112"/>
      <c r="E20" s="113"/>
      <c r="F20" s="97"/>
      <c r="G20" s="99"/>
      <c r="H20" s="114"/>
      <c r="I20" s="118"/>
      <c r="J20" s="119"/>
      <c r="K20" s="118"/>
      <c r="L20" s="99"/>
      <c r="M20" s="118"/>
      <c r="N20" s="119"/>
      <c r="P20" s="12"/>
      <c r="Q20" s="15"/>
      <c r="R20" s="15"/>
      <c r="S20" s="15"/>
      <c r="T20" s="13"/>
      <c r="U20" s="13"/>
      <c r="V20" s="13"/>
      <c r="W20" s="13"/>
      <c r="X20" s="1"/>
    </row>
    <row r="21" spans="1:24" s="3" customFormat="1" ht="15.75" x14ac:dyDescent="0.25">
      <c r="A21" s="191">
        <v>45390</v>
      </c>
      <c r="B21" s="192"/>
      <c r="C21" s="193"/>
      <c r="D21" s="209"/>
      <c r="E21" s="209"/>
      <c r="F21" s="210"/>
      <c r="G21" s="210"/>
      <c r="H21" s="210"/>
      <c r="I21" s="210"/>
      <c r="J21" s="210"/>
      <c r="K21" s="210"/>
      <c r="L21" s="210"/>
      <c r="M21" s="226"/>
      <c r="N21" s="227"/>
      <c r="O21" s="26"/>
      <c r="P21" s="26"/>
      <c r="Q21" s="26"/>
      <c r="R21" s="26"/>
      <c r="S21" s="26"/>
      <c r="T21" s="26"/>
      <c r="U21" s="13"/>
      <c r="V21" s="13"/>
      <c r="W21" s="13"/>
      <c r="X21" s="1"/>
    </row>
    <row r="22" spans="1:24" s="3" customFormat="1" ht="15.75" x14ac:dyDescent="0.25">
      <c r="A22" s="191">
        <v>45391</v>
      </c>
      <c r="B22" s="192"/>
      <c r="C22" s="193"/>
      <c r="D22" s="209"/>
      <c r="E22" s="209"/>
      <c r="F22" s="210"/>
      <c r="G22" s="210"/>
      <c r="H22" s="210"/>
      <c r="I22" s="210"/>
      <c r="J22" s="210"/>
      <c r="K22" s="210"/>
      <c r="L22" s="210"/>
      <c r="M22" s="226"/>
      <c r="N22" s="227"/>
      <c r="P22" s="26"/>
      <c r="Q22" s="26"/>
      <c r="R22" s="26"/>
      <c r="S22" s="26"/>
      <c r="T22" s="26"/>
      <c r="U22" s="13"/>
      <c r="V22" s="13"/>
      <c r="W22" s="13"/>
      <c r="X22" s="1"/>
    </row>
    <row r="23" spans="1:24" s="3" customFormat="1" ht="15.75" x14ac:dyDescent="0.25">
      <c r="A23" s="191">
        <v>45392</v>
      </c>
      <c r="B23" s="192"/>
      <c r="C23" s="193"/>
      <c r="D23" s="209"/>
      <c r="E23" s="209"/>
      <c r="F23" s="210"/>
      <c r="G23" s="210"/>
      <c r="H23" s="210"/>
      <c r="I23" s="210"/>
      <c r="J23" s="210"/>
      <c r="K23" s="210"/>
      <c r="L23" s="210"/>
      <c r="M23" s="226"/>
      <c r="N23" s="227"/>
      <c r="P23" s="26"/>
      <c r="Q23" s="26"/>
      <c r="R23" s="26"/>
      <c r="S23" s="26"/>
      <c r="T23" s="26"/>
      <c r="U23" s="26"/>
      <c r="V23" s="13"/>
      <c r="W23" s="13"/>
      <c r="X23" s="1"/>
    </row>
    <row r="24" spans="1:24" s="3" customFormat="1" x14ac:dyDescent="0.25">
      <c r="A24" s="191">
        <v>45393</v>
      </c>
      <c r="B24" s="192"/>
      <c r="C24" s="193"/>
      <c r="D24" s="209"/>
      <c r="E24" s="209"/>
      <c r="F24" s="210"/>
      <c r="G24" s="210"/>
      <c r="H24" s="210"/>
      <c r="I24" s="210"/>
      <c r="J24" s="210"/>
      <c r="K24" s="210"/>
      <c r="L24" s="210"/>
      <c r="M24" s="226"/>
      <c r="N24" s="227"/>
      <c r="P24" s="12"/>
      <c r="Q24" s="12"/>
      <c r="R24" s="12"/>
      <c r="S24" s="12"/>
      <c r="T24" s="13"/>
      <c r="U24" s="13"/>
      <c r="V24" s="13"/>
      <c r="W24" s="13"/>
      <c r="X24" s="1"/>
    </row>
    <row r="25" spans="1:24" s="3" customFormat="1" x14ac:dyDescent="0.25">
      <c r="A25" s="191">
        <v>45394</v>
      </c>
      <c r="B25" s="192"/>
      <c r="C25" s="193"/>
      <c r="D25" s="209"/>
      <c r="E25" s="209"/>
      <c r="F25" s="210"/>
      <c r="G25" s="210"/>
      <c r="H25" s="226"/>
      <c r="I25" s="228"/>
      <c r="J25" s="227"/>
      <c r="K25" s="210"/>
      <c r="L25" s="210"/>
      <c r="M25" s="226"/>
      <c r="N25" s="227"/>
      <c r="P25" s="12"/>
      <c r="Q25" s="12"/>
      <c r="R25" s="12"/>
      <c r="S25" s="12"/>
      <c r="T25" s="13"/>
      <c r="U25" s="13"/>
      <c r="V25" s="13"/>
      <c r="W25" s="13"/>
      <c r="X25" s="1"/>
    </row>
    <row r="26" spans="1:24" s="3" customFormat="1" x14ac:dyDescent="0.25">
      <c r="A26" s="191">
        <v>45395</v>
      </c>
      <c r="B26" s="192"/>
      <c r="C26" s="193"/>
      <c r="D26" s="209"/>
      <c r="E26" s="209"/>
      <c r="F26" s="210"/>
      <c r="G26" s="210"/>
      <c r="H26" s="210"/>
      <c r="I26" s="210"/>
      <c r="J26" s="210"/>
      <c r="K26" s="210"/>
      <c r="L26" s="210"/>
      <c r="M26" s="226"/>
      <c r="N26" s="227"/>
      <c r="P26" s="12"/>
      <c r="Q26" s="12"/>
      <c r="R26" s="12"/>
      <c r="S26" s="12"/>
      <c r="T26" s="13"/>
      <c r="U26" s="13"/>
      <c r="V26" s="13"/>
      <c r="W26" s="13"/>
      <c r="X26" s="1"/>
    </row>
    <row r="27" spans="1:24" s="3" customFormat="1" x14ac:dyDescent="0.25">
      <c r="A27" s="191">
        <v>45396</v>
      </c>
      <c r="B27" s="192"/>
      <c r="C27" s="193"/>
      <c r="D27" s="209"/>
      <c r="E27" s="209"/>
      <c r="F27" s="210"/>
      <c r="G27" s="210"/>
      <c r="H27" s="210"/>
      <c r="I27" s="210"/>
      <c r="J27" s="210"/>
      <c r="K27" s="210"/>
      <c r="L27" s="210"/>
      <c r="M27" s="226"/>
      <c r="N27" s="227"/>
      <c r="P27" s="12"/>
      <c r="Q27" s="12"/>
      <c r="R27" s="12"/>
      <c r="S27" s="12"/>
      <c r="T27" s="13"/>
      <c r="U27" s="13"/>
      <c r="V27" s="13"/>
      <c r="W27" s="13"/>
      <c r="X27" s="1"/>
    </row>
    <row r="28" spans="1:24" s="3" customFormat="1" x14ac:dyDescent="0.25">
      <c r="A28" s="191">
        <v>45397</v>
      </c>
      <c r="B28" s="192"/>
      <c r="C28" s="193"/>
      <c r="D28" s="209"/>
      <c r="E28" s="209"/>
      <c r="F28" s="210"/>
      <c r="G28" s="210"/>
      <c r="H28" s="210"/>
      <c r="I28" s="210"/>
      <c r="J28" s="210"/>
      <c r="K28" s="210"/>
      <c r="L28" s="210"/>
      <c r="M28" s="226"/>
      <c r="N28" s="227"/>
      <c r="P28" s="12"/>
      <c r="Q28" s="12"/>
      <c r="R28" s="12"/>
      <c r="S28" s="12"/>
      <c r="T28" s="13"/>
      <c r="U28" s="13"/>
      <c r="V28" s="13"/>
      <c r="W28" s="13"/>
      <c r="X28" s="1"/>
    </row>
    <row r="29" spans="1:24" s="3" customFormat="1" x14ac:dyDescent="0.25">
      <c r="A29" s="191">
        <v>45398</v>
      </c>
      <c r="B29" s="192"/>
      <c r="C29" s="193"/>
      <c r="D29" s="209"/>
      <c r="E29" s="209"/>
      <c r="F29" s="210"/>
      <c r="G29" s="210"/>
      <c r="H29" s="210"/>
      <c r="I29" s="210"/>
      <c r="J29" s="210"/>
      <c r="K29" s="210"/>
      <c r="L29" s="210"/>
      <c r="M29" s="226"/>
      <c r="N29" s="227"/>
      <c r="P29" s="12"/>
      <c r="Q29" s="12"/>
      <c r="R29" s="12"/>
      <c r="S29" s="12"/>
      <c r="T29" s="13"/>
      <c r="U29" s="13"/>
      <c r="V29" s="13"/>
      <c r="W29" s="13"/>
      <c r="X29" s="1"/>
    </row>
    <row r="30" spans="1:24" s="3" customFormat="1" x14ac:dyDescent="0.25">
      <c r="A30" s="191">
        <v>45399</v>
      </c>
      <c r="B30" s="192"/>
      <c r="C30" s="193"/>
      <c r="D30" s="209"/>
      <c r="E30" s="209"/>
      <c r="F30" s="210"/>
      <c r="G30" s="210"/>
      <c r="H30" s="210"/>
      <c r="I30" s="210"/>
      <c r="J30" s="210"/>
      <c r="K30" s="210"/>
      <c r="L30" s="210"/>
      <c r="M30" s="226"/>
      <c r="N30" s="227"/>
      <c r="P30" s="12"/>
      <c r="Q30" s="12"/>
      <c r="R30" s="12"/>
      <c r="S30" s="12"/>
      <c r="T30" s="13"/>
      <c r="U30" s="13"/>
      <c r="V30" s="13"/>
      <c r="W30" s="13"/>
      <c r="X30" s="1"/>
    </row>
    <row r="31" spans="1:24" s="3" customFormat="1" x14ac:dyDescent="0.25">
      <c r="A31" s="191">
        <v>45400</v>
      </c>
      <c r="B31" s="192"/>
      <c r="C31" s="193"/>
      <c r="D31" s="209"/>
      <c r="E31" s="209"/>
      <c r="F31" s="210"/>
      <c r="G31" s="210"/>
      <c r="H31" s="210"/>
      <c r="I31" s="210"/>
      <c r="J31" s="210"/>
      <c r="K31" s="210"/>
      <c r="L31" s="210"/>
      <c r="M31" s="226"/>
      <c r="N31" s="227"/>
      <c r="P31" s="12"/>
      <c r="Q31" s="15"/>
      <c r="R31" s="15"/>
      <c r="S31" s="15"/>
      <c r="T31" s="13"/>
      <c r="U31" s="13"/>
      <c r="V31" s="13"/>
      <c r="W31" s="13"/>
      <c r="X31" s="1"/>
    </row>
    <row r="32" spans="1:24" s="3" customFormat="1" x14ac:dyDescent="0.25">
      <c r="A32" s="191">
        <v>45401</v>
      </c>
      <c r="B32" s="192"/>
      <c r="C32" s="193"/>
      <c r="D32" s="209"/>
      <c r="E32" s="209"/>
      <c r="F32" s="210"/>
      <c r="G32" s="210"/>
      <c r="H32" s="210"/>
      <c r="I32" s="210"/>
      <c r="J32" s="210"/>
      <c r="K32" s="210"/>
      <c r="L32" s="210"/>
      <c r="M32" s="226"/>
      <c r="N32" s="227"/>
      <c r="P32" s="12"/>
      <c r="Q32" s="15"/>
      <c r="R32" s="15"/>
      <c r="S32" s="15"/>
      <c r="T32" s="13"/>
      <c r="U32" s="13"/>
      <c r="V32" s="13"/>
      <c r="W32" s="13"/>
      <c r="X32" s="1"/>
    </row>
    <row r="33" spans="1:25" s="3" customFormat="1" x14ac:dyDescent="0.25">
      <c r="A33" s="191">
        <v>45402</v>
      </c>
      <c r="B33" s="192"/>
      <c r="C33" s="193"/>
      <c r="D33" s="209"/>
      <c r="E33" s="209"/>
      <c r="F33" s="210"/>
      <c r="G33" s="210"/>
      <c r="H33" s="210"/>
      <c r="I33" s="210"/>
      <c r="J33" s="210"/>
      <c r="K33" s="210"/>
      <c r="L33" s="210"/>
      <c r="M33" s="226"/>
      <c r="N33" s="227"/>
      <c r="P33" s="12"/>
      <c r="Q33" s="15"/>
      <c r="R33" s="15"/>
      <c r="S33" s="15"/>
      <c r="T33" s="13"/>
      <c r="U33" s="13"/>
      <c r="V33" s="13"/>
      <c r="W33" s="13"/>
      <c r="X33" s="1"/>
    </row>
    <row r="34" spans="1:25" s="3" customFormat="1" x14ac:dyDescent="0.25">
      <c r="A34" s="191">
        <v>45403</v>
      </c>
      <c r="B34" s="192"/>
      <c r="C34" s="193"/>
      <c r="D34" s="209"/>
      <c r="E34" s="209"/>
      <c r="F34" s="210"/>
      <c r="G34" s="210"/>
      <c r="H34" s="210"/>
      <c r="I34" s="210"/>
      <c r="J34" s="210"/>
      <c r="K34" s="210"/>
      <c r="L34" s="210"/>
      <c r="M34" s="226"/>
      <c r="N34" s="227"/>
      <c r="O34" s="1"/>
      <c r="P34" s="12"/>
      <c r="Q34" s="15"/>
      <c r="R34" s="15"/>
      <c r="S34" s="15"/>
      <c r="T34" s="13"/>
      <c r="U34" s="13"/>
      <c r="V34" s="13"/>
      <c r="W34" s="13"/>
      <c r="X34" s="1"/>
    </row>
    <row r="35" spans="1:25" s="3" customFormat="1" x14ac:dyDescent="0.25">
      <c r="A35" s="191">
        <v>45404</v>
      </c>
      <c r="B35" s="192"/>
      <c r="C35" s="193"/>
      <c r="D35" s="209"/>
      <c r="E35" s="209"/>
      <c r="F35" s="210"/>
      <c r="G35" s="210"/>
      <c r="H35" s="210"/>
      <c r="I35" s="210"/>
      <c r="J35" s="210"/>
      <c r="K35" s="210"/>
      <c r="L35" s="210"/>
      <c r="M35" s="226"/>
      <c r="N35" s="227"/>
      <c r="P35" s="12"/>
      <c r="Q35" s="15"/>
      <c r="R35" s="15"/>
      <c r="S35" s="15"/>
      <c r="T35" s="13"/>
      <c r="U35" s="13"/>
      <c r="V35" s="13"/>
      <c r="W35" s="13"/>
      <c r="X35" s="1"/>
    </row>
    <row r="36" spans="1:25" s="3" customFormat="1" x14ac:dyDescent="0.25">
      <c r="A36" s="191">
        <v>45405</v>
      </c>
      <c r="B36" s="192"/>
      <c r="C36" s="193"/>
      <c r="D36" s="209"/>
      <c r="E36" s="209"/>
      <c r="F36" s="210"/>
      <c r="G36" s="210"/>
      <c r="H36" s="210"/>
      <c r="I36" s="210"/>
      <c r="J36" s="210"/>
      <c r="K36" s="210"/>
      <c r="L36" s="210"/>
      <c r="M36" s="226"/>
      <c r="N36" s="227"/>
      <c r="P36" s="12"/>
      <c r="Q36" s="15"/>
      <c r="R36" s="15"/>
      <c r="S36" s="15"/>
      <c r="T36" s="13"/>
      <c r="U36" s="13"/>
      <c r="V36" s="13"/>
      <c r="W36" s="13"/>
      <c r="X36" s="1"/>
    </row>
    <row r="37" spans="1:25" s="3" customFormat="1" x14ac:dyDescent="0.25">
      <c r="A37" s="191">
        <v>45406</v>
      </c>
      <c r="B37" s="192"/>
      <c r="C37" s="193"/>
      <c r="D37" s="209"/>
      <c r="E37" s="209"/>
      <c r="F37" s="210"/>
      <c r="G37" s="210"/>
      <c r="H37" s="210"/>
      <c r="I37" s="210"/>
      <c r="J37" s="210"/>
      <c r="K37" s="210"/>
      <c r="L37" s="210"/>
      <c r="M37" s="226"/>
      <c r="N37" s="227"/>
      <c r="P37" s="12"/>
      <c r="Q37" s="15"/>
      <c r="R37" s="15"/>
      <c r="S37" s="15"/>
      <c r="T37" s="13"/>
      <c r="U37" s="13"/>
      <c r="V37" s="13"/>
      <c r="W37" s="13"/>
      <c r="X37" s="1"/>
    </row>
    <row r="38" spans="1:25" s="3" customFormat="1" x14ac:dyDescent="0.25">
      <c r="A38" s="191">
        <v>45407</v>
      </c>
      <c r="B38" s="192"/>
      <c r="C38" s="193"/>
      <c r="D38" s="209"/>
      <c r="E38" s="209"/>
      <c r="F38" s="210"/>
      <c r="G38" s="210"/>
      <c r="H38" s="210"/>
      <c r="I38" s="210"/>
      <c r="J38" s="210"/>
      <c r="K38" s="210"/>
      <c r="L38" s="210"/>
      <c r="M38" s="226"/>
      <c r="N38" s="227"/>
      <c r="P38" s="12"/>
      <c r="Q38" s="15"/>
      <c r="R38" s="15"/>
      <c r="S38" s="15"/>
      <c r="T38" s="13"/>
      <c r="U38" s="13"/>
      <c r="V38" s="13"/>
      <c r="W38" s="13"/>
      <c r="X38" s="1"/>
    </row>
    <row r="39" spans="1:25" s="3" customFormat="1" x14ac:dyDescent="0.25">
      <c r="A39" s="191">
        <v>45408</v>
      </c>
      <c r="B39" s="192"/>
      <c r="C39" s="193"/>
      <c r="D39" s="209"/>
      <c r="E39" s="209"/>
      <c r="F39" s="210"/>
      <c r="G39" s="210"/>
      <c r="H39" s="210"/>
      <c r="I39" s="210"/>
      <c r="J39" s="210"/>
      <c r="K39" s="210"/>
      <c r="L39" s="210"/>
      <c r="M39" s="226"/>
      <c r="N39" s="227"/>
      <c r="P39" s="12"/>
      <c r="Q39" s="15"/>
      <c r="R39" s="15"/>
      <c r="S39" s="15"/>
      <c r="T39" s="13"/>
      <c r="U39" s="13"/>
      <c r="V39" s="13"/>
      <c r="W39" s="13"/>
      <c r="X39" s="1"/>
    </row>
    <row r="40" spans="1:25" s="3" customFormat="1" x14ac:dyDescent="0.25">
      <c r="A40" s="191">
        <v>45409</v>
      </c>
      <c r="B40" s="192"/>
      <c r="C40" s="193"/>
      <c r="D40" s="209"/>
      <c r="E40" s="209"/>
      <c r="F40" s="210"/>
      <c r="G40" s="210"/>
      <c r="H40" s="210"/>
      <c r="I40" s="210"/>
      <c r="J40" s="210"/>
      <c r="K40" s="210"/>
      <c r="L40" s="210"/>
      <c r="M40" s="226"/>
      <c r="N40" s="227"/>
      <c r="P40" s="12"/>
      <c r="Q40" s="15"/>
      <c r="R40" s="15"/>
      <c r="S40" s="15"/>
      <c r="T40" s="13"/>
      <c r="U40" s="13"/>
      <c r="V40" s="13"/>
      <c r="W40" s="13"/>
      <c r="X40" s="1"/>
    </row>
    <row r="41" spans="1:25" s="3" customFormat="1" x14ac:dyDescent="0.25">
      <c r="A41" s="191">
        <v>45410</v>
      </c>
      <c r="B41" s="192"/>
      <c r="C41" s="193"/>
      <c r="D41" s="209"/>
      <c r="E41" s="209"/>
      <c r="F41" s="210"/>
      <c r="G41" s="210"/>
      <c r="H41" s="210"/>
      <c r="I41" s="210"/>
      <c r="J41" s="210"/>
      <c r="K41" s="210"/>
      <c r="L41" s="210"/>
      <c r="M41" s="226"/>
      <c r="N41" s="227"/>
      <c r="P41" s="12"/>
      <c r="Q41" s="15"/>
      <c r="R41" s="15"/>
      <c r="S41" s="15"/>
      <c r="T41" s="13"/>
      <c r="U41" s="13"/>
      <c r="V41" s="13"/>
      <c r="W41" s="13"/>
      <c r="X41" s="1"/>
    </row>
    <row r="42" spans="1:25" s="3" customFormat="1" ht="15.75" x14ac:dyDescent="0.25">
      <c r="A42" s="231" t="s">
        <v>21</v>
      </c>
      <c r="B42" s="232"/>
      <c r="C42" s="233"/>
      <c r="D42" s="234">
        <f>+COUNTA(D14:E41)</f>
        <v>0</v>
      </c>
      <c r="E42" s="235"/>
      <c r="F42" s="236">
        <f>+COUNTA(F14:G41)</f>
        <v>0</v>
      </c>
      <c r="G42" s="237"/>
      <c r="H42" s="210"/>
      <c r="I42" s="210"/>
      <c r="J42" s="210"/>
      <c r="K42" s="210"/>
      <c r="L42" s="210"/>
      <c r="M42" s="226"/>
      <c r="N42" s="227"/>
      <c r="O42" s="12"/>
      <c r="P42" s="12"/>
      <c r="Q42" s="12"/>
      <c r="R42" s="12"/>
      <c r="S42" s="12"/>
      <c r="T42" s="13"/>
      <c r="U42" s="13"/>
      <c r="V42" s="13"/>
      <c r="W42" s="13"/>
      <c r="X42" s="1"/>
    </row>
    <row r="43" spans="1:25" s="3" customFormat="1" x14ac:dyDescent="0.25">
      <c r="A43" s="12"/>
      <c r="B43" s="12"/>
      <c r="C43" s="12"/>
      <c r="D43" s="238" t="s">
        <v>38</v>
      </c>
      <c r="E43" s="239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3"/>
      <c r="U43" s="13"/>
      <c r="V43" s="13"/>
      <c r="W43" s="13"/>
      <c r="X43" s="1"/>
    </row>
    <row r="44" spans="1:25" s="3" customFormat="1" x14ac:dyDescent="0.25">
      <c r="K44" s="12"/>
      <c r="L44" s="12"/>
      <c r="M44" s="12"/>
      <c r="N44" s="12"/>
      <c r="O44" s="12"/>
      <c r="P44" s="12"/>
      <c r="U44" s="1"/>
      <c r="V44" s="1"/>
      <c r="W44" s="1"/>
      <c r="X44" s="1"/>
      <c r="Y44" s="1"/>
    </row>
    <row r="45" spans="1:25" s="3" customFormat="1" x14ac:dyDescent="0.25">
      <c r="A45" s="29" t="s">
        <v>20</v>
      </c>
      <c r="B45" s="30"/>
      <c r="C45" s="29"/>
      <c r="D45" s="29"/>
      <c r="E45" s="16"/>
      <c r="H45" s="18"/>
      <c r="P45" s="12"/>
      <c r="U45" s="1"/>
      <c r="V45" s="1"/>
      <c r="W45" s="1"/>
      <c r="X45" s="1"/>
      <c r="Y45" s="1"/>
    </row>
    <row r="46" spans="1:25" s="3" customFormat="1" x14ac:dyDescent="0.25">
      <c r="A46" s="29" t="s">
        <v>7</v>
      </c>
      <c r="B46" s="30"/>
      <c r="C46" s="31">
        <f ca="1">TODAY()</f>
        <v>45320</v>
      </c>
      <c r="D46" s="29"/>
      <c r="E46" s="16"/>
      <c r="J46" s="28" t="s">
        <v>22</v>
      </c>
      <c r="P46" s="12"/>
      <c r="U46" s="1"/>
      <c r="V46" s="1"/>
      <c r="W46" s="1"/>
      <c r="X46" s="1"/>
      <c r="Y46" s="1"/>
    </row>
    <row r="47" spans="1:25" s="3" customFormat="1" x14ac:dyDescent="0.25">
      <c r="A47" s="28"/>
      <c r="B47" s="240" t="s">
        <v>47</v>
      </c>
      <c r="C47" s="240"/>
      <c r="D47" s="240"/>
      <c r="E47" s="240"/>
      <c r="F47" s="240"/>
      <c r="J47" s="240" t="s">
        <v>48</v>
      </c>
      <c r="K47" s="240"/>
      <c r="L47" s="240"/>
      <c r="M47" s="240"/>
      <c r="N47" s="240"/>
      <c r="U47" s="1"/>
      <c r="V47" s="1"/>
      <c r="W47" s="1"/>
      <c r="X47" s="1"/>
      <c r="Y47" s="1"/>
    </row>
    <row r="48" spans="1:25" s="3" customFormat="1" x14ac:dyDescent="0.25">
      <c r="B48" s="240"/>
      <c r="C48" s="240"/>
      <c r="D48" s="240"/>
      <c r="E48" s="240"/>
      <c r="F48" s="240"/>
      <c r="J48" s="240"/>
      <c r="K48" s="240"/>
      <c r="L48" s="240"/>
      <c r="M48" s="240"/>
      <c r="N48" s="240"/>
      <c r="U48" s="1"/>
      <c r="V48" s="1"/>
      <c r="W48" s="1"/>
      <c r="X48" s="1"/>
      <c r="Y48" s="1"/>
    </row>
    <row r="49" spans="1:25" s="3" customFormat="1" x14ac:dyDescent="0.25">
      <c r="B49" s="240"/>
      <c r="C49" s="240"/>
      <c r="D49" s="240"/>
      <c r="E49" s="240"/>
      <c r="F49" s="240"/>
      <c r="J49" s="240"/>
      <c r="K49" s="240"/>
      <c r="L49" s="240"/>
      <c r="M49" s="240"/>
      <c r="N49" s="240"/>
      <c r="U49" s="1"/>
      <c r="V49" s="1"/>
      <c r="W49" s="1"/>
      <c r="X49" s="1"/>
      <c r="Y49" s="1"/>
    </row>
    <row r="50" spans="1:25" s="3" customFormat="1" x14ac:dyDescent="0.25">
      <c r="B50" s="240"/>
      <c r="C50" s="240"/>
      <c r="D50" s="240"/>
      <c r="E50" s="240"/>
      <c r="F50" s="240"/>
      <c r="J50" s="240"/>
      <c r="K50" s="240"/>
      <c r="L50" s="240"/>
      <c r="M50" s="240"/>
      <c r="N50" s="240"/>
      <c r="U50" s="1"/>
      <c r="V50" s="1"/>
      <c r="W50" s="1"/>
      <c r="X50" s="1"/>
      <c r="Y50" s="1"/>
    </row>
    <row r="51" spans="1:25" s="3" customFormat="1" x14ac:dyDescent="0.25">
      <c r="B51" s="240"/>
      <c r="C51" s="240"/>
      <c r="D51" s="240"/>
      <c r="E51" s="240"/>
      <c r="F51" s="240"/>
      <c r="J51" s="240"/>
      <c r="K51" s="240"/>
      <c r="L51" s="240"/>
      <c r="M51" s="240"/>
      <c r="N51" s="240"/>
      <c r="U51" s="1"/>
      <c r="V51" s="1"/>
      <c r="W51" s="1"/>
      <c r="X51" s="1"/>
      <c r="Y51" s="1"/>
    </row>
    <row r="52" spans="1:25" s="3" customFormat="1" x14ac:dyDescent="0.25">
      <c r="B52" s="240"/>
      <c r="C52" s="240"/>
      <c r="D52" s="240"/>
      <c r="E52" s="240"/>
      <c r="F52" s="240"/>
      <c r="J52" s="240"/>
      <c r="K52" s="240"/>
      <c r="L52" s="240"/>
      <c r="M52" s="240"/>
      <c r="N52" s="240"/>
      <c r="U52" s="1"/>
      <c r="V52" s="1"/>
      <c r="W52" s="1"/>
      <c r="X52" s="1"/>
      <c r="Y52" s="1"/>
    </row>
    <row r="53" spans="1:25" s="3" customFormat="1" x14ac:dyDescent="0.25">
      <c r="A53" s="3" t="s">
        <v>46</v>
      </c>
      <c r="B53" s="23"/>
      <c r="J53" s="3" t="s">
        <v>39</v>
      </c>
      <c r="U53" s="1"/>
      <c r="V53" s="1"/>
      <c r="W53" s="1"/>
      <c r="X53" s="1"/>
      <c r="Y53" s="1"/>
    </row>
    <row r="54" spans="1:25" s="3" customFormat="1" x14ac:dyDescent="0.25">
      <c r="B54" s="23"/>
      <c r="U54" s="1"/>
      <c r="V54" s="1"/>
      <c r="W54" s="1"/>
      <c r="X54" s="1"/>
      <c r="Y54" s="1"/>
    </row>
    <row r="55" spans="1:25" s="3" customFormat="1" x14ac:dyDescent="0.25">
      <c r="B55" s="23"/>
      <c r="U55" s="1"/>
      <c r="V55" s="1"/>
      <c r="W55" s="1"/>
      <c r="X55" s="1"/>
      <c r="Y55" s="1"/>
    </row>
    <row r="56" spans="1:25" s="3" customFormat="1" x14ac:dyDescent="0.25">
      <c r="A56" s="29"/>
      <c r="B56" s="23"/>
      <c r="D56" s="29"/>
      <c r="U56" s="1"/>
      <c r="V56" s="1"/>
      <c r="W56" s="1"/>
      <c r="X56" s="1"/>
      <c r="Y56" s="1"/>
    </row>
    <row r="57" spans="1:25" s="3" customFormat="1" x14ac:dyDescent="0.25">
      <c r="U57" s="1"/>
      <c r="V57" s="1"/>
      <c r="W57" s="1"/>
      <c r="X57" s="1"/>
      <c r="Y57" s="1"/>
    </row>
    <row r="58" spans="1:25" s="3" customFormat="1" x14ac:dyDescent="0.25">
      <c r="B58" s="23"/>
      <c r="U58" s="1"/>
      <c r="V58" s="1"/>
      <c r="W58" s="1"/>
      <c r="X58" s="1"/>
      <c r="Y58" s="1"/>
    </row>
    <row r="59" spans="1:25" s="3" customFormat="1" x14ac:dyDescent="0.25">
      <c r="B59" s="23"/>
      <c r="U59" s="1"/>
      <c r="V59" s="1"/>
      <c r="W59" s="1"/>
      <c r="X59" s="1"/>
      <c r="Y59" s="1"/>
    </row>
    <row r="60" spans="1:25" s="3" customFormat="1" x14ac:dyDescent="0.25">
      <c r="B60" s="23"/>
      <c r="U60" s="1"/>
      <c r="V60" s="1"/>
      <c r="W60" s="1"/>
      <c r="X60" s="1"/>
      <c r="Y60" s="1"/>
    </row>
    <row r="61" spans="1:25" s="3" customFormat="1" x14ac:dyDescent="0.25">
      <c r="B61" s="23"/>
      <c r="U61" s="1"/>
      <c r="V61" s="1"/>
      <c r="W61" s="1"/>
      <c r="X61" s="1"/>
      <c r="Y61" s="1"/>
    </row>
    <row r="62" spans="1:25" s="3" customFormat="1" x14ac:dyDescent="0.25">
      <c r="B62" s="23"/>
      <c r="U62" s="1"/>
      <c r="V62" s="1"/>
      <c r="W62" s="1"/>
      <c r="X62" s="1"/>
      <c r="Y62" s="1"/>
    </row>
    <row r="63" spans="1:25" s="3" customFormat="1" x14ac:dyDescent="0.25">
      <c r="B63" s="23"/>
      <c r="U63" s="1"/>
      <c r="V63" s="1"/>
      <c r="W63" s="1"/>
      <c r="X63" s="1"/>
      <c r="Y63" s="1"/>
    </row>
    <row r="64" spans="1:25" s="3" customFormat="1" x14ac:dyDescent="0.25">
      <c r="B64" s="23"/>
      <c r="U64" s="1"/>
      <c r="V64" s="1"/>
      <c r="W64" s="1"/>
      <c r="X64" s="1"/>
      <c r="Y64" s="1"/>
    </row>
    <row r="65" spans="2:25" s="3" customFormat="1" x14ac:dyDescent="0.25">
      <c r="B65" s="23"/>
      <c r="U65" s="1"/>
      <c r="V65" s="1"/>
      <c r="W65" s="1"/>
      <c r="X65" s="1"/>
      <c r="Y65" s="1"/>
    </row>
    <row r="66" spans="2:25" s="3" customFormat="1" x14ac:dyDescent="0.25">
      <c r="B66" s="23"/>
      <c r="U66" s="1"/>
      <c r="V66" s="1"/>
      <c r="W66" s="1"/>
      <c r="X66" s="1"/>
      <c r="Y66" s="1"/>
    </row>
    <row r="67" spans="2:25" s="3" customFormat="1" x14ac:dyDescent="0.25">
      <c r="B67" s="23"/>
      <c r="U67" s="1"/>
      <c r="V67" s="1"/>
      <c r="W67" s="1"/>
      <c r="X67" s="1"/>
      <c r="Y67" s="1"/>
    </row>
    <row r="68" spans="2:25" s="3" customFormat="1" x14ac:dyDescent="0.25">
      <c r="B68" s="23"/>
      <c r="U68" s="1"/>
      <c r="V68" s="1"/>
      <c r="W68" s="1"/>
      <c r="X68" s="1"/>
      <c r="Y68" s="1"/>
    </row>
    <row r="69" spans="2:25" s="3" customFormat="1" x14ac:dyDescent="0.25">
      <c r="B69" s="23"/>
      <c r="U69" s="1"/>
      <c r="V69" s="1"/>
      <c r="W69" s="1"/>
      <c r="X69" s="1"/>
      <c r="Y69" s="1"/>
    </row>
    <row r="70" spans="2:25" s="3" customFormat="1" x14ac:dyDescent="0.25">
      <c r="B70" s="23"/>
      <c r="U70" s="1"/>
      <c r="V70" s="1"/>
      <c r="W70" s="1"/>
      <c r="X70" s="1"/>
      <c r="Y70" s="1"/>
    </row>
    <row r="71" spans="2:25" s="3" customFormat="1" x14ac:dyDescent="0.25">
      <c r="B71" s="23"/>
      <c r="U71" s="1"/>
      <c r="V71" s="1"/>
      <c r="W71" s="1"/>
      <c r="X71" s="1"/>
      <c r="Y71" s="1"/>
    </row>
    <row r="72" spans="2:25" s="3" customFormat="1" x14ac:dyDescent="0.25">
      <c r="B72" s="23"/>
      <c r="U72" s="1"/>
      <c r="V72" s="1"/>
      <c r="W72" s="1"/>
      <c r="X72" s="1"/>
      <c r="Y72" s="1"/>
    </row>
    <row r="73" spans="2:25" s="3" customFormat="1" x14ac:dyDescent="0.25">
      <c r="B73" s="23"/>
      <c r="U73" s="1"/>
      <c r="V73" s="1"/>
      <c r="W73" s="1"/>
      <c r="X73" s="1"/>
      <c r="Y73" s="1"/>
    </row>
    <row r="74" spans="2:25" s="3" customFormat="1" x14ac:dyDescent="0.25">
      <c r="B74" s="23"/>
      <c r="U74" s="1"/>
      <c r="V74" s="1"/>
      <c r="W74" s="1"/>
      <c r="X74" s="1"/>
      <c r="Y74" s="1"/>
    </row>
    <row r="75" spans="2:25" s="3" customFormat="1" x14ac:dyDescent="0.25">
      <c r="B75" s="23"/>
      <c r="U75" s="1"/>
      <c r="V75" s="1"/>
      <c r="W75" s="1"/>
      <c r="X75" s="1"/>
      <c r="Y75" s="1"/>
    </row>
    <row r="76" spans="2:25" s="3" customFormat="1" x14ac:dyDescent="0.25">
      <c r="B76" s="23"/>
      <c r="U76" s="1"/>
      <c r="V76" s="1"/>
      <c r="W76" s="1"/>
      <c r="X76" s="1"/>
      <c r="Y76" s="1"/>
    </row>
    <row r="77" spans="2:25" s="3" customFormat="1" x14ac:dyDescent="0.25">
      <c r="B77" s="23"/>
      <c r="U77" s="1"/>
      <c r="V77" s="1"/>
      <c r="W77" s="1"/>
      <c r="X77" s="1"/>
      <c r="Y77" s="1"/>
    </row>
    <row r="78" spans="2:25" s="3" customFormat="1" x14ac:dyDescent="0.25">
      <c r="B78" s="23"/>
      <c r="U78" s="1"/>
      <c r="V78" s="1"/>
      <c r="W78" s="1"/>
      <c r="X78" s="1"/>
      <c r="Y78" s="1"/>
    </row>
    <row r="79" spans="2:25" s="3" customFormat="1" x14ac:dyDescent="0.25">
      <c r="B79" s="23"/>
      <c r="U79" s="1"/>
      <c r="V79" s="1"/>
      <c r="W79" s="1"/>
      <c r="X79" s="1"/>
      <c r="Y79" s="1"/>
    </row>
    <row r="80" spans="2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1:25" s="3" customFormat="1" x14ac:dyDescent="0.25">
      <c r="B225" s="23"/>
      <c r="U225" s="1"/>
      <c r="V225" s="1"/>
      <c r="W225" s="1"/>
      <c r="X225" s="1"/>
      <c r="Y225" s="1"/>
    </row>
    <row r="226" spans="1:25" s="3" customFormat="1" x14ac:dyDescent="0.25">
      <c r="B226" s="23"/>
      <c r="U226" s="1"/>
      <c r="V226" s="1"/>
      <c r="W226" s="1"/>
      <c r="X226" s="1"/>
      <c r="Y226" s="1"/>
    </row>
    <row r="227" spans="1:25" s="3" customFormat="1" x14ac:dyDescent="0.25">
      <c r="B227" s="23"/>
      <c r="U227" s="1"/>
      <c r="V227" s="1"/>
      <c r="W227" s="1"/>
      <c r="X227" s="1"/>
      <c r="Y227" s="1"/>
    </row>
    <row r="228" spans="1:25" s="3" customFormat="1" x14ac:dyDescent="0.25">
      <c r="B228" s="23"/>
      <c r="U228" s="1"/>
      <c r="V228" s="1"/>
      <c r="W228" s="1"/>
      <c r="X228" s="1"/>
      <c r="Y228" s="1"/>
    </row>
    <row r="229" spans="1:25" s="3" customFormat="1" x14ac:dyDescent="0.25">
      <c r="B229" s="23"/>
      <c r="U229" s="1"/>
      <c r="V229" s="1"/>
      <c r="W229" s="1"/>
      <c r="X229" s="1"/>
      <c r="Y229" s="1"/>
    </row>
    <row r="230" spans="1:25" s="3" customFormat="1" x14ac:dyDescent="0.25">
      <c r="B230" s="23"/>
      <c r="K230" s="6"/>
      <c r="L230" s="6"/>
      <c r="M230" s="6"/>
      <c r="N230" s="6"/>
      <c r="U230" s="1"/>
      <c r="V230" s="1"/>
      <c r="W230" s="1"/>
      <c r="X230" s="1"/>
      <c r="Y230" s="1"/>
    </row>
    <row r="231" spans="1:25" s="3" customFormat="1" x14ac:dyDescent="0.25">
      <c r="B231" s="23"/>
      <c r="K231" s="6"/>
      <c r="L231" s="6"/>
      <c r="M231" s="6"/>
      <c r="N231" s="6"/>
      <c r="U231" s="1"/>
      <c r="V231" s="1"/>
      <c r="W231" s="1"/>
      <c r="X231" s="1"/>
      <c r="Y231" s="1"/>
    </row>
    <row r="232" spans="1:25" s="3" customFormat="1" x14ac:dyDescent="0.25">
      <c r="B232" s="23"/>
      <c r="K232" s="6"/>
      <c r="L232" s="6"/>
      <c r="M232" s="6"/>
      <c r="N232" s="6"/>
      <c r="U232" s="1"/>
      <c r="V232" s="1"/>
      <c r="W232" s="1"/>
      <c r="X232" s="1"/>
      <c r="Y232" s="1"/>
    </row>
    <row r="233" spans="1:25" s="3" customFormat="1" x14ac:dyDescent="0.25">
      <c r="B233" s="23"/>
      <c r="J233" s="6"/>
      <c r="K233" s="6"/>
      <c r="L233" s="6"/>
      <c r="M233" s="6"/>
      <c r="N233" s="6"/>
      <c r="U233" s="1"/>
      <c r="V233" s="1"/>
      <c r="W233" s="1"/>
      <c r="X233" s="1"/>
      <c r="Y233" s="1"/>
    </row>
    <row r="234" spans="1:25" s="3" customFormat="1" x14ac:dyDescent="0.25">
      <c r="B234" s="23"/>
      <c r="J234" s="6"/>
      <c r="K234" s="6"/>
      <c r="L234" s="6"/>
      <c r="M234" s="6"/>
      <c r="N234" s="6"/>
      <c r="U234" s="1"/>
      <c r="V234" s="1"/>
      <c r="W234" s="1"/>
      <c r="X234" s="1"/>
      <c r="Y234" s="1"/>
    </row>
    <row r="235" spans="1:25" s="3" customFormat="1" x14ac:dyDescent="0.25">
      <c r="B235" s="23"/>
      <c r="J235" s="6"/>
      <c r="K235" s="6"/>
      <c r="L235" s="6"/>
      <c r="M235" s="6"/>
      <c r="N235" s="6"/>
      <c r="U235" s="1"/>
      <c r="V235" s="1"/>
      <c r="W235" s="1"/>
      <c r="X235" s="1"/>
      <c r="Y235" s="1"/>
    </row>
    <row r="236" spans="1:25" s="3" customFormat="1" x14ac:dyDescent="0.25">
      <c r="B236" s="23"/>
      <c r="J236" s="6"/>
      <c r="K236" s="6"/>
      <c r="L236" s="6"/>
      <c r="M236" s="6"/>
      <c r="N236" s="6"/>
      <c r="U236" s="1"/>
      <c r="V236" s="1"/>
      <c r="W236" s="1"/>
      <c r="X236" s="1"/>
      <c r="Y236" s="1"/>
    </row>
    <row r="237" spans="1:25" s="3" customFormat="1" x14ac:dyDescent="0.25">
      <c r="B237" s="23"/>
      <c r="J237" s="6"/>
      <c r="K237" s="6"/>
      <c r="L237" s="6"/>
      <c r="M237" s="6"/>
      <c r="N237" s="6"/>
      <c r="O237" s="6"/>
      <c r="U237" s="1"/>
      <c r="V237" s="1"/>
      <c r="W237" s="1"/>
      <c r="X237" s="1"/>
      <c r="Y237" s="1"/>
    </row>
    <row r="238" spans="1:25" s="3" customFormat="1" x14ac:dyDescent="0.25">
      <c r="B238" s="23"/>
      <c r="J238" s="6"/>
      <c r="K238" s="6"/>
      <c r="L238" s="6"/>
      <c r="M238" s="6"/>
      <c r="N238" s="6"/>
      <c r="O238" s="6"/>
      <c r="U238" s="1"/>
      <c r="V238" s="1"/>
      <c r="W238" s="1"/>
      <c r="X238" s="1"/>
      <c r="Y238" s="1"/>
    </row>
    <row r="239" spans="1:25" s="3" customFormat="1" x14ac:dyDescent="0.25">
      <c r="A239" s="6"/>
      <c r="B239" s="25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Q239" s="6"/>
      <c r="R239" s="6"/>
      <c r="S239" s="6"/>
      <c r="U239" s="1"/>
      <c r="V239" s="1"/>
      <c r="W239" s="1"/>
      <c r="X239" s="1"/>
      <c r="Y239" s="1"/>
    </row>
  </sheetData>
  <sheetProtection sheet="1" objects="1" scenarios="1"/>
  <mergeCells count="158">
    <mergeCell ref="A13:C13"/>
    <mergeCell ref="D13:E13"/>
    <mergeCell ref="F13:G13"/>
    <mergeCell ref="H13:J13"/>
    <mergeCell ref="K13:L13"/>
    <mergeCell ref="M13:N13"/>
    <mergeCell ref="A14:C14"/>
    <mergeCell ref="D2:K4"/>
    <mergeCell ref="L2:N4"/>
    <mergeCell ref="R3:T3"/>
    <mergeCell ref="B5:K5"/>
    <mergeCell ref="L5:N5"/>
    <mergeCell ref="R5:T5"/>
    <mergeCell ref="C8:F8"/>
    <mergeCell ref="K8:N8"/>
    <mergeCell ref="C10:F10"/>
    <mergeCell ref="K10:N10"/>
    <mergeCell ref="A24:C24"/>
    <mergeCell ref="D22:E22"/>
    <mergeCell ref="F22:G22"/>
    <mergeCell ref="H22:J22"/>
    <mergeCell ref="K22:L22"/>
    <mergeCell ref="M22:N22"/>
    <mergeCell ref="D21:E21"/>
    <mergeCell ref="F21:G21"/>
    <mergeCell ref="H21:J21"/>
    <mergeCell ref="K21:L21"/>
    <mergeCell ref="M21:N21"/>
    <mergeCell ref="D24:E24"/>
    <mergeCell ref="F24:G24"/>
    <mergeCell ref="H24:J24"/>
    <mergeCell ref="K24:L24"/>
    <mergeCell ref="M24:N24"/>
    <mergeCell ref="D23:E23"/>
    <mergeCell ref="F23:G23"/>
    <mergeCell ref="H23:J23"/>
    <mergeCell ref="K23:L23"/>
    <mergeCell ref="M23:N23"/>
    <mergeCell ref="A27:C27"/>
    <mergeCell ref="A28:C28"/>
    <mergeCell ref="D26:E26"/>
    <mergeCell ref="F26:G26"/>
    <mergeCell ref="H26:J26"/>
    <mergeCell ref="K26:L26"/>
    <mergeCell ref="M26:N26"/>
    <mergeCell ref="D25:E25"/>
    <mergeCell ref="F25:G25"/>
    <mergeCell ref="H25:J25"/>
    <mergeCell ref="K25:L25"/>
    <mergeCell ref="M25:N25"/>
    <mergeCell ref="A25:C25"/>
    <mergeCell ref="A26:C26"/>
    <mergeCell ref="D28:E28"/>
    <mergeCell ref="F28:G28"/>
    <mergeCell ref="H28:J28"/>
    <mergeCell ref="K28:L28"/>
    <mergeCell ref="M28:N28"/>
    <mergeCell ref="D27:E27"/>
    <mergeCell ref="F27:G27"/>
    <mergeCell ref="H27:J27"/>
    <mergeCell ref="K27:L27"/>
    <mergeCell ref="M27:N27"/>
    <mergeCell ref="A31:C31"/>
    <mergeCell ref="A32:C32"/>
    <mergeCell ref="D30:E30"/>
    <mergeCell ref="F30:G30"/>
    <mergeCell ref="H30:J30"/>
    <mergeCell ref="K30:L30"/>
    <mergeCell ref="M30:N30"/>
    <mergeCell ref="D29:E29"/>
    <mergeCell ref="F29:G29"/>
    <mergeCell ref="H29:J29"/>
    <mergeCell ref="K29:L29"/>
    <mergeCell ref="M29:N29"/>
    <mergeCell ref="A29:C29"/>
    <mergeCell ref="A30:C30"/>
    <mergeCell ref="D32:E32"/>
    <mergeCell ref="F32:G32"/>
    <mergeCell ref="H32:J32"/>
    <mergeCell ref="K32:L32"/>
    <mergeCell ref="M32:N32"/>
    <mergeCell ref="D31:E31"/>
    <mergeCell ref="F31:G31"/>
    <mergeCell ref="H31:J31"/>
    <mergeCell ref="K31:L31"/>
    <mergeCell ref="M31:N31"/>
    <mergeCell ref="A35:C35"/>
    <mergeCell ref="A36:C36"/>
    <mergeCell ref="D34:E34"/>
    <mergeCell ref="F34:G34"/>
    <mergeCell ref="H34:J34"/>
    <mergeCell ref="K34:L34"/>
    <mergeCell ref="M34:N34"/>
    <mergeCell ref="D33:E33"/>
    <mergeCell ref="F33:G33"/>
    <mergeCell ref="H33:J33"/>
    <mergeCell ref="K33:L33"/>
    <mergeCell ref="M33:N33"/>
    <mergeCell ref="A33:C33"/>
    <mergeCell ref="A34:C34"/>
    <mergeCell ref="D36:E36"/>
    <mergeCell ref="F36:G36"/>
    <mergeCell ref="H36:J36"/>
    <mergeCell ref="K36:L36"/>
    <mergeCell ref="M36:N36"/>
    <mergeCell ref="D35:E35"/>
    <mergeCell ref="F35:G35"/>
    <mergeCell ref="H35:J35"/>
    <mergeCell ref="K35:L35"/>
    <mergeCell ref="M35:N35"/>
    <mergeCell ref="A39:C39"/>
    <mergeCell ref="A40:C40"/>
    <mergeCell ref="D38:E38"/>
    <mergeCell ref="F38:G38"/>
    <mergeCell ref="H38:J38"/>
    <mergeCell ref="K38:L38"/>
    <mergeCell ref="M38:N38"/>
    <mergeCell ref="D37:E37"/>
    <mergeCell ref="F37:G37"/>
    <mergeCell ref="H37:J37"/>
    <mergeCell ref="K37:L37"/>
    <mergeCell ref="M37:N37"/>
    <mergeCell ref="A37:C37"/>
    <mergeCell ref="A38:C38"/>
    <mergeCell ref="D40:E40"/>
    <mergeCell ref="F40:G40"/>
    <mergeCell ref="H40:J40"/>
    <mergeCell ref="K40:L40"/>
    <mergeCell ref="M40:N40"/>
    <mergeCell ref="D39:E39"/>
    <mergeCell ref="F39:G39"/>
    <mergeCell ref="H39:J39"/>
    <mergeCell ref="K39:L39"/>
    <mergeCell ref="M39:N39"/>
    <mergeCell ref="D43:E43"/>
    <mergeCell ref="B47:F52"/>
    <mergeCell ref="J47:N52"/>
    <mergeCell ref="M42:N42"/>
    <mergeCell ref="K42:L42"/>
    <mergeCell ref="D41:E41"/>
    <mergeCell ref="F41:G41"/>
    <mergeCell ref="H41:J41"/>
    <mergeCell ref="K41:L41"/>
    <mergeCell ref="H42:J42"/>
    <mergeCell ref="A42:C42"/>
    <mergeCell ref="D42:E42"/>
    <mergeCell ref="F42:G42"/>
    <mergeCell ref="M41:N41"/>
    <mergeCell ref="A41:C41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</mergeCells>
  <conditionalFormatting sqref="D21:D42">
    <cfRule type="expression" dxfId="91" priority="3">
      <formula>#REF!="Non"</formula>
    </cfRule>
    <cfRule type="expression" dxfId="90" priority="4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7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5B597F0C-90D3-43C2-82A4-D60DEB5ED52C}">
            <xm:f>'Niveau 1 Avril'!#REF!="Non"</xm:f>
            <x14:dxf>
              <fill>
                <patternFill>
                  <bgColor theme="1"/>
                </patternFill>
              </fill>
            </x14:dxf>
          </x14:cfRule>
          <x14:cfRule type="expression" priority="2" id="{C38EADB4-44D3-45AD-A07C-641B6861ED28}">
            <xm:f>'Niveau 1 Avril'!#REF!="Oui"</xm:f>
            <x14:dxf>
              <fill>
                <patternFill>
                  <bgColor theme="1"/>
                </patternFill>
              </fill>
            </x14:dxf>
          </x14:cfRule>
          <xm:sqref>D14:D20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BD244"/>
  <sheetViews>
    <sheetView topLeftCell="A10" zoomScale="90" zoomScaleNormal="90" workbookViewId="0">
      <selection activeCell="T39" sqref="T39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1.85546875" style="6" customWidth="1"/>
    <col min="4" max="4" width="8.42578125" style="6" customWidth="1"/>
    <col min="5" max="5" width="6.42578125" style="6" customWidth="1"/>
    <col min="6" max="6" width="5.42578125" style="6" customWidth="1"/>
    <col min="7" max="7" width="8" style="6" customWidth="1"/>
    <col min="8" max="8" width="5.85546875" style="6" customWidth="1"/>
    <col min="9" max="9" width="9.42578125" style="6" customWidth="1"/>
    <col min="10" max="10" width="14.42578125" style="6" customWidth="1"/>
    <col min="11" max="12" width="8.140625" style="6" customWidth="1"/>
    <col min="13" max="13" width="8" style="6" customWidth="1"/>
    <col min="14" max="14" width="10.42578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67</v>
      </c>
      <c r="E2" s="195"/>
      <c r="F2" s="195"/>
      <c r="G2" s="195"/>
      <c r="H2" s="195"/>
      <c r="I2" s="195"/>
      <c r="J2" s="195"/>
      <c r="K2" s="195"/>
      <c r="L2" s="251">
        <f>'Niveau 1 Mai'!L2:N4</f>
        <v>45413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6"/>
      <c r="Q3" s="4"/>
      <c r="R3" s="220"/>
      <c r="S3" s="220"/>
      <c r="T3" s="220"/>
      <c r="U3" s="36"/>
      <c r="V3" s="36"/>
      <c r="W3" s="36"/>
      <c r="X3" s="36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6"/>
      <c r="Q4" s="4"/>
      <c r="R4" s="36"/>
      <c r="S4" s="36"/>
      <c r="T4" s="36"/>
      <c r="U4" s="36"/>
      <c r="V4" s="36"/>
      <c r="W4" s="36"/>
      <c r="X4" s="36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f>+'Niveau 1 Mai'!L5:N5</f>
        <v>45412</v>
      </c>
      <c r="M5" s="222"/>
      <c r="N5" s="222"/>
      <c r="O5" s="3"/>
      <c r="P5" s="36"/>
      <c r="Q5" s="5"/>
      <c r="R5" s="220"/>
      <c r="S5" s="220"/>
      <c r="T5" s="220"/>
      <c r="U5" s="36"/>
      <c r="V5" s="36"/>
      <c r="W5" s="36"/>
      <c r="X5" s="36"/>
      <c r="Y5" s="5"/>
    </row>
    <row r="6" spans="1:25" ht="19.5" customHeight="1" x14ac:dyDescent="0.35">
      <c r="A6" s="27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40"/>
      <c r="V6" s="40"/>
      <c r="W6" s="40"/>
      <c r="X6" s="40"/>
      <c r="Y6" s="5"/>
    </row>
    <row r="7" spans="1:25" ht="19.5" customHeight="1" thickBot="1" x14ac:dyDescent="0.4">
      <c r="A7" s="111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40"/>
      <c r="V7" s="40"/>
      <c r="W7" s="40"/>
      <c r="X7" s="40"/>
      <c r="Y7" s="5"/>
    </row>
    <row r="8" spans="1:25" ht="18" customHeight="1" thickBot="1" x14ac:dyDescent="0.3">
      <c r="A8" s="8" t="s">
        <v>2</v>
      </c>
      <c r="B8" s="24"/>
      <c r="C8" s="223"/>
      <c r="D8" s="224"/>
      <c r="E8" s="224"/>
      <c r="F8" s="225"/>
      <c r="G8" s="9"/>
      <c r="H8" s="8" t="s">
        <v>26</v>
      </c>
      <c r="I8" s="8"/>
      <c r="J8" s="8"/>
      <c r="K8" s="223"/>
      <c r="L8" s="224"/>
      <c r="M8" s="224"/>
      <c r="N8" s="225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223"/>
      <c r="D10" s="224"/>
      <c r="E10" s="224"/>
      <c r="F10" s="225"/>
      <c r="G10" s="9"/>
      <c r="H10" s="8" t="s">
        <v>25</v>
      </c>
      <c r="I10" s="8"/>
      <c r="J10" s="8"/>
      <c r="K10" s="223"/>
      <c r="L10" s="224"/>
      <c r="M10" s="224"/>
      <c r="N10" s="225"/>
      <c r="O10" s="26"/>
      <c r="P10" s="26"/>
      <c r="Q10" s="26"/>
      <c r="R10" s="26"/>
      <c r="S10" s="26"/>
      <c r="T10" s="26"/>
      <c r="U10" s="11"/>
    </row>
    <row r="11" spans="1:25" ht="18" customHeight="1" thickBot="1" x14ac:dyDescent="0.35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8" customHeight="1" thickBot="1" x14ac:dyDescent="0.35">
      <c r="A12" s="8" t="s">
        <v>49</v>
      </c>
      <c r="B12" s="24"/>
      <c r="C12" s="223"/>
      <c r="D12" s="224"/>
      <c r="E12" s="224"/>
      <c r="F12" s="225"/>
      <c r="G12" s="24"/>
      <c r="H12" s="8" t="s">
        <v>52</v>
      </c>
      <c r="I12" s="8"/>
      <c r="J12" s="24"/>
      <c r="K12" s="241"/>
      <c r="L12" s="242"/>
      <c r="M12" s="8" t="s">
        <v>59</v>
      </c>
      <c r="N12" s="24"/>
      <c r="O12" s="26"/>
      <c r="P12" s="26"/>
      <c r="Q12" s="26"/>
      <c r="R12" s="26"/>
      <c r="S12" s="26"/>
      <c r="T12" s="26"/>
      <c r="U12" s="11"/>
    </row>
    <row r="13" spans="1:25" ht="18" customHeight="1" thickBot="1" x14ac:dyDescent="0.35">
      <c r="A13" s="8"/>
      <c r="B13" s="24"/>
      <c r="C13" s="24"/>
      <c r="D13" s="24"/>
      <c r="E13" s="24"/>
      <c r="F13" s="24"/>
      <c r="G13" s="24"/>
      <c r="H13" s="8" t="s">
        <v>51</v>
      </c>
      <c r="I13" s="8"/>
      <c r="J13" s="24"/>
      <c r="K13" s="260"/>
      <c r="L13" s="261"/>
      <c r="M13" s="32" t="s">
        <v>60</v>
      </c>
      <c r="N13" s="24"/>
      <c r="O13" s="26"/>
      <c r="P13" s="26"/>
      <c r="Q13" s="26"/>
      <c r="R13" s="26"/>
      <c r="S13" s="26"/>
      <c r="T13" s="26"/>
      <c r="U13" s="11"/>
    </row>
    <row r="14" spans="1:25" ht="13.5" customHeight="1" thickBot="1" x14ac:dyDescent="0.35">
      <c r="A14" s="8"/>
      <c r="B14" s="24"/>
      <c r="C14" s="24"/>
      <c r="D14" s="24"/>
      <c r="E14" s="24"/>
      <c r="F14" s="24"/>
      <c r="G14" s="9"/>
      <c r="H14" s="8"/>
      <c r="I14" s="8"/>
      <c r="J14" s="8"/>
      <c r="K14" s="8"/>
      <c r="L14" s="8"/>
      <c r="M14" s="8"/>
      <c r="N14" s="8"/>
      <c r="O14" s="26"/>
      <c r="P14" s="26"/>
      <c r="Q14" s="26"/>
      <c r="R14" s="26"/>
      <c r="S14" s="26"/>
      <c r="T14" s="26"/>
      <c r="U14" s="11"/>
    </row>
    <row r="15" spans="1:25" ht="22.5" customHeight="1" thickBot="1" x14ac:dyDescent="0.35">
      <c r="A15" s="8"/>
      <c r="B15" s="24"/>
      <c r="C15" s="10"/>
      <c r="D15" s="10"/>
      <c r="E15" s="10"/>
      <c r="F15" s="262" t="s">
        <v>28</v>
      </c>
      <c r="G15" s="263"/>
      <c r="H15" s="263"/>
      <c r="I15" s="263"/>
      <c r="J15" s="263"/>
      <c r="K15" s="263"/>
      <c r="L15" s="263"/>
      <c r="M15" s="263"/>
      <c r="N15" s="264"/>
      <c r="O15" s="26"/>
      <c r="P15" s="26"/>
      <c r="Q15" s="26"/>
      <c r="R15" s="26"/>
      <c r="S15" s="26"/>
      <c r="T15" s="26"/>
      <c r="U15" s="11"/>
    </row>
    <row r="16" spans="1:25" s="19" customFormat="1" ht="54.75" customHeight="1" x14ac:dyDescent="0.25">
      <c r="A16" s="200" t="s">
        <v>1</v>
      </c>
      <c r="B16" s="201"/>
      <c r="C16" s="202"/>
      <c r="D16" s="203" t="s">
        <v>58</v>
      </c>
      <c r="E16" s="204"/>
      <c r="F16" s="265" t="s">
        <v>29</v>
      </c>
      <c r="G16" s="265"/>
      <c r="H16" s="266" t="s">
        <v>61</v>
      </c>
      <c r="I16" s="267"/>
      <c r="J16" s="37" t="s">
        <v>63</v>
      </c>
      <c r="K16" s="302" t="s">
        <v>64</v>
      </c>
      <c r="L16" s="303"/>
      <c r="M16" s="266" t="s">
        <v>30</v>
      </c>
      <c r="N16" s="267"/>
      <c r="O16" s="26"/>
      <c r="P16" s="26"/>
      <c r="Q16" s="26"/>
      <c r="R16" s="26"/>
      <c r="S16" s="26"/>
      <c r="T16" s="26"/>
      <c r="U16" s="20"/>
      <c r="V16" s="20"/>
      <c r="W16" s="20"/>
      <c r="X16" s="21"/>
    </row>
    <row r="17" spans="1:24" s="3" customFormat="1" x14ac:dyDescent="0.25">
      <c r="A17" s="191">
        <v>45383</v>
      </c>
      <c r="B17" s="192"/>
      <c r="C17" s="193"/>
      <c r="D17" s="120"/>
      <c r="E17" s="121"/>
      <c r="F17" s="101"/>
      <c r="G17" s="102"/>
      <c r="H17" s="103"/>
      <c r="I17" s="104"/>
      <c r="J17" s="122"/>
      <c r="K17" s="123"/>
      <c r="L17" s="124"/>
      <c r="M17" s="249">
        <f t="shared" ref="M17:M24" si="0">+K17-J17</f>
        <v>0</v>
      </c>
      <c r="N17" s="250"/>
      <c r="P17" s="12"/>
      <c r="Q17" s="15"/>
      <c r="R17" s="15"/>
      <c r="S17" s="15"/>
      <c r="T17" s="13"/>
      <c r="U17" s="13"/>
      <c r="V17" s="13"/>
      <c r="W17" s="13"/>
      <c r="X17" s="1"/>
    </row>
    <row r="18" spans="1:24" s="3" customFormat="1" x14ac:dyDescent="0.25">
      <c r="A18" s="191">
        <v>45384</v>
      </c>
      <c r="B18" s="192"/>
      <c r="C18" s="193"/>
      <c r="D18" s="120"/>
      <c r="E18" s="121"/>
      <c r="F18" s="101"/>
      <c r="G18" s="102"/>
      <c r="H18" s="103"/>
      <c r="I18" s="104"/>
      <c r="J18" s="122"/>
      <c r="K18" s="123"/>
      <c r="L18" s="100"/>
      <c r="M18" s="249">
        <f t="shared" si="0"/>
        <v>0</v>
      </c>
      <c r="N18" s="250"/>
      <c r="P18" s="12"/>
      <c r="Q18" s="15"/>
      <c r="R18" s="15"/>
      <c r="S18" s="15"/>
      <c r="T18" s="13"/>
      <c r="U18" s="13"/>
      <c r="V18" s="13"/>
      <c r="W18" s="13"/>
      <c r="X18" s="1"/>
    </row>
    <row r="19" spans="1:24" s="3" customFormat="1" x14ac:dyDescent="0.25">
      <c r="A19" s="191">
        <v>45385</v>
      </c>
      <c r="B19" s="192"/>
      <c r="C19" s="193"/>
      <c r="D19" s="120"/>
      <c r="E19" s="121"/>
      <c r="F19" s="101"/>
      <c r="G19" s="102"/>
      <c r="H19" s="103"/>
      <c r="I19" s="104"/>
      <c r="J19" s="122"/>
      <c r="K19" s="123"/>
      <c r="L19" s="100"/>
      <c r="M19" s="249">
        <f t="shared" si="0"/>
        <v>0</v>
      </c>
      <c r="N19" s="250"/>
      <c r="P19" s="12"/>
      <c r="Q19" s="15"/>
      <c r="R19" s="15"/>
      <c r="S19" s="15"/>
      <c r="T19" s="13"/>
      <c r="U19" s="13"/>
      <c r="V19" s="13"/>
      <c r="W19" s="13"/>
      <c r="X19" s="1"/>
    </row>
    <row r="20" spans="1:24" s="3" customFormat="1" x14ac:dyDescent="0.25">
      <c r="A20" s="191">
        <v>45386</v>
      </c>
      <c r="B20" s="192"/>
      <c r="C20" s="193"/>
      <c r="D20" s="120"/>
      <c r="E20" s="121"/>
      <c r="F20" s="101"/>
      <c r="G20" s="102"/>
      <c r="H20" s="103"/>
      <c r="I20" s="104"/>
      <c r="J20" s="122"/>
      <c r="K20" s="123"/>
      <c r="L20" s="100"/>
      <c r="M20" s="249">
        <f t="shared" si="0"/>
        <v>0</v>
      </c>
      <c r="N20" s="250"/>
      <c r="P20" s="12"/>
      <c r="Q20" s="15"/>
      <c r="R20" s="15"/>
      <c r="S20" s="15"/>
      <c r="T20" s="13"/>
      <c r="U20" s="13"/>
      <c r="V20" s="13"/>
      <c r="W20" s="13"/>
      <c r="X20" s="1"/>
    </row>
    <row r="21" spans="1:24" s="3" customFormat="1" x14ac:dyDescent="0.25">
      <c r="A21" s="191">
        <v>45387</v>
      </c>
      <c r="B21" s="192"/>
      <c r="C21" s="193"/>
      <c r="D21" s="120"/>
      <c r="E21" s="121"/>
      <c r="F21" s="101"/>
      <c r="G21" s="102"/>
      <c r="H21" s="103"/>
      <c r="I21" s="104"/>
      <c r="J21" s="122"/>
      <c r="K21" s="123"/>
      <c r="L21" s="100"/>
      <c r="M21" s="249">
        <f t="shared" si="0"/>
        <v>0</v>
      </c>
      <c r="N21" s="250"/>
      <c r="P21" s="12"/>
      <c r="Q21" s="15"/>
      <c r="R21" s="15"/>
      <c r="S21" s="15"/>
      <c r="T21" s="13"/>
      <c r="U21" s="13"/>
      <c r="V21" s="13"/>
      <c r="W21" s="13"/>
      <c r="X21" s="1"/>
    </row>
    <row r="22" spans="1:24" s="3" customFormat="1" x14ac:dyDescent="0.25">
      <c r="A22" s="191">
        <v>45388</v>
      </c>
      <c r="B22" s="192"/>
      <c r="C22" s="193"/>
      <c r="D22" s="120"/>
      <c r="E22" s="121"/>
      <c r="F22" s="101"/>
      <c r="G22" s="102"/>
      <c r="H22" s="103"/>
      <c r="I22" s="104"/>
      <c r="J22" s="122"/>
      <c r="K22" s="123"/>
      <c r="L22" s="100"/>
      <c r="M22" s="249">
        <f t="shared" si="0"/>
        <v>0</v>
      </c>
      <c r="N22" s="250"/>
      <c r="P22" s="12"/>
      <c r="Q22" s="15"/>
      <c r="R22" s="15"/>
      <c r="S22" s="15"/>
      <c r="T22" s="13"/>
      <c r="U22" s="13"/>
      <c r="V22" s="13"/>
      <c r="W22" s="13"/>
      <c r="X22" s="1"/>
    </row>
    <row r="23" spans="1:24" s="3" customFormat="1" x14ac:dyDescent="0.25">
      <c r="A23" s="191">
        <v>45389</v>
      </c>
      <c r="B23" s="192"/>
      <c r="C23" s="193"/>
      <c r="D23" s="120"/>
      <c r="E23" s="121"/>
      <c r="F23" s="101"/>
      <c r="G23" s="102"/>
      <c r="H23" s="103"/>
      <c r="I23" s="104"/>
      <c r="J23" s="125"/>
      <c r="K23" s="126"/>
      <c r="L23" s="100"/>
      <c r="M23" s="249">
        <f t="shared" si="0"/>
        <v>0</v>
      </c>
      <c r="N23" s="250"/>
      <c r="P23" s="12"/>
      <c r="Q23" s="15"/>
      <c r="R23" s="15"/>
      <c r="S23" s="15"/>
      <c r="T23" s="13"/>
      <c r="U23" s="13"/>
      <c r="V23" s="13"/>
      <c r="W23" s="13"/>
      <c r="X23" s="1"/>
    </row>
    <row r="24" spans="1:24" s="3" customFormat="1" ht="15.75" x14ac:dyDescent="0.25">
      <c r="A24" s="191">
        <v>45390</v>
      </c>
      <c r="B24" s="192"/>
      <c r="C24" s="193"/>
      <c r="D24" s="243"/>
      <c r="E24" s="243"/>
      <c r="F24" s="244"/>
      <c r="G24" s="245"/>
      <c r="H24" s="246"/>
      <c r="I24" s="247"/>
      <c r="J24" s="100"/>
      <c r="K24" s="248"/>
      <c r="L24" s="248"/>
      <c r="M24" s="249">
        <f t="shared" si="0"/>
        <v>0</v>
      </c>
      <c r="N24" s="250"/>
      <c r="O24" s="26"/>
      <c r="P24" s="26"/>
      <c r="Q24" s="26"/>
      <c r="R24" s="26"/>
      <c r="S24" s="26"/>
      <c r="T24" s="26"/>
      <c r="U24" s="13"/>
      <c r="V24" s="13"/>
      <c r="W24" s="13"/>
      <c r="X24" s="1"/>
    </row>
    <row r="25" spans="1:24" s="3" customFormat="1" ht="15.75" x14ac:dyDescent="0.25">
      <c r="A25" s="191">
        <v>45391</v>
      </c>
      <c r="B25" s="192"/>
      <c r="C25" s="193"/>
      <c r="D25" s="243"/>
      <c r="E25" s="243"/>
      <c r="F25" s="244"/>
      <c r="G25" s="245"/>
      <c r="H25" s="246"/>
      <c r="I25" s="247"/>
      <c r="J25" s="100"/>
      <c r="K25" s="248"/>
      <c r="L25" s="248"/>
      <c r="M25" s="249">
        <f t="shared" ref="M25" si="1">+K25-J25</f>
        <v>0</v>
      </c>
      <c r="N25" s="250"/>
      <c r="P25" s="26"/>
      <c r="Q25" s="26"/>
      <c r="R25" s="26"/>
      <c r="S25" s="26"/>
      <c r="T25" s="26"/>
      <c r="U25" s="13"/>
      <c r="V25" s="13"/>
      <c r="W25" s="13"/>
      <c r="X25" s="1"/>
    </row>
    <row r="26" spans="1:24" s="3" customFormat="1" ht="15.75" x14ac:dyDescent="0.25">
      <c r="A26" s="191">
        <v>45392</v>
      </c>
      <c r="B26" s="192"/>
      <c r="C26" s="193"/>
      <c r="D26" s="243"/>
      <c r="E26" s="243"/>
      <c r="F26" s="244"/>
      <c r="G26" s="245"/>
      <c r="H26" s="246"/>
      <c r="I26" s="247"/>
      <c r="J26" s="100"/>
      <c r="K26" s="248"/>
      <c r="L26" s="248"/>
      <c r="M26" s="249">
        <f t="shared" ref="M26:M44" si="2">+K26-J26</f>
        <v>0</v>
      </c>
      <c r="N26" s="250"/>
      <c r="P26" s="26"/>
      <c r="Q26" s="26"/>
      <c r="R26" s="26"/>
      <c r="S26" s="26"/>
      <c r="T26" s="26"/>
      <c r="U26" s="26"/>
      <c r="V26" s="13"/>
      <c r="W26" s="13"/>
      <c r="X26" s="1"/>
    </row>
    <row r="27" spans="1:24" s="3" customFormat="1" x14ac:dyDescent="0.25">
      <c r="A27" s="191">
        <v>45393</v>
      </c>
      <c r="B27" s="192"/>
      <c r="C27" s="193"/>
      <c r="D27" s="243"/>
      <c r="E27" s="243"/>
      <c r="F27" s="244"/>
      <c r="G27" s="245"/>
      <c r="H27" s="246"/>
      <c r="I27" s="247"/>
      <c r="J27" s="100"/>
      <c r="K27" s="248"/>
      <c r="L27" s="248"/>
      <c r="M27" s="249">
        <f t="shared" si="2"/>
        <v>0</v>
      </c>
      <c r="N27" s="250"/>
      <c r="P27" s="12"/>
      <c r="Q27" s="12"/>
      <c r="R27" s="12"/>
      <c r="S27" s="12"/>
      <c r="T27" s="13"/>
      <c r="U27" s="13"/>
      <c r="V27" s="13"/>
      <c r="W27" s="13"/>
      <c r="X27" s="1"/>
    </row>
    <row r="28" spans="1:24" s="3" customFormat="1" x14ac:dyDescent="0.25">
      <c r="A28" s="191">
        <v>45394</v>
      </c>
      <c r="B28" s="192"/>
      <c r="C28" s="193"/>
      <c r="D28" s="243"/>
      <c r="E28" s="243"/>
      <c r="F28" s="244"/>
      <c r="G28" s="245"/>
      <c r="H28" s="246"/>
      <c r="I28" s="247"/>
      <c r="J28" s="100"/>
      <c r="K28" s="248"/>
      <c r="L28" s="248"/>
      <c r="M28" s="249">
        <f t="shared" si="2"/>
        <v>0</v>
      </c>
      <c r="N28" s="250"/>
      <c r="P28" s="12"/>
      <c r="Q28" s="12"/>
      <c r="R28" s="12"/>
      <c r="S28" s="12"/>
      <c r="T28" s="13"/>
      <c r="U28" s="13"/>
      <c r="V28" s="13"/>
      <c r="W28" s="13"/>
      <c r="X28" s="1"/>
    </row>
    <row r="29" spans="1:24" s="3" customFormat="1" x14ac:dyDescent="0.25">
      <c r="A29" s="191">
        <v>45395</v>
      </c>
      <c r="B29" s="192"/>
      <c r="C29" s="193"/>
      <c r="D29" s="243"/>
      <c r="E29" s="243"/>
      <c r="F29" s="244"/>
      <c r="G29" s="245"/>
      <c r="H29" s="246"/>
      <c r="I29" s="247"/>
      <c r="J29" s="100"/>
      <c r="K29" s="248"/>
      <c r="L29" s="248"/>
      <c r="M29" s="249">
        <f t="shared" si="2"/>
        <v>0</v>
      </c>
      <c r="N29" s="250"/>
      <c r="P29" s="12"/>
      <c r="Q29" s="12"/>
      <c r="R29" s="12"/>
      <c r="S29" s="12"/>
      <c r="T29" s="13"/>
      <c r="U29" s="13"/>
      <c r="V29" s="13"/>
      <c r="W29" s="13"/>
      <c r="X29" s="1"/>
    </row>
    <row r="30" spans="1:24" s="3" customFormat="1" x14ac:dyDescent="0.25">
      <c r="A30" s="191">
        <v>45396</v>
      </c>
      <c r="B30" s="192"/>
      <c r="C30" s="193"/>
      <c r="D30" s="243"/>
      <c r="E30" s="243"/>
      <c r="F30" s="244"/>
      <c r="G30" s="245"/>
      <c r="H30" s="246"/>
      <c r="I30" s="247"/>
      <c r="J30" s="100"/>
      <c r="K30" s="248"/>
      <c r="L30" s="248"/>
      <c r="M30" s="249">
        <f t="shared" si="2"/>
        <v>0</v>
      </c>
      <c r="N30" s="250"/>
      <c r="P30" s="12"/>
      <c r="Q30" s="12"/>
      <c r="R30" s="12"/>
      <c r="S30" s="12"/>
      <c r="T30" s="13"/>
      <c r="U30" s="13"/>
      <c r="V30" s="13"/>
      <c r="W30" s="13"/>
      <c r="X30" s="1"/>
    </row>
    <row r="31" spans="1:24" s="3" customFormat="1" x14ac:dyDescent="0.25">
      <c r="A31" s="191">
        <v>45397</v>
      </c>
      <c r="B31" s="192"/>
      <c r="C31" s="193"/>
      <c r="D31" s="243"/>
      <c r="E31" s="243"/>
      <c r="F31" s="244"/>
      <c r="G31" s="245"/>
      <c r="H31" s="246"/>
      <c r="I31" s="247"/>
      <c r="J31" s="100"/>
      <c r="K31" s="248"/>
      <c r="L31" s="248"/>
      <c r="M31" s="249">
        <f t="shared" si="2"/>
        <v>0</v>
      </c>
      <c r="N31" s="250"/>
      <c r="P31" s="12"/>
      <c r="Q31" s="12"/>
      <c r="R31" s="12"/>
      <c r="S31" s="12"/>
      <c r="T31" s="13"/>
      <c r="U31" s="13"/>
      <c r="V31" s="13"/>
      <c r="W31" s="13"/>
      <c r="X31" s="1"/>
    </row>
    <row r="32" spans="1:24" s="3" customFormat="1" x14ac:dyDescent="0.25">
      <c r="A32" s="191">
        <v>45398</v>
      </c>
      <c r="B32" s="192"/>
      <c r="C32" s="193"/>
      <c r="D32" s="243"/>
      <c r="E32" s="243"/>
      <c r="F32" s="244"/>
      <c r="G32" s="245"/>
      <c r="H32" s="246"/>
      <c r="I32" s="247"/>
      <c r="J32" s="100"/>
      <c r="K32" s="248"/>
      <c r="L32" s="248"/>
      <c r="M32" s="249">
        <f t="shared" si="2"/>
        <v>0</v>
      </c>
      <c r="N32" s="250"/>
      <c r="P32" s="12"/>
      <c r="Q32" s="12"/>
      <c r="R32" s="12"/>
      <c r="S32" s="12"/>
      <c r="T32" s="13"/>
      <c r="U32" s="13"/>
      <c r="V32" s="13"/>
      <c r="W32" s="13"/>
      <c r="X32" s="1"/>
    </row>
    <row r="33" spans="1:25" s="3" customFormat="1" x14ac:dyDescent="0.25">
      <c r="A33" s="191">
        <v>45399</v>
      </c>
      <c r="B33" s="192"/>
      <c r="C33" s="193"/>
      <c r="D33" s="243"/>
      <c r="E33" s="243"/>
      <c r="F33" s="244"/>
      <c r="G33" s="245"/>
      <c r="H33" s="246"/>
      <c r="I33" s="247"/>
      <c r="J33" s="100"/>
      <c r="K33" s="248"/>
      <c r="L33" s="248"/>
      <c r="M33" s="249">
        <f t="shared" si="2"/>
        <v>0</v>
      </c>
      <c r="N33" s="250"/>
      <c r="P33" s="12"/>
      <c r="Q33" s="12"/>
      <c r="R33" s="12"/>
      <c r="S33" s="12"/>
      <c r="T33" s="13"/>
      <c r="U33" s="13"/>
      <c r="V33" s="13"/>
      <c r="W33" s="13"/>
      <c r="X33" s="1"/>
    </row>
    <row r="34" spans="1:25" s="3" customFormat="1" x14ac:dyDescent="0.25">
      <c r="A34" s="191">
        <v>45400</v>
      </c>
      <c r="B34" s="192"/>
      <c r="C34" s="193"/>
      <c r="D34" s="243"/>
      <c r="E34" s="243"/>
      <c r="F34" s="244"/>
      <c r="G34" s="245"/>
      <c r="H34" s="246"/>
      <c r="I34" s="247"/>
      <c r="J34" s="100"/>
      <c r="K34" s="248"/>
      <c r="L34" s="248"/>
      <c r="M34" s="249">
        <f t="shared" si="2"/>
        <v>0</v>
      </c>
      <c r="N34" s="250"/>
      <c r="P34" s="12"/>
      <c r="Q34" s="15"/>
      <c r="R34" s="15"/>
      <c r="S34" s="15"/>
      <c r="T34" s="13"/>
      <c r="U34" s="13"/>
      <c r="V34" s="13"/>
      <c r="W34" s="13"/>
      <c r="X34" s="1"/>
    </row>
    <row r="35" spans="1:25" s="3" customFormat="1" x14ac:dyDescent="0.25">
      <c r="A35" s="191">
        <v>45401</v>
      </c>
      <c r="B35" s="192"/>
      <c r="C35" s="193"/>
      <c r="D35" s="243"/>
      <c r="E35" s="243"/>
      <c r="F35" s="244"/>
      <c r="G35" s="245"/>
      <c r="H35" s="246"/>
      <c r="I35" s="247"/>
      <c r="J35" s="100"/>
      <c r="K35" s="248"/>
      <c r="L35" s="248"/>
      <c r="M35" s="249">
        <f t="shared" si="2"/>
        <v>0</v>
      </c>
      <c r="N35" s="250"/>
      <c r="P35" s="12"/>
      <c r="Q35" s="15"/>
      <c r="R35" s="15"/>
      <c r="S35" s="15"/>
      <c r="T35" s="13"/>
      <c r="U35" s="13"/>
      <c r="V35" s="13"/>
      <c r="W35" s="13"/>
      <c r="X35" s="1"/>
    </row>
    <row r="36" spans="1:25" s="3" customFormat="1" x14ac:dyDescent="0.25">
      <c r="A36" s="191">
        <v>45402</v>
      </c>
      <c r="B36" s="192"/>
      <c r="C36" s="193"/>
      <c r="D36" s="243"/>
      <c r="E36" s="243"/>
      <c r="F36" s="244"/>
      <c r="G36" s="245"/>
      <c r="H36" s="246"/>
      <c r="I36" s="247"/>
      <c r="J36" s="100"/>
      <c r="K36" s="248"/>
      <c r="L36" s="248"/>
      <c r="M36" s="249">
        <f t="shared" si="2"/>
        <v>0</v>
      </c>
      <c r="N36" s="250"/>
      <c r="P36" s="12"/>
      <c r="Q36" s="15"/>
      <c r="R36" s="15"/>
      <c r="S36" s="15"/>
      <c r="T36" s="13"/>
      <c r="U36" s="13"/>
      <c r="V36" s="13"/>
      <c r="W36" s="13"/>
      <c r="X36" s="1"/>
    </row>
    <row r="37" spans="1:25" s="3" customFormat="1" x14ac:dyDescent="0.25">
      <c r="A37" s="191">
        <v>45403</v>
      </c>
      <c r="B37" s="192"/>
      <c r="C37" s="193"/>
      <c r="D37" s="243"/>
      <c r="E37" s="243"/>
      <c r="F37" s="244"/>
      <c r="G37" s="245"/>
      <c r="H37" s="246"/>
      <c r="I37" s="247"/>
      <c r="J37" s="100"/>
      <c r="K37" s="248"/>
      <c r="L37" s="248"/>
      <c r="M37" s="249">
        <f t="shared" si="2"/>
        <v>0</v>
      </c>
      <c r="N37" s="250"/>
      <c r="O37" s="1"/>
      <c r="P37" s="12"/>
      <c r="Q37" s="15"/>
      <c r="R37" s="15"/>
      <c r="S37" s="15"/>
      <c r="T37" s="13"/>
      <c r="U37" s="13"/>
      <c r="V37" s="13"/>
      <c r="W37" s="13"/>
      <c r="X37" s="1"/>
    </row>
    <row r="38" spans="1:25" s="3" customFormat="1" x14ac:dyDescent="0.25">
      <c r="A38" s="191">
        <v>45404</v>
      </c>
      <c r="B38" s="192"/>
      <c r="C38" s="193"/>
      <c r="D38" s="270"/>
      <c r="E38" s="271"/>
      <c r="F38" s="101"/>
      <c r="G38" s="102"/>
      <c r="H38" s="103"/>
      <c r="I38" s="104"/>
      <c r="J38" s="100"/>
      <c r="K38" s="249"/>
      <c r="L38" s="250"/>
      <c r="M38" s="249">
        <f t="shared" si="2"/>
        <v>0</v>
      </c>
      <c r="N38" s="250"/>
      <c r="O38" s="1"/>
      <c r="P38" s="12"/>
      <c r="Q38" s="15"/>
      <c r="R38" s="15"/>
      <c r="S38" s="15"/>
      <c r="T38" s="13"/>
      <c r="U38" s="13"/>
      <c r="V38" s="13"/>
      <c r="W38" s="13"/>
      <c r="X38" s="1"/>
    </row>
    <row r="39" spans="1:25" s="3" customFormat="1" x14ac:dyDescent="0.25">
      <c r="A39" s="191">
        <v>45405</v>
      </c>
      <c r="B39" s="192"/>
      <c r="C39" s="193"/>
      <c r="D39" s="270"/>
      <c r="E39" s="271"/>
      <c r="F39" s="101"/>
      <c r="G39" s="102"/>
      <c r="H39" s="103"/>
      <c r="I39" s="104"/>
      <c r="J39" s="100"/>
      <c r="K39" s="249"/>
      <c r="L39" s="250"/>
      <c r="M39" s="249">
        <f t="shared" si="2"/>
        <v>0</v>
      </c>
      <c r="N39" s="250"/>
      <c r="O39" s="1"/>
      <c r="P39" s="12"/>
      <c r="Q39" s="15"/>
      <c r="R39" s="15"/>
      <c r="S39" s="15"/>
      <c r="T39" s="13"/>
      <c r="U39" s="13"/>
      <c r="V39" s="13"/>
      <c r="W39" s="13"/>
      <c r="X39" s="1"/>
    </row>
    <row r="40" spans="1:25" s="3" customFormat="1" x14ac:dyDescent="0.25">
      <c r="A40" s="191">
        <v>45406</v>
      </c>
      <c r="B40" s="192"/>
      <c r="C40" s="193"/>
      <c r="D40" s="270"/>
      <c r="E40" s="271"/>
      <c r="F40" s="101"/>
      <c r="G40" s="102"/>
      <c r="H40" s="103"/>
      <c r="I40" s="104"/>
      <c r="J40" s="100"/>
      <c r="K40" s="249"/>
      <c r="L40" s="250"/>
      <c r="M40" s="249">
        <f t="shared" si="2"/>
        <v>0</v>
      </c>
      <c r="N40" s="250"/>
      <c r="O40" s="1"/>
      <c r="P40" s="12"/>
      <c r="Q40" s="15"/>
      <c r="R40" s="15"/>
      <c r="S40" s="15"/>
      <c r="T40" s="13"/>
      <c r="U40" s="13"/>
      <c r="V40" s="13"/>
      <c r="W40" s="13"/>
      <c r="X40" s="1"/>
    </row>
    <row r="41" spans="1:25" s="3" customFormat="1" x14ac:dyDescent="0.25">
      <c r="A41" s="191">
        <v>45407</v>
      </c>
      <c r="B41" s="192"/>
      <c r="C41" s="193"/>
      <c r="D41" s="270"/>
      <c r="E41" s="271"/>
      <c r="F41" s="101"/>
      <c r="G41" s="102"/>
      <c r="H41" s="103"/>
      <c r="I41" s="104"/>
      <c r="J41" s="100"/>
      <c r="K41" s="249"/>
      <c r="L41" s="250"/>
      <c r="M41" s="249">
        <f t="shared" si="2"/>
        <v>0</v>
      </c>
      <c r="N41" s="250"/>
      <c r="O41" s="1"/>
      <c r="P41" s="12"/>
      <c r="Q41" s="15"/>
      <c r="R41" s="15"/>
      <c r="S41" s="15"/>
      <c r="T41" s="13"/>
      <c r="U41" s="13"/>
      <c r="V41" s="13"/>
      <c r="W41" s="13"/>
      <c r="X41" s="1"/>
    </row>
    <row r="42" spans="1:25" s="3" customFormat="1" x14ac:dyDescent="0.25">
      <c r="A42" s="191">
        <v>45408</v>
      </c>
      <c r="B42" s="192"/>
      <c r="C42" s="193"/>
      <c r="D42" s="270"/>
      <c r="E42" s="271"/>
      <c r="F42" s="101"/>
      <c r="G42" s="102"/>
      <c r="H42" s="103"/>
      <c r="I42" s="104"/>
      <c r="J42" s="100"/>
      <c r="K42" s="249"/>
      <c r="L42" s="250"/>
      <c r="M42" s="249">
        <f t="shared" si="2"/>
        <v>0</v>
      </c>
      <c r="N42" s="250"/>
      <c r="O42" s="1"/>
      <c r="P42" s="12"/>
      <c r="Q42" s="15"/>
      <c r="R42" s="15"/>
      <c r="S42" s="15"/>
      <c r="T42" s="13"/>
      <c r="U42" s="13"/>
      <c r="V42" s="13"/>
      <c r="W42" s="13"/>
      <c r="X42" s="1"/>
    </row>
    <row r="43" spans="1:25" s="3" customFormat="1" x14ac:dyDescent="0.25">
      <c r="A43" s="191">
        <v>45409</v>
      </c>
      <c r="B43" s="192"/>
      <c r="C43" s="193"/>
      <c r="D43" s="270"/>
      <c r="E43" s="271"/>
      <c r="F43" s="101"/>
      <c r="G43" s="102"/>
      <c r="H43" s="103"/>
      <c r="I43" s="104"/>
      <c r="J43" s="100"/>
      <c r="K43" s="249"/>
      <c r="L43" s="250"/>
      <c r="M43" s="249">
        <f t="shared" si="2"/>
        <v>0</v>
      </c>
      <c r="N43" s="250"/>
      <c r="O43" s="1"/>
      <c r="P43" s="12"/>
      <c r="Q43" s="15"/>
      <c r="R43" s="15"/>
      <c r="S43" s="15"/>
      <c r="T43" s="13"/>
      <c r="U43" s="13"/>
      <c r="V43" s="13"/>
      <c r="W43" s="13"/>
      <c r="X43" s="1"/>
    </row>
    <row r="44" spans="1:25" s="3" customFormat="1" x14ac:dyDescent="0.25">
      <c r="A44" s="191">
        <v>45410</v>
      </c>
      <c r="B44" s="192"/>
      <c r="C44" s="193"/>
      <c r="D44" s="270"/>
      <c r="E44" s="271"/>
      <c r="F44" s="101"/>
      <c r="G44" s="102"/>
      <c r="H44" s="103"/>
      <c r="I44" s="104"/>
      <c r="J44" s="100"/>
      <c r="K44" s="249"/>
      <c r="L44" s="250"/>
      <c r="M44" s="249">
        <f t="shared" si="2"/>
        <v>0</v>
      </c>
      <c r="N44" s="250"/>
      <c r="O44" s="1"/>
      <c r="P44" s="12"/>
      <c r="Q44" s="15"/>
      <c r="R44" s="15"/>
      <c r="S44" s="15"/>
      <c r="T44" s="13"/>
      <c r="U44" s="13"/>
      <c r="V44" s="13"/>
      <c r="W44" s="13"/>
      <c r="X44" s="1"/>
    </row>
    <row r="45" spans="1:25" s="3" customFormat="1" ht="15.75" x14ac:dyDescent="0.25">
      <c r="A45" s="231" t="s">
        <v>21</v>
      </c>
      <c r="B45" s="232"/>
      <c r="C45" s="233"/>
      <c r="D45" s="278">
        <f>+COUNTA(D17:E44)</f>
        <v>0</v>
      </c>
      <c r="E45" s="279"/>
      <c r="F45" s="280">
        <f>+COUNTA(F17:G44)</f>
        <v>0</v>
      </c>
      <c r="G45" s="281"/>
      <c r="H45" s="282">
        <f>SUM(H17:I44)</f>
        <v>0</v>
      </c>
      <c r="I45" s="282"/>
      <c r="J45" s="107"/>
      <c r="K45" s="283"/>
      <c r="L45" s="283"/>
      <c r="M45" s="284">
        <f>+SUM(M17:O44)</f>
        <v>0</v>
      </c>
      <c r="N45" s="285"/>
      <c r="P45" s="12"/>
      <c r="Q45" s="12"/>
      <c r="R45" s="12"/>
      <c r="S45" s="12"/>
      <c r="T45" s="13"/>
      <c r="U45" s="13"/>
      <c r="V45" s="13"/>
      <c r="W45" s="13"/>
      <c r="X45" s="1"/>
    </row>
    <row r="46" spans="1:25" s="3" customFormat="1" x14ac:dyDescent="0.25">
      <c r="A46" s="12"/>
      <c r="B46" s="12"/>
      <c r="C46" s="12"/>
      <c r="D46" s="272" t="s">
        <v>65</v>
      </c>
      <c r="E46" s="273"/>
      <c r="F46" s="274" t="s">
        <v>24</v>
      </c>
      <c r="G46" s="274"/>
      <c r="H46" s="275" t="s">
        <v>62</v>
      </c>
      <c r="I46" s="275"/>
      <c r="K46" s="12"/>
      <c r="L46" s="12"/>
      <c r="M46" s="276" t="s">
        <v>66</v>
      </c>
      <c r="N46" s="277"/>
      <c r="O46" s="12"/>
      <c r="P46" s="12"/>
      <c r="Q46" s="12"/>
      <c r="R46" s="12"/>
      <c r="S46" s="12"/>
      <c r="T46" s="13"/>
      <c r="U46" s="13"/>
      <c r="V46" s="13"/>
      <c r="W46" s="13"/>
      <c r="X46" s="1"/>
    </row>
    <row r="47" spans="1:25" s="3" customFormat="1" x14ac:dyDescent="0.25">
      <c r="K47" s="12"/>
      <c r="L47" s="12"/>
      <c r="M47" s="12"/>
      <c r="N47" s="12"/>
      <c r="O47" s="12"/>
      <c r="P47" s="12"/>
      <c r="U47" s="1"/>
      <c r="V47" s="1"/>
      <c r="W47" s="1"/>
      <c r="X47" s="1"/>
      <c r="Y47" s="1"/>
    </row>
    <row r="48" spans="1:25" s="3" customFormat="1" x14ac:dyDescent="0.25">
      <c r="A48" s="28" t="s">
        <v>23</v>
      </c>
      <c r="J48" s="28" t="s">
        <v>27</v>
      </c>
      <c r="N48" s="39"/>
      <c r="P48" s="12"/>
      <c r="U48" s="1"/>
      <c r="V48" s="1"/>
      <c r="W48" s="1"/>
      <c r="X48" s="1"/>
      <c r="Y48" s="1"/>
    </row>
    <row r="49" spans="1:25" s="3" customFormat="1" x14ac:dyDescent="0.25">
      <c r="J49" s="28" t="s">
        <v>31</v>
      </c>
      <c r="N49" s="39"/>
      <c r="P49" s="12"/>
      <c r="U49" s="1"/>
      <c r="V49" s="1"/>
      <c r="W49" s="1"/>
      <c r="X49" s="1"/>
      <c r="Y49" s="1"/>
    </row>
    <row r="50" spans="1:25" s="3" customFormat="1" x14ac:dyDescent="0.25">
      <c r="A50" s="29" t="s">
        <v>20</v>
      </c>
      <c r="B50" s="30"/>
      <c r="C50" s="29"/>
      <c r="D50" s="29"/>
      <c r="E50" s="16"/>
      <c r="H50" s="18"/>
      <c r="P50" s="12"/>
      <c r="U50" s="1"/>
      <c r="V50" s="1"/>
      <c r="W50" s="1"/>
      <c r="X50" s="1"/>
      <c r="Y50" s="1"/>
    </row>
    <row r="51" spans="1:25" s="3" customFormat="1" x14ac:dyDescent="0.25">
      <c r="A51" s="29" t="s">
        <v>7</v>
      </c>
      <c r="B51" s="30"/>
      <c r="C51" s="31">
        <f ca="1">TODAY()</f>
        <v>45320</v>
      </c>
      <c r="D51" s="29"/>
      <c r="E51" s="16"/>
      <c r="J51" s="28" t="s">
        <v>22</v>
      </c>
      <c r="P51" s="12"/>
      <c r="U51" s="1"/>
      <c r="V51" s="1"/>
      <c r="W51" s="1"/>
      <c r="X51" s="1"/>
      <c r="Y51" s="1"/>
    </row>
    <row r="52" spans="1:25" s="3" customFormat="1" x14ac:dyDescent="0.25">
      <c r="A52" s="28"/>
      <c r="B52" s="240" t="s">
        <v>47</v>
      </c>
      <c r="C52" s="240"/>
      <c r="D52" s="240"/>
      <c r="E52" s="240"/>
      <c r="F52" s="240"/>
      <c r="J52" s="240" t="s">
        <v>48</v>
      </c>
      <c r="K52" s="240"/>
      <c r="L52" s="240"/>
      <c r="M52" s="240"/>
      <c r="N52" s="240"/>
      <c r="U52" s="1"/>
      <c r="V52" s="1"/>
      <c r="W52" s="1"/>
      <c r="X52" s="1"/>
      <c r="Y52" s="1"/>
    </row>
    <row r="53" spans="1:25" s="3" customFormat="1" x14ac:dyDescent="0.25">
      <c r="B53" s="240"/>
      <c r="C53" s="240"/>
      <c r="D53" s="240"/>
      <c r="E53" s="240"/>
      <c r="F53" s="240"/>
      <c r="J53" s="240"/>
      <c r="K53" s="240"/>
      <c r="L53" s="240"/>
      <c r="M53" s="240"/>
      <c r="N53" s="240"/>
      <c r="U53" s="1"/>
      <c r="V53" s="1"/>
      <c r="W53" s="1"/>
      <c r="X53" s="1"/>
      <c r="Y53" s="1"/>
    </row>
    <row r="54" spans="1:25" s="3" customFormat="1" x14ac:dyDescent="0.25">
      <c r="B54" s="240"/>
      <c r="C54" s="240"/>
      <c r="D54" s="240"/>
      <c r="E54" s="240"/>
      <c r="F54" s="240"/>
      <c r="J54" s="240"/>
      <c r="K54" s="240"/>
      <c r="L54" s="240"/>
      <c r="M54" s="240"/>
      <c r="N54" s="240"/>
      <c r="U54" s="1"/>
      <c r="V54" s="1"/>
      <c r="W54" s="1"/>
      <c r="X54" s="1"/>
      <c r="Y54" s="1"/>
    </row>
    <row r="55" spans="1:25" s="3" customFormat="1" x14ac:dyDescent="0.25">
      <c r="B55" s="240"/>
      <c r="C55" s="240"/>
      <c r="D55" s="240"/>
      <c r="E55" s="240"/>
      <c r="F55" s="240"/>
      <c r="J55" s="240"/>
      <c r="K55" s="240"/>
      <c r="L55" s="240"/>
      <c r="M55" s="240"/>
      <c r="N55" s="240"/>
      <c r="U55" s="1"/>
      <c r="V55" s="1"/>
      <c r="W55" s="1"/>
      <c r="X55" s="1"/>
      <c r="Y55" s="1"/>
    </row>
    <row r="56" spans="1:25" s="3" customFormat="1" x14ac:dyDescent="0.25">
      <c r="B56" s="240"/>
      <c r="C56" s="240"/>
      <c r="D56" s="240"/>
      <c r="E56" s="240"/>
      <c r="F56" s="240"/>
      <c r="J56" s="240"/>
      <c r="K56" s="240"/>
      <c r="L56" s="240"/>
      <c r="M56" s="240"/>
      <c r="N56" s="240"/>
      <c r="U56" s="1"/>
      <c r="V56" s="1"/>
      <c r="W56" s="1"/>
      <c r="X56" s="1"/>
      <c r="Y56" s="1"/>
    </row>
    <row r="57" spans="1:25" s="3" customFormat="1" x14ac:dyDescent="0.25">
      <c r="B57" s="240"/>
      <c r="C57" s="240"/>
      <c r="D57" s="240"/>
      <c r="E57" s="240"/>
      <c r="F57" s="240"/>
      <c r="J57" s="240"/>
      <c r="K57" s="240"/>
      <c r="L57" s="240"/>
      <c r="M57" s="240"/>
      <c r="N57" s="240"/>
      <c r="U57" s="1"/>
      <c r="V57" s="1"/>
      <c r="W57" s="1"/>
      <c r="X57" s="1"/>
      <c r="Y57" s="1"/>
    </row>
    <row r="58" spans="1:25" s="3" customFormat="1" x14ac:dyDescent="0.25">
      <c r="A58" s="3" t="s">
        <v>46</v>
      </c>
      <c r="B58" s="23"/>
      <c r="J58" s="3" t="s">
        <v>39</v>
      </c>
      <c r="U58" s="1"/>
      <c r="V58" s="1"/>
      <c r="W58" s="1"/>
      <c r="X58" s="1"/>
      <c r="Y58" s="1"/>
    </row>
    <row r="59" spans="1:25" s="3" customFormat="1" x14ac:dyDescent="0.25">
      <c r="B59" s="23"/>
      <c r="U59" s="1"/>
      <c r="V59" s="1"/>
      <c r="W59" s="1"/>
      <c r="X59" s="1"/>
      <c r="Y59" s="1"/>
    </row>
    <row r="60" spans="1:25" s="3" customFormat="1" x14ac:dyDescent="0.25">
      <c r="B60" s="23"/>
      <c r="U60" s="1"/>
      <c r="V60" s="1"/>
      <c r="W60" s="1"/>
      <c r="X60" s="1"/>
      <c r="Y60" s="1"/>
    </row>
    <row r="61" spans="1:25" s="3" customFormat="1" x14ac:dyDescent="0.25">
      <c r="A61" s="29"/>
      <c r="B61" s="23"/>
      <c r="D61" s="29"/>
      <c r="U61" s="1"/>
      <c r="V61" s="1"/>
      <c r="W61" s="1"/>
      <c r="X61" s="1"/>
      <c r="Y61" s="1"/>
    </row>
    <row r="62" spans="1:25" s="3" customFormat="1" x14ac:dyDescent="0.25">
      <c r="U62" s="1"/>
      <c r="V62" s="1"/>
      <c r="W62" s="1"/>
      <c r="X62" s="1"/>
      <c r="Y62" s="1"/>
    </row>
    <row r="63" spans="1:25" s="3" customFormat="1" x14ac:dyDescent="0.25">
      <c r="B63" s="23"/>
      <c r="U63" s="1"/>
      <c r="V63" s="1"/>
      <c r="W63" s="1"/>
      <c r="X63" s="1"/>
      <c r="Y63" s="1"/>
    </row>
    <row r="64" spans="1:25" s="3" customFormat="1" x14ac:dyDescent="0.25">
      <c r="B64" s="23"/>
      <c r="U64" s="1"/>
      <c r="V64" s="1"/>
      <c r="W64" s="1"/>
      <c r="X64" s="1"/>
      <c r="Y64" s="1"/>
    </row>
    <row r="65" spans="2:25" s="3" customFormat="1" x14ac:dyDescent="0.25">
      <c r="B65" s="23"/>
      <c r="U65" s="1"/>
      <c r="V65" s="1"/>
      <c r="W65" s="1"/>
      <c r="X65" s="1"/>
      <c r="Y65" s="1"/>
    </row>
    <row r="66" spans="2:25" s="3" customFormat="1" x14ac:dyDescent="0.25">
      <c r="B66" s="23"/>
      <c r="U66" s="1"/>
      <c r="V66" s="1"/>
      <c r="W66" s="1"/>
      <c r="X66" s="1"/>
      <c r="Y66" s="1"/>
    </row>
    <row r="67" spans="2:25" s="3" customFormat="1" x14ac:dyDescent="0.25">
      <c r="B67" s="23"/>
      <c r="U67" s="1"/>
      <c r="V67" s="1"/>
      <c r="W67" s="1"/>
      <c r="X67" s="1"/>
      <c r="Y67" s="1"/>
    </row>
    <row r="68" spans="2:25" s="3" customFormat="1" x14ac:dyDescent="0.25">
      <c r="B68" s="23"/>
      <c r="U68" s="1"/>
      <c r="V68" s="1"/>
      <c r="W68" s="1"/>
      <c r="X68" s="1"/>
      <c r="Y68" s="1"/>
    </row>
    <row r="69" spans="2:25" s="3" customFormat="1" x14ac:dyDescent="0.25">
      <c r="B69" s="23"/>
      <c r="U69" s="1"/>
      <c r="V69" s="1"/>
      <c r="W69" s="1"/>
      <c r="X69" s="1"/>
      <c r="Y69" s="1"/>
    </row>
    <row r="70" spans="2:25" s="3" customFormat="1" x14ac:dyDescent="0.25">
      <c r="B70" s="23"/>
      <c r="U70" s="1"/>
      <c r="V70" s="1"/>
      <c r="W70" s="1"/>
      <c r="X70" s="1"/>
      <c r="Y70" s="1"/>
    </row>
    <row r="71" spans="2:25" s="3" customFormat="1" x14ac:dyDescent="0.25">
      <c r="B71" s="23"/>
      <c r="U71" s="1"/>
      <c r="V71" s="1"/>
      <c r="W71" s="1"/>
      <c r="X71" s="1"/>
      <c r="Y71" s="1"/>
    </row>
    <row r="72" spans="2:25" s="3" customFormat="1" x14ac:dyDescent="0.25">
      <c r="B72" s="23"/>
      <c r="U72" s="1"/>
      <c r="V72" s="1"/>
      <c r="W72" s="1"/>
      <c r="X72" s="1"/>
      <c r="Y72" s="1"/>
    </row>
    <row r="73" spans="2:25" s="3" customFormat="1" x14ac:dyDescent="0.25">
      <c r="B73" s="23"/>
      <c r="U73" s="1"/>
      <c r="V73" s="1"/>
      <c r="W73" s="1"/>
      <c r="X73" s="1"/>
      <c r="Y73" s="1"/>
    </row>
    <row r="74" spans="2:25" s="3" customFormat="1" x14ac:dyDescent="0.25">
      <c r="B74" s="23"/>
      <c r="U74" s="1"/>
      <c r="V74" s="1"/>
      <c r="W74" s="1"/>
      <c r="X74" s="1"/>
      <c r="Y74" s="1"/>
    </row>
    <row r="75" spans="2:25" s="3" customFormat="1" x14ac:dyDescent="0.25">
      <c r="B75" s="23"/>
      <c r="U75" s="1"/>
      <c r="V75" s="1"/>
      <c r="W75" s="1"/>
      <c r="X75" s="1"/>
      <c r="Y75" s="1"/>
    </row>
    <row r="76" spans="2:25" s="3" customFormat="1" x14ac:dyDescent="0.25">
      <c r="B76" s="23"/>
      <c r="U76" s="1"/>
      <c r="V76" s="1"/>
      <c r="W76" s="1"/>
      <c r="X76" s="1"/>
      <c r="Y76" s="1"/>
    </row>
    <row r="77" spans="2:25" s="3" customFormat="1" x14ac:dyDescent="0.25">
      <c r="B77" s="23"/>
      <c r="U77" s="1"/>
      <c r="V77" s="1"/>
      <c r="W77" s="1"/>
      <c r="X77" s="1"/>
      <c r="Y77" s="1"/>
    </row>
    <row r="78" spans="2:25" s="3" customFormat="1" x14ac:dyDescent="0.25">
      <c r="B78" s="23"/>
      <c r="U78" s="1"/>
      <c r="V78" s="1"/>
      <c r="W78" s="1"/>
      <c r="X78" s="1"/>
      <c r="Y78" s="1"/>
    </row>
    <row r="79" spans="2:25" s="3" customFormat="1" x14ac:dyDescent="0.25">
      <c r="B79" s="23"/>
      <c r="U79" s="1"/>
      <c r="V79" s="1"/>
      <c r="W79" s="1"/>
      <c r="X79" s="1"/>
      <c r="Y79" s="1"/>
    </row>
    <row r="80" spans="2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2:25" s="3" customFormat="1" x14ac:dyDescent="0.25">
      <c r="B225" s="23"/>
      <c r="U225" s="1"/>
      <c r="V225" s="1"/>
      <c r="W225" s="1"/>
      <c r="X225" s="1"/>
      <c r="Y225" s="1"/>
    </row>
    <row r="226" spans="2:25" s="3" customFormat="1" x14ac:dyDescent="0.25">
      <c r="B226" s="23"/>
      <c r="U226" s="1"/>
      <c r="V226" s="1"/>
      <c r="W226" s="1"/>
      <c r="X226" s="1"/>
      <c r="Y226" s="1"/>
    </row>
    <row r="227" spans="2:25" s="3" customFormat="1" x14ac:dyDescent="0.25">
      <c r="B227" s="23"/>
      <c r="U227" s="1"/>
      <c r="V227" s="1"/>
      <c r="W227" s="1"/>
      <c r="X227" s="1"/>
      <c r="Y227" s="1"/>
    </row>
    <row r="228" spans="2:25" s="3" customFormat="1" x14ac:dyDescent="0.25">
      <c r="B228" s="23"/>
      <c r="U228" s="1"/>
      <c r="V228" s="1"/>
      <c r="W228" s="1"/>
      <c r="X228" s="1"/>
      <c r="Y228" s="1"/>
    </row>
    <row r="229" spans="2:25" s="3" customFormat="1" x14ac:dyDescent="0.25">
      <c r="B229" s="23"/>
      <c r="U229" s="1"/>
      <c r="V229" s="1"/>
      <c r="W229" s="1"/>
      <c r="X229" s="1"/>
      <c r="Y229" s="1"/>
    </row>
    <row r="230" spans="2:25" s="3" customFormat="1" x14ac:dyDescent="0.25">
      <c r="B230" s="23"/>
      <c r="U230" s="1"/>
      <c r="V230" s="1"/>
      <c r="W230" s="1"/>
      <c r="X230" s="1"/>
      <c r="Y230" s="1"/>
    </row>
    <row r="231" spans="2:25" s="3" customFormat="1" x14ac:dyDescent="0.25">
      <c r="B231" s="23"/>
      <c r="U231" s="1"/>
      <c r="V231" s="1"/>
      <c r="W231" s="1"/>
      <c r="X231" s="1"/>
      <c r="Y231" s="1"/>
    </row>
    <row r="232" spans="2:25" s="3" customFormat="1" x14ac:dyDescent="0.25">
      <c r="B232" s="23"/>
      <c r="U232" s="1"/>
      <c r="V232" s="1"/>
      <c r="W232" s="1"/>
      <c r="X232" s="1"/>
      <c r="Y232" s="1"/>
    </row>
    <row r="233" spans="2:25" s="3" customFormat="1" x14ac:dyDescent="0.25">
      <c r="B233" s="23"/>
      <c r="U233" s="1"/>
      <c r="V233" s="1"/>
      <c r="W233" s="1"/>
      <c r="X233" s="1"/>
      <c r="Y233" s="1"/>
    </row>
    <row r="234" spans="2:25" s="3" customFormat="1" x14ac:dyDescent="0.25">
      <c r="B234" s="23"/>
      <c r="U234" s="1"/>
      <c r="V234" s="1"/>
      <c r="W234" s="1"/>
      <c r="X234" s="1"/>
      <c r="Y234" s="1"/>
    </row>
    <row r="235" spans="2:25" s="3" customFormat="1" x14ac:dyDescent="0.25">
      <c r="B235" s="23"/>
      <c r="K235" s="6"/>
      <c r="L235" s="6"/>
      <c r="M235" s="6"/>
      <c r="N235" s="6"/>
      <c r="U235" s="1"/>
      <c r="V235" s="1"/>
      <c r="W235" s="1"/>
      <c r="X235" s="1"/>
      <c r="Y235" s="1"/>
    </row>
    <row r="236" spans="2:25" s="3" customFormat="1" x14ac:dyDescent="0.25">
      <c r="B236" s="23"/>
      <c r="K236" s="6"/>
      <c r="L236" s="6"/>
      <c r="M236" s="6"/>
      <c r="N236" s="6"/>
      <c r="U236" s="1"/>
      <c r="V236" s="1"/>
      <c r="W236" s="1"/>
      <c r="X236" s="1"/>
      <c r="Y236" s="1"/>
    </row>
    <row r="237" spans="2:25" s="3" customFormat="1" x14ac:dyDescent="0.25">
      <c r="B237" s="23"/>
      <c r="K237" s="6"/>
      <c r="L237" s="6"/>
      <c r="M237" s="6"/>
      <c r="N237" s="6"/>
      <c r="U237" s="1"/>
      <c r="V237" s="1"/>
      <c r="W237" s="1"/>
      <c r="X237" s="1"/>
      <c r="Y237" s="1"/>
    </row>
    <row r="238" spans="2:25" s="3" customFormat="1" x14ac:dyDescent="0.25">
      <c r="B238" s="23"/>
      <c r="J238" s="6"/>
      <c r="K238" s="6"/>
      <c r="L238" s="6"/>
      <c r="M238" s="6"/>
      <c r="N238" s="6"/>
      <c r="U238" s="1"/>
      <c r="V238" s="1"/>
      <c r="W238" s="1"/>
      <c r="X238" s="1"/>
      <c r="Y238" s="1"/>
    </row>
    <row r="239" spans="2:25" s="3" customFormat="1" x14ac:dyDescent="0.25">
      <c r="B239" s="23"/>
      <c r="J239" s="6"/>
      <c r="K239" s="6"/>
      <c r="L239" s="6"/>
      <c r="M239" s="6"/>
      <c r="N239" s="6"/>
      <c r="U239" s="1"/>
      <c r="V239" s="1"/>
      <c r="W239" s="1"/>
      <c r="X239" s="1"/>
      <c r="Y239" s="1"/>
    </row>
    <row r="240" spans="2:25" s="3" customFormat="1" x14ac:dyDescent="0.25">
      <c r="B240" s="23"/>
      <c r="J240" s="6"/>
      <c r="K240" s="6"/>
      <c r="L240" s="6"/>
      <c r="M240" s="6"/>
      <c r="N240" s="6"/>
      <c r="U240" s="1"/>
      <c r="V240" s="1"/>
      <c r="W240" s="1"/>
      <c r="X240" s="1"/>
      <c r="Y240" s="1"/>
    </row>
    <row r="241" spans="1:25" s="3" customFormat="1" x14ac:dyDescent="0.25">
      <c r="B241" s="23"/>
      <c r="J241" s="6"/>
      <c r="K241" s="6"/>
      <c r="L241" s="6"/>
      <c r="M241" s="6"/>
      <c r="N241" s="6"/>
      <c r="U241" s="1"/>
      <c r="V241" s="1"/>
      <c r="W241" s="1"/>
      <c r="X241" s="1"/>
      <c r="Y241" s="1"/>
    </row>
    <row r="242" spans="1:25" s="3" customFormat="1" x14ac:dyDescent="0.25">
      <c r="B242" s="23"/>
      <c r="J242" s="6"/>
      <c r="K242" s="6"/>
      <c r="L242" s="6"/>
      <c r="M242" s="6"/>
      <c r="N242" s="6"/>
      <c r="O242" s="6"/>
      <c r="U242" s="1"/>
      <c r="V242" s="1"/>
      <c r="W242" s="1"/>
      <c r="X242" s="1"/>
      <c r="Y242" s="1"/>
    </row>
    <row r="243" spans="1:25" s="3" customFormat="1" x14ac:dyDescent="0.25">
      <c r="B243" s="23"/>
      <c r="J243" s="6"/>
      <c r="K243" s="6"/>
      <c r="L243" s="6"/>
      <c r="M243" s="6"/>
      <c r="N243" s="6"/>
      <c r="O243" s="6"/>
      <c r="U243" s="1"/>
      <c r="V243" s="1"/>
      <c r="W243" s="1"/>
      <c r="X243" s="1"/>
      <c r="Y243" s="1"/>
    </row>
    <row r="244" spans="1:25" s="3" customFormat="1" x14ac:dyDescent="0.25">
      <c r="A244" s="6"/>
      <c r="B244" s="25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Q244" s="6"/>
      <c r="R244" s="6"/>
      <c r="S244" s="6"/>
      <c r="U244" s="1"/>
      <c r="V244" s="1"/>
      <c r="W244" s="1"/>
      <c r="X244" s="1"/>
      <c r="Y244" s="1"/>
    </row>
  </sheetData>
  <sheetProtection sheet="1" objects="1" scenarios="1"/>
  <mergeCells count="158">
    <mergeCell ref="M40:N40"/>
    <mergeCell ref="M41:N41"/>
    <mergeCell ref="M42:N42"/>
    <mergeCell ref="M43:N43"/>
    <mergeCell ref="M44:N44"/>
    <mergeCell ref="M17:N17"/>
    <mergeCell ref="M18:N18"/>
    <mergeCell ref="M19:N19"/>
    <mergeCell ref="M20:N20"/>
    <mergeCell ref="M21:N21"/>
    <mergeCell ref="M22:N22"/>
    <mergeCell ref="M23:N23"/>
    <mergeCell ref="D26:E26"/>
    <mergeCell ref="F26:G26"/>
    <mergeCell ref="H26:I26"/>
    <mergeCell ref="K26:L26"/>
    <mergeCell ref="M26:N26"/>
    <mergeCell ref="D25:E25"/>
    <mergeCell ref="F25:G25"/>
    <mergeCell ref="H25:I25"/>
    <mergeCell ref="D2:K4"/>
    <mergeCell ref="L2:N4"/>
    <mergeCell ref="K25:L25"/>
    <mergeCell ref="M25:N25"/>
    <mergeCell ref="C8:F8"/>
    <mergeCell ref="K8:N8"/>
    <mergeCell ref="C10:F10"/>
    <mergeCell ref="K10:N10"/>
    <mergeCell ref="C12:F12"/>
    <mergeCell ref="K12:L12"/>
    <mergeCell ref="A22:C22"/>
    <mergeCell ref="A23:C23"/>
    <mergeCell ref="A24:C24"/>
    <mergeCell ref="A25:C25"/>
    <mergeCell ref="A26:C26"/>
    <mergeCell ref="R3:T3"/>
    <mergeCell ref="B5:K5"/>
    <mergeCell ref="L5:N5"/>
    <mergeCell ref="R5:T5"/>
    <mergeCell ref="D24:E24"/>
    <mergeCell ref="F24:G24"/>
    <mergeCell ref="H24:I24"/>
    <mergeCell ref="K24:L24"/>
    <mergeCell ref="M24:N24"/>
    <mergeCell ref="K13:L13"/>
    <mergeCell ref="F15:N15"/>
    <mergeCell ref="A16:C16"/>
    <mergeCell ref="D16:E16"/>
    <mergeCell ref="F16:G16"/>
    <mergeCell ref="H16:I16"/>
    <mergeCell ref="K16:L16"/>
    <mergeCell ref="M16:N16"/>
    <mergeCell ref="A17:C17"/>
    <mergeCell ref="A18:C18"/>
    <mergeCell ref="A19:C19"/>
    <mergeCell ref="A20:C20"/>
    <mergeCell ref="A21:C21"/>
    <mergeCell ref="D28:E28"/>
    <mergeCell ref="F28:G28"/>
    <mergeCell ref="H28:I28"/>
    <mergeCell ref="K28:L28"/>
    <mergeCell ref="M28:N28"/>
    <mergeCell ref="D27:E27"/>
    <mergeCell ref="F27:G27"/>
    <mergeCell ref="H27:I27"/>
    <mergeCell ref="K27:L27"/>
    <mergeCell ref="M27:N27"/>
    <mergeCell ref="A29:C29"/>
    <mergeCell ref="A30:C30"/>
    <mergeCell ref="D32:E32"/>
    <mergeCell ref="F32:G32"/>
    <mergeCell ref="H32:I32"/>
    <mergeCell ref="K32:L32"/>
    <mergeCell ref="M32:N32"/>
    <mergeCell ref="D31:E31"/>
    <mergeCell ref="F31:G31"/>
    <mergeCell ref="H31:I31"/>
    <mergeCell ref="K31:L31"/>
    <mergeCell ref="M31:N31"/>
    <mergeCell ref="D30:E30"/>
    <mergeCell ref="F30:G30"/>
    <mergeCell ref="H30:I30"/>
    <mergeCell ref="K30:L30"/>
    <mergeCell ref="M30:N30"/>
    <mergeCell ref="D29:E29"/>
    <mergeCell ref="F29:G29"/>
    <mergeCell ref="H29:I29"/>
    <mergeCell ref="K29:L29"/>
    <mergeCell ref="M29:N29"/>
    <mergeCell ref="D33:E33"/>
    <mergeCell ref="F33:G33"/>
    <mergeCell ref="H33:I33"/>
    <mergeCell ref="K33:L33"/>
    <mergeCell ref="M33:N33"/>
    <mergeCell ref="A33:C33"/>
    <mergeCell ref="A34:C34"/>
    <mergeCell ref="A31:C31"/>
    <mergeCell ref="A32:C32"/>
    <mergeCell ref="D35:E35"/>
    <mergeCell ref="F35:G35"/>
    <mergeCell ref="H35:I35"/>
    <mergeCell ref="K35:L35"/>
    <mergeCell ref="M35:N35"/>
    <mergeCell ref="A35:C35"/>
    <mergeCell ref="A36:C36"/>
    <mergeCell ref="D34:E34"/>
    <mergeCell ref="F34:G34"/>
    <mergeCell ref="H34:I34"/>
    <mergeCell ref="K34:L34"/>
    <mergeCell ref="M34:N34"/>
    <mergeCell ref="D37:E37"/>
    <mergeCell ref="F37:G37"/>
    <mergeCell ref="H37:I37"/>
    <mergeCell ref="K37:L37"/>
    <mergeCell ref="A37:C37"/>
    <mergeCell ref="A38:C38"/>
    <mergeCell ref="A39:C39"/>
    <mergeCell ref="M37:N37"/>
    <mergeCell ref="D36:E36"/>
    <mergeCell ref="F36:G36"/>
    <mergeCell ref="H36:I36"/>
    <mergeCell ref="K36:L36"/>
    <mergeCell ref="M36:N36"/>
    <mergeCell ref="M38:N38"/>
    <mergeCell ref="M39:N39"/>
    <mergeCell ref="K41:L41"/>
    <mergeCell ref="A40:C40"/>
    <mergeCell ref="A41:C41"/>
    <mergeCell ref="A42:C42"/>
    <mergeCell ref="A43:C43"/>
    <mergeCell ref="D38:E38"/>
    <mergeCell ref="K38:L38"/>
    <mergeCell ref="D39:E39"/>
    <mergeCell ref="K39:L39"/>
    <mergeCell ref="A27:C27"/>
    <mergeCell ref="A28:C28"/>
    <mergeCell ref="D44:E44"/>
    <mergeCell ref="K44:L44"/>
    <mergeCell ref="B52:F57"/>
    <mergeCell ref="J52:N57"/>
    <mergeCell ref="A45:C45"/>
    <mergeCell ref="D45:E45"/>
    <mergeCell ref="F45:G45"/>
    <mergeCell ref="H45:I45"/>
    <mergeCell ref="K45:L45"/>
    <mergeCell ref="M45:N45"/>
    <mergeCell ref="D46:E46"/>
    <mergeCell ref="F46:G46"/>
    <mergeCell ref="H46:I46"/>
    <mergeCell ref="M46:N46"/>
    <mergeCell ref="A44:C44"/>
    <mergeCell ref="D42:E42"/>
    <mergeCell ref="K42:L42"/>
    <mergeCell ref="D43:E43"/>
    <mergeCell ref="K43:L43"/>
    <mergeCell ref="D40:E40"/>
    <mergeCell ref="K40:L40"/>
    <mergeCell ref="D41:E41"/>
  </mergeCells>
  <conditionalFormatting sqref="D24:D45">
    <cfRule type="expression" dxfId="87" priority="3">
      <formula>#REF!="Non"</formula>
    </cfRule>
    <cfRule type="expression" dxfId="86" priority="4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3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FDAF275-B5B4-4C9C-B7B6-C1D0CC061666}">
            <xm:f>'Niveau 2 Avril'!#REF!="Non"</xm:f>
            <x14:dxf>
              <fill>
                <patternFill>
                  <bgColor theme="1"/>
                </patternFill>
              </fill>
            </x14:dxf>
          </x14:cfRule>
          <x14:cfRule type="expression" priority="2" id="{8EB669C2-48DB-40DA-B59A-9247D6AC193F}">
            <xm:f>'Niveau 2 Avril'!#REF!="Oui"</xm:f>
            <x14:dxf>
              <fill>
                <patternFill>
                  <bgColor theme="1"/>
                </patternFill>
              </fill>
            </x14:dxf>
          </x14:cfRule>
          <xm:sqref>D17:D23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BD244"/>
  <sheetViews>
    <sheetView topLeftCell="A13" zoomScale="90" zoomScaleNormal="90" workbookViewId="0">
      <selection activeCell="T39" sqref="T39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1.5703125" style="6" customWidth="1"/>
    <col min="4" max="4" width="8.42578125" style="6" customWidth="1"/>
    <col min="5" max="5" width="6.42578125" style="6" customWidth="1"/>
    <col min="6" max="6" width="5.42578125" style="6" customWidth="1"/>
    <col min="7" max="7" width="8" style="6" customWidth="1"/>
    <col min="8" max="8" width="5.85546875" style="6" customWidth="1"/>
    <col min="9" max="9" width="10" style="6" customWidth="1"/>
    <col min="10" max="10" width="14.42578125" style="6" customWidth="1"/>
    <col min="11" max="12" width="8.140625" style="6" customWidth="1"/>
    <col min="13" max="13" width="8" style="6" customWidth="1"/>
    <col min="14" max="14" width="10.42578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69</v>
      </c>
      <c r="E2" s="195"/>
      <c r="F2" s="195"/>
      <c r="G2" s="195"/>
      <c r="H2" s="195"/>
      <c r="I2" s="195"/>
      <c r="J2" s="195"/>
      <c r="K2" s="195"/>
      <c r="L2" s="251">
        <f>'Niveau 1 Mai'!L2:N4</f>
        <v>45413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6"/>
      <c r="Q3" s="4"/>
      <c r="R3" s="220"/>
      <c r="S3" s="220"/>
      <c r="T3" s="220"/>
      <c r="U3" s="36"/>
      <c r="V3" s="36"/>
      <c r="W3" s="36"/>
      <c r="X3" s="36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6"/>
      <c r="Q4" s="4"/>
      <c r="R4" s="36"/>
      <c r="S4" s="36"/>
      <c r="T4" s="36"/>
      <c r="U4" s="36"/>
      <c r="V4" s="36"/>
      <c r="W4" s="36"/>
      <c r="X4" s="36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f>+'Niveau 1 Mai'!L5:N5</f>
        <v>45412</v>
      </c>
      <c r="M5" s="222"/>
      <c r="N5" s="222"/>
      <c r="O5" s="3"/>
      <c r="P5" s="36"/>
      <c r="Q5" s="5"/>
      <c r="R5" s="220"/>
      <c r="S5" s="220"/>
      <c r="T5" s="220"/>
      <c r="U5" s="36"/>
      <c r="V5" s="36"/>
      <c r="W5" s="36"/>
      <c r="X5" s="36"/>
      <c r="Y5" s="5"/>
    </row>
    <row r="6" spans="1:25" ht="19.5" customHeight="1" x14ac:dyDescent="0.35">
      <c r="A6" s="27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40"/>
      <c r="V6" s="40"/>
      <c r="W6" s="40"/>
      <c r="X6" s="40"/>
      <c r="Y6" s="5"/>
    </row>
    <row r="7" spans="1:25" ht="19.5" customHeight="1" thickBot="1" x14ac:dyDescent="0.4">
      <c r="A7" s="111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40"/>
      <c r="V7" s="40"/>
      <c r="W7" s="40"/>
      <c r="X7" s="40"/>
      <c r="Y7" s="5"/>
    </row>
    <row r="8" spans="1:25" ht="18" customHeight="1" thickBot="1" x14ac:dyDescent="0.3">
      <c r="A8" s="8" t="s">
        <v>2</v>
      </c>
      <c r="B8" s="24"/>
      <c r="C8" s="223"/>
      <c r="D8" s="224"/>
      <c r="E8" s="224"/>
      <c r="F8" s="225"/>
      <c r="G8" s="9"/>
      <c r="H8" s="8" t="s">
        <v>26</v>
      </c>
      <c r="I8" s="8"/>
      <c r="J8" s="8"/>
      <c r="K8" s="223"/>
      <c r="L8" s="224"/>
      <c r="M8" s="224"/>
      <c r="N8" s="225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223"/>
      <c r="D10" s="224"/>
      <c r="E10" s="224"/>
      <c r="F10" s="225"/>
      <c r="G10" s="9"/>
      <c r="H10" s="8" t="s">
        <v>25</v>
      </c>
      <c r="I10" s="8"/>
      <c r="J10" s="8"/>
      <c r="K10" s="223"/>
      <c r="L10" s="224"/>
      <c r="M10" s="224"/>
      <c r="N10" s="225"/>
      <c r="O10" s="26"/>
      <c r="P10" s="26"/>
      <c r="Q10" s="26"/>
      <c r="R10" s="26"/>
      <c r="S10" s="26"/>
      <c r="T10" s="26"/>
      <c r="U10" s="11"/>
    </row>
    <row r="11" spans="1:25" ht="18" customHeight="1" thickBot="1" x14ac:dyDescent="0.35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8" customHeight="1" thickBot="1" x14ac:dyDescent="0.35">
      <c r="A12" s="8" t="s">
        <v>49</v>
      </c>
      <c r="B12" s="24"/>
      <c r="C12" s="223" t="s">
        <v>50</v>
      </c>
      <c r="D12" s="224"/>
      <c r="E12" s="224"/>
      <c r="F12" s="225"/>
      <c r="G12" s="24"/>
      <c r="H12" s="8" t="s">
        <v>52</v>
      </c>
      <c r="I12" s="8"/>
      <c r="J12" s="24"/>
      <c r="K12" s="241"/>
      <c r="L12" s="242"/>
      <c r="M12" s="8" t="s">
        <v>59</v>
      </c>
      <c r="N12" s="24"/>
      <c r="O12" s="26"/>
      <c r="P12" s="26"/>
      <c r="Q12" s="26"/>
      <c r="R12" s="26"/>
      <c r="S12" s="26"/>
      <c r="T12" s="26"/>
      <c r="U12" s="11"/>
    </row>
    <row r="13" spans="1:25" ht="18" customHeight="1" thickBot="1" x14ac:dyDescent="0.35">
      <c r="A13" s="8"/>
      <c r="B13" s="24"/>
      <c r="C13" s="24"/>
      <c r="D13" s="24"/>
      <c r="E13" s="24"/>
      <c r="F13" s="24"/>
      <c r="G13" s="24"/>
      <c r="H13" s="8" t="s">
        <v>51</v>
      </c>
      <c r="I13" s="8"/>
      <c r="J13" s="24"/>
      <c r="K13" s="260"/>
      <c r="L13" s="261"/>
      <c r="M13" s="32" t="s">
        <v>60</v>
      </c>
      <c r="N13" s="24"/>
      <c r="O13" s="26"/>
      <c r="P13" s="26"/>
      <c r="Q13" s="26"/>
      <c r="R13" s="26"/>
      <c r="S13" s="26"/>
      <c r="T13" s="26"/>
      <c r="U13" s="11"/>
    </row>
    <row r="14" spans="1:25" ht="13.5" customHeight="1" thickBot="1" x14ac:dyDescent="0.35">
      <c r="A14" s="8" t="s">
        <v>70</v>
      </c>
      <c r="B14" s="24"/>
      <c r="C14" s="24"/>
      <c r="D14" s="24"/>
      <c r="E14" s="24"/>
      <c r="F14" s="24"/>
      <c r="G14" s="9"/>
      <c r="H14" s="8"/>
      <c r="I14" s="8"/>
      <c r="J14" s="8"/>
      <c r="K14" s="8"/>
      <c r="L14" s="8"/>
      <c r="M14" s="8"/>
      <c r="N14" s="8"/>
      <c r="O14" s="26"/>
      <c r="P14" s="26"/>
      <c r="Q14" s="26"/>
      <c r="R14" s="26"/>
      <c r="S14" s="26"/>
      <c r="T14" s="26"/>
      <c r="U14" s="11"/>
    </row>
    <row r="15" spans="1:25" ht="22.5" customHeight="1" thickBot="1" x14ac:dyDescent="0.35">
      <c r="A15" s="8"/>
      <c r="B15" s="24"/>
      <c r="C15" s="10"/>
      <c r="D15" s="10"/>
      <c r="E15" s="10"/>
      <c r="F15" s="262" t="s">
        <v>28</v>
      </c>
      <c r="G15" s="263"/>
      <c r="H15" s="263"/>
      <c r="I15" s="263"/>
      <c r="J15" s="263"/>
      <c r="K15" s="263"/>
      <c r="L15" s="263"/>
      <c r="M15" s="263"/>
      <c r="N15" s="264"/>
      <c r="O15" s="26"/>
      <c r="P15" s="26"/>
      <c r="Q15" s="26"/>
      <c r="R15" s="26"/>
      <c r="S15" s="26"/>
      <c r="T15" s="26"/>
      <c r="U15" s="11"/>
    </row>
    <row r="16" spans="1:25" s="19" customFormat="1" ht="54.75" customHeight="1" x14ac:dyDescent="0.25">
      <c r="A16" s="200" t="s">
        <v>1</v>
      </c>
      <c r="B16" s="201"/>
      <c r="C16" s="202"/>
      <c r="D16" s="203" t="s">
        <v>58</v>
      </c>
      <c r="E16" s="204"/>
      <c r="F16" s="265" t="s">
        <v>29</v>
      </c>
      <c r="G16" s="265"/>
      <c r="H16" s="266" t="s">
        <v>61</v>
      </c>
      <c r="I16" s="267"/>
      <c r="J16" s="37" t="s">
        <v>63</v>
      </c>
      <c r="K16" s="268" t="s">
        <v>64</v>
      </c>
      <c r="L16" s="269"/>
      <c r="M16" s="266" t="s">
        <v>30</v>
      </c>
      <c r="N16" s="267"/>
      <c r="O16" s="26"/>
      <c r="P16" s="26"/>
      <c r="Q16" s="26"/>
      <c r="R16" s="26"/>
      <c r="S16" s="26"/>
      <c r="T16" s="26"/>
      <c r="U16" s="20"/>
      <c r="V16" s="20"/>
      <c r="W16" s="20"/>
      <c r="X16" s="21"/>
    </row>
    <row r="17" spans="1:24" s="3" customFormat="1" x14ac:dyDescent="0.25">
      <c r="A17" s="191">
        <v>45383</v>
      </c>
      <c r="B17" s="192"/>
      <c r="C17" s="193"/>
      <c r="D17" s="243"/>
      <c r="E17" s="243"/>
      <c r="F17" s="101"/>
      <c r="G17" s="102"/>
      <c r="H17" s="103"/>
      <c r="I17" s="104"/>
      <c r="J17" s="122"/>
      <c r="K17" s="125"/>
      <c r="L17" s="100"/>
      <c r="M17" s="249">
        <f t="shared" ref="M17:M24" si="0">+K17-J17</f>
        <v>0</v>
      </c>
      <c r="N17" s="250"/>
      <c r="P17" s="12"/>
      <c r="Q17" s="15"/>
      <c r="R17" s="15"/>
      <c r="S17" s="15"/>
      <c r="T17" s="13"/>
      <c r="U17" s="13"/>
      <c r="V17" s="13"/>
      <c r="W17" s="13"/>
      <c r="X17" s="1"/>
    </row>
    <row r="18" spans="1:24" s="3" customFormat="1" x14ac:dyDescent="0.25">
      <c r="A18" s="191">
        <v>45384</v>
      </c>
      <c r="B18" s="192"/>
      <c r="C18" s="193"/>
      <c r="D18" s="243"/>
      <c r="E18" s="243"/>
      <c r="F18" s="101"/>
      <c r="G18" s="102"/>
      <c r="H18" s="103"/>
      <c r="I18" s="104"/>
      <c r="J18" s="122"/>
      <c r="K18" s="125"/>
      <c r="L18" s="100"/>
      <c r="M18" s="249">
        <f t="shared" si="0"/>
        <v>0</v>
      </c>
      <c r="N18" s="250"/>
      <c r="P18" s="12"/>
      <c r="Q18" s="15"/>
      <c r="R18" s="15"/>
      <c r="S18" s="15"/>
      <c r="T18" s="13"/>
      <c r="U18" s="13"/>
      <c r="V18" s="13"/>
      <c r="W18" s="13"/>
      <c r="X18" s="1"/>
    </row>
    <row r="19" spans="1:24" s="3" customFormat="1" x14ac:dyDescent="0.25">
      <c r="A19" s="191">
        <v>45385</v>
      </c>
      <c r="B19" s="192"/>
      <c r="C19" s="193"/>
      <c r="D19" s="243"/>
      <c r="E19" s="243"/>
      <c r="F19" s="101"/>
      <c r="G19" s="102"/>
      <c r="H19" s="103"/>
      <c r="I19" s="104"/>
      <c r="J19" s="122"/>
      <c r="K19" s="125"/>
      <c r="L19" s="100"/>
      <c r="M19" s="249">
        <f t="shared" si="0"/>
        <v>0</v>
      </c>
      <c r="N19" s="250"/>
      <c r="P19" s="12"/>
      <c r="Q19" s="15"/>
      <c r="R19" s="15"/>
      <c r="S19" s="15"/>
      <c r="T19" s="13"/>
      <c r="U19" s="13"/>
      <c r="V19" s="13"/>
      <c r="W19" s="13"/>
      <c r="X19" s="1"/>
    </row>
    <row r="20" spans="1:24" s="3" customFormat="1" x14ac:dyDescent="0.25">
      <c r="A20" s="191">
        <v>45386</v>
      </c>
      <c r="B20" s="192"/>
      <c r="C20" s="193"/>
      <c r="D20" s="243"/>
      <c r="E20" s="243"/>
      <c r="F20" s="101"/>
      <c r="G20" s="102"/>
      <c r="H20" s="103"/>
      <c r="I20" s="104"/>
      <c r="J20" s="122"/>
      <c r="K20" s="125"/>
      <c r="L20" s="100"/>
      <c r="M20" s="249">
        <f t="shared" si="0"/>
        <v>0</v>
      </c>
      <c r="N20" s="250"/>
      <c r="P20" s="12"/>
      <c r="Q20" s="15"/>
      <c r="R20" s="15"/>
      <c r="S20" s="15"/>
      <c r="T20" s="13"/>
      <c r="U20" s="13"/>
      <c r="V20" s="13"/>
      <c r="W20" s="13"/>
      <c r="X20" s="1"/>
    </row>
    <row r="21" spans="1:24" s="3" customFormat="1" x14ac:dyDescent="0.25">
      <c r="A21" s="191">
        <v>45387</v>
      </c>
      <c r="B21" s="192"/>
      <c r="C21" s="193"/>
      <c r="D21" s="243"/>
      <c r="E21" s="243"/>
      <c r="F21" s="101"/>
      <c r="G21" s="102"/>
      <c r="H21" s="103"/>
      <c r="I21" s="104"/>
      <c r="J21" s="122"/>
      <c r="K21" s="125"/>
      <c r="L21" s="100"/>
      <c r="M21" s="249">
        <f t="shared" si="0"/>
        <v>0</v>
      </c>
      <c r="N21" s="250"/>
      <c r="P21" s="12"/>
      <c r="Q21" s="15"/>
      <c r="R21" s="15"/>
      <c r="S21" s="15"/>
      <c r="T21" s="13"/>
      <c r="U21" s="13"/>
      <c r="V21" s="13"/>
      <c r="W21" s="13"/>
      <c r="X21" s="1"/>
    </row>
    <row r="22" spans="1:24" s="3" customFormat="1" x14ac:dyDescent="0.25">
      <c r="A22" s="191">
        <v>45388</v>
      </c>
      <c r="B22" s="192"/>
      <c r="C22" s="193"/>
      <c r="D22" s="243"/>
      <c r="E22" s="243"/>
      <c r="F22" s="101"/>
      <c r="G22" s="102"/>
      <c r="H22" s="103"/>
      <c r="I22" s="104"/>
      <c r="J22" s="122"/>
      <c r="K22" s="125"/>
      <c r="L22" s="100"/>
      <c r="M22" s="249">
        <f t="shared" si="0"/>
        <v>0</v>
      </c>
      <c r="N22" s="250"/>
      <c r="P22" s="12"/>
      <c r="Q22" s="15"/>
      <c r="R22" s="15"/>
      <c r="S22" s="15"/>
      <c r="T22" s="13"/>
      <c r="U22" s="13"/>
      <c r="V22" s="13"/>
      <c r="W22" s="13"/>
      <c r="X22" s="1"/>
    </row>
    <row r="23" spans="1:24" s="3" customFormat="1" x14ac:dyDescent="0.25">
      <c r="A23" s="191">
        <v>45389</v>
      </c>
      <c r="B23" s="192"/>
      <c r="C23" s="193"/>
      <c r="D23" s="243"/>
      <c r="E23" s="243"/>
      <c r="F23" s="101"/>
      <c r="G23" s="102"/>
      <c r="H23" s="103"/>
      <c r="I23" s="104"/>
      <c r="J23" s="122"/>
      <c r="K23" s="125"/>
      <c r="L23" s="100"/>
      <c r="M23" s="249">
        <f t="shared" si="0"/>
        <v>0</v>
      </c>
      <c r="N23" s="250"/>
      <c r="P23" s="12"/>
      <c r="Q23" s="15"/>
      <c r="R23" s="33"/>
      <c r="S23" s="15"/>
      <c r="T23" s="13"/>
      <c r="U23" s="13"/>
      <c r="V23" s="13"/>
      <c r="W23" s="13"/>
      <c r="X23" s="1"/>
    </row>
    <row r="24" spans="1:24" s="3" customFormat="1" ht="15.75" x14ac:dyDescent="0.25">
      <c r="A24" s="191">
        <v>45390</v>
      </c>
      <c r="B24" s="192"/>
      <c r="C24" s="193"/>
      <c r="D24" s="243"/>
      <c r="E24" s="243"/>
      <c r="F24" s="244"/>
      <c r="G24" s="245"/>
      <c r="H24" s="246"/>
      <c r="I24" s="247"/>
      <c r="J24" s="100"/>
      <c r="K24" s="248"/>
      <c r="L24" s="248"/>
      <c r="M24" s="249">
        <f t="shared" si="0"/>
        <v>0</v>
      </c>
      <c r="N24" s="250"/>
      <c r="O24" s="26"/>
      <c r="P24" s="26"/>
      <c r="Q24" s="26"/>
      <c r="R24" s="26"/>
      <c r="S24" s="26"/>
      <c r="T24" s="26"/>
      <c r="U24" s="13"/>
      <c r="V24" s="13"/>
      <c r="W24" s="13"/>
      <c r="X24" s="1"/>
    </row>
    <row r="25" spans="1:24" s="3" customFormat="1" ht="15.75" x14ac:dyDescent="0.25">
      <c r="A25" s="191">
        <v>45391</v>
      </c>
      <c r="B25" s="192"/>
      <c r="C25" s="193"/>
      <c r="D25" s="243"/>
      <c r="E25" s="243"/>
      <c r="F25" s="244"/>
      <c r="G25" s="245"/>
      <c r="H25" s="246"/>
      <c r="I25" s="247"/>
      <c r="J25" s="100"/>
      <c r="K25" s="248"/>
      <c r="L25" s="248"/>
      <c r="M25" s="249">
        <f t="shared" ref="M25" si="1">+K25-J25</f>
        <v>0</v>
      </c>
      <c r="N25" s="250"/>
      <c r="P25" s="26"/>
      <c r="Q25" s="26"/>
      <c r="R25" s="26"/>
      <c r="S25" s="26"/>
      <c r="T25" s="26"/>
      <c r="U25" s="13"/>
      <c r="V25" s="13"/>
      <c r="W25" s="13"/>
      <c r="X25" s="1"/>
    </row>
    <row r="26" spans="1:24" s="3" customFormat="1" ht="15.75" x14ac:dyDescent="0.25">
      <c r="A26" s="191">
        <v>45392</v>
      </c>
      <c r="B26" s="192"/>
      <c r="C26" s="193"/>
      <c r="D26" s="243"/>
      <c r="E26" s="243"/>
      <c r="F26" s="244"/>
      <c r="G26" s="245"/>
      <c r="H26" s="246"/>
      <c r="I26" s="247"/>
      <c r="J26" s="100"/>
      <c r="K26" s="248"/>
      <c r="L26" s="248"/>
      <c r="M26" s="249">
        <f t="shared" ref="M26:M44" si="2">+K26-J26</f>
        <v>0</v>
      </c>
      <c r="N26" s="250"/>
      <c r="P26" s="26"/>
      <c r="Q26" s="26"/>
      <c r="R26" s="26"/>
      <c r="S26" s="26"/>
      <c r="T26" s="26"/>
      <c r="U26" s="26"/>
      <c r="V26" s="13"/>
      <c r="W26" s="13"/>
      <c r="X26" s="1"/>
    </row>
    <row r="27" spans="1:24" s="3" customFormat="1" x14ac:dyDescent="0.25">
      <c r="A27" s="191">
        <v>45393</v>
      </c>
      <c r="B27" s="192"/>
      <c r="C27" s="193"/>
      <c r="D27" s="243"/>
      <c r="E27" s="243"/>
      <c r="F27" s="244"/>
      <c r="G27" s="245"/>
      <c r="H27" s="246"/>
      <c r="I27" s="247"/>
      <c r="J27" s="100"/>
      <c r="K27" s="248"/>
      <c r="L27" s="248"/>
      <c r="M27" s="249">
        <f t="shared" si="2"/>
        <v>0</v>
      </c>
      <c r="N27" s="250"/>
      <c r="P27" s="12"/>
      <c r="Q27" s="12"/>
      <c r="R27" s="12"/>
      <c r="S27" s="12"/>
      <c r="T27" s="13"/>
      <c r="U27" s="13"/>
      <c r="V27" s="13"/>
      <c r="W27" s="13"/>
      <c r="X27" s="1"/>
    </row>
    <row r="28" spans="1:24" s="3" customFormat="1" x14ac:dyDescent="0.25">
      <c r="A28" s="191">
        <v>45394</v>
      </c>
      <c r="B28" s="192"/>
      <c r="C28" s="193"/>
      <c r="D28" s="243"/>
      <c r="E28" s="243"/>
      <c r="F28" s="244"/>
      <c r="G28" s="245"/>
      <c r="H28" s="246"/>
      <c r="I28" s="247"/>
      <c r="J28" s="100"/>
      <c r="K28" s="248"/>
      <c r="L28" s="248"/>
      <c r="M28" s="249">
        <f t="shared" si="2"/>
        <v>0</v>
      </c>
      <c r="N28" s="250"/>
      <c r="P28" s="12"/>
      <c r="Q28" s="12"/>
      <c r="R28" s="12"/>
      <c r="S28" s="12"/>
      <c r="T28" s="13"/>
      <c r="U28" s="13"/>
      <c r="V28" s="13"/>
      <c r="W28" s="13"/>
      <c r="X28" s="1"/>
    </row>
    <row r="29" spans="1:24" s="3" customFormat="1" x14ac:dyDescent="0.25">
      <c r="A29" s="191">
        <v>45395</v>
      </c>
      <c r="B29" s="192"/>
      <c r="C29" s="193"/>
      <c r="D29" s="243"/>
      <c r="E29" s="243"/>
      <c r="F29" s="244"/>
      <c r="G29" s="245"/>
      <c r="H29" s="246"/>
      <c r="I29" s="247"/>
      <c r="J29" s="100"/>
      <c r="K29" s="248"/>
      <c r="L29" s="248"/>
      <c r="M29" s="249">
        <f t="shared" si="2"/>
        <v>0</v>
      </c>
      <c r="N29" s="250"/>
      <c r="P29" s="12"/>
      <c r="Q29" s="12"/>
      <c r="R29" s="12"/>
      <c r="S29" s="12"/>
      <c r="T29" s="13"/>
      <c r="U29" s="13"/>
      <c r="V29" s="13"/>
      <c r="W29" s="13"/>
      <c r="X29" s="1"/>
    </row>
    <row r="30" spans="1:24" s="3" customFormat="1" x14ac:dyDescent="0.25">
      <c r="A30" s="191">
        <v>45396</v>
      </c>
      <c r="B30" s="192"/>
      <c r="C30" s="193"/>
      <c r="D30" s="243"/>
      <c r="E30" s="243"/>
      <c r="F30" s="244"/>
      <c r="G30" s="245"/>
      <c r="H30" s="246"/>
      <c r="I30" s="247"/>
      <c r="J30" s="100"/>
      <c r="K30" s="248"/>
      <c r="L30" s="248"/>
      <c r="M30" s="249">
        <f t="shared" si="2"/>
        <v>0</v>
      </c>
      <c r="N30" s="250"/>
      <c r="P30" s="12"/>
      <c r="Q30" s="12"/>
      <c r="R30" s="12"/>
      <c r="S30" s="12"/>
      <c r="T30" s="13"/>
      <c r="U30" s="13"/>
      <c r="V30" s="13"/>
      <c r="W30" s="13"/>
      <c r="X30" s="1"/>
    </row>
    <row r="31" spans="1:24" s="3" customFormat="1" x14ac:dyDescent="0.25">
      <c r="A31" s="191">
        <v>45397</v>
      </c>
      <c r="B31" s="192"/>
      <c r="C31" s="193"/>
      <c r="D31" s="243"/>
      <c r="E31" s="243"/>
      <c r="F31" s="244"/>
      <c r="G31" s="245"/>
      <c r="H31" s="246"/>
      <c r="I31" s="247"/>
      <c r="J31" s="100"/>
      <c r="K31" s="248"/>
      <c r="L31" s="248"/>
      <c r="M31" s="249">
        <f t="shared" si="2"/>
        <v>0</v>
      </c>
      <c r="N31" s="250"/>
      <c r="P31" s="12"/>
      <c r="Q31" s="12"/>
      <c r="R31" s="12"/>
      <c r="S31" s="12"/>
      <c r="T31" s="13"/>
      <c r="U31" s="13"/>
      <c r="V31" s="13"/>
      <c r="W31" s="13"/>
      <c r="X31" s="1"/>
    </row>
    <row r="32" spans="1:24" s="3" customFormat="1" x14ac:dyDescent="0.25">
      <c r="A32" s="191">
        <v>45398</v>
      </c>
      <c r="B32" s="192"/>
      <c r="C32" s="193"/>
      <c r="D32" s="243"/>
      <c r="E32" s="243"/>
      <c r="F32" s="244"/>
      <c r="G32" s="245"/>
      <c r="H32" s="246"/>
      <c r="I32" s="247"/>
      <c r="J32" s="100"/>
      <c r="K32" s="248"/>
      <c r="L32" s="248"/>
      <c r="M32" s="249">
        <f t="shared" si="2"/>
        <v>0</v>
      </c>
      <c r="N32" s="250"/>
      <c r="P32" s="12"/>
      <c r="Q32" s="12"/>
      <c r="R32" s="12"/>
      <c r="S32" s="12"/>
      <c r="T32" s="13"/>
      <c r="U32" s="13"/>
      <c r="V32" s="13"/>
      <c r="W32" s="13"/>
      <c r="X32" s="1"/>
    </row>
    <row r="33" spans="1:25" s="3" customFormat="1" x14ac:dyDescent="0.25">
      <c r="A33" s="191">
        <v>45399</v>
      </c>
      <c r="B33" s="192"/>
      <c r="C33" s="193"/>
      <c r="D33" s="243"/>
      <c r="E33" s="243"/>
      <c r="F33" s="244"/>
      <c r="G33" s="245"/>
      <c r="H33" s="246"/>
      <c r="I33" s="247"/>
      <c r="J33" s="100"/>
      <c r="K33" s="248"/>
      <c r="L33" s="248"/>
      <c r="M33" s="249">
        <f t="shared" si="2"/>
        <v>0</v>
      </c>
      <c r="N33" s="250"/>
      <c r="P33" s="12"/>
      <c r="Q33" s="12"/>
      <c r="R33" s="12"/>
      <c r="S33" s="12"/>
      <c r="T33" s="13"/>
      <c r="U33" s="13"/>
      <c r="V33" s="13"/>
      <c r="W33" s="13"/>
      <c r="X33" s="1"/>
    </row>
    <row r="34" spans="1:25" s="3" customFormat="1" x14ac:dyDescent="0.25">
      <c r="A34" s="191">
        <v>45400</v>
      </c>
      <c r="B34" s="192"/>
      <c r="C34" s="193"/>
      <c r="D34" s="243"/>
      <c r="E34" s="243"/>
      <c r="F34" s="244"/>
      <c r="G34" s="245"/>
      <c r="H34" s="246"/>
      <c r="I34" s="247"/>
      <c r="J34" s="100"/>
      <c r="K34" s="248"/>
      <c r="L34" s="248"/>
      <c r="M34" s="249">
        <f t="shared" si="2"/>
        <v>0</v>
      </c>
      <c r="N34" s="250"/>
      <c r="P34" s="12"/>
      <c r="Q34" s="15"/>
      <c r="R34" s="15"/>
      <c r="S34" s="15"/>
      <c r="T34" s="13"/>
      <c r="U34" s="13"/>
      <c r="V34" s="13"/>
      <c r="W34" s="13"/>
      <c r="X34" s="1"/>
    </row>
    <row r="35" spans="1:25" s="3" customFormat="1" x14ac:dyDescent="0.25">
      <c r="A35" s="191">
        <v>45401</v>
      </c>
      <c r="B35" s="192"/>
      <c r="C35" s="193"/>
      <c r="D35" s="243"/>
      <c r="E35" s="243"/>
      <c r="F35" s="244"/>
      <c r="G35" s="245"/>
      <c r="H35" s="246"/>
      <c r="I35" s="247"/>
      <c r="J35" s="100"/>
      <c r="K35" s="248"/>
      <c r="L35" s="248"/>
      <c r="M35" s="249">
        <f t="shared" si="2"/>
        <v>0</v>
      </c>
      <c r="N35" s="250"/>
      <c r="P35" s="12"/>
      <c r="Q35" s="15"/>
      <c r="R35" s="15"/>
      <c r="S35" s="15"/>
      <c r="T35" s="13"/>
      <c r="U35" s="13"/>
      <c r="V35" s="13"/>
      <c r="W35" s="13"/>
      <c r="X35" s="1"/>
    </row>
    <row r="36" spans="1:25" s="3" customFormat="1" x14ac:dyDescent="0.25">
      <c r="A36" s="191">
        <v>45402</v>
      </c>
      <c r="B36" s="192"/>
      <c r="C36" s="193"/>
      <c r="D36" s="243"/>
      <c r="E36" s="243"/>
      <c r="F36" s="244"/>
      <c r="G36" s="245"/>
      <c r="H36" s="246"/>
      <c r="I36" s="247"/>
      <c r="J36" s="100"/>
      <c r="K36" s="248"/>
      <c r="L36" s="248"/>
      <c r="M36" s="249">
        <f t="shared" si="2"/>
        <v>0</v>
      </c>
      <c r="N36" s="250"/>
      <c r="P36" s="12"/>
      <c r="Q36" s="15"/>
      <c r="R36" s="15"/>
      <c r="S36" s="15"/>
      <c r="T36" s="13"/>
      <c r="U36" s="13"/>
      <c r="V36" s="13"/>
      <c r="W36" s="13"/>
      <c r="X36" s="1"/>
    </row>
    <row r="37" spans="1:25" s="3" customFormat="1" x14ac:dyDescent="0.25">
      <c r="A37" s="191">
        <v>45403</v>
      </c>
      <c r="B37" s="192"/>
      <c r="C37" s="193"/>
      <c r="D37" s="243"/>
      <c r="E37" s="243"/>
      <c r="F37" s="244"/>
      <c r="G37" s="245"/>
      <c r="H37" s="246"/>
      <c r="I37" s="247"/>
      <c r="J37" s="100"/>
      <c r="K37" s="248"/>
      <c r="L37" s="248"/>
      <c r="M37" s="249">
        <f t="shared" si="2"/>
        <v>0</v>
      </c>
      <c r="N37" s="250"/>
      <c r="O37" s="1"/>
      <c r="P37" s="12"/>
      <c r="Q37" s="15"/>
      <c r="R37" s="15"/>
      <c r="S37" s="15"/>
      <c r="T37" s="13"/>
      <c r="U37" s="13"/>
      <c r="V37" s="13"/>
      <c r="W37" s="13"/>
      <c r="X37" s="1"/>
    </row>
    <row r="38" spans="1:25" s="3" customFormat="1" x14ac:dyDescent="0.25">
      <c r="A38" s="191">
        <v>45404</v>
      </c>
      <c r="B38" s="192"/>
      <c r="C38" s="193"/>
      <c r="D38" s="270"/>
      <c r="E38" s="271"/>
      <c r="F38" s="101"/>
      <c r="G38" s="102"/>
      <c r="H38" s="103"/>
      <c r="I38" s="104"/>
      <c r="J38" s="100"/>
      <c r="K38" s="249"/>
      <c r="L38" s="250"/>
      <c r="M38" s="249">
        <f t="shared" si="2"/>
        <v>0</v>
      </c>
      <c r="N38" s="250"/>
      <c r="O38" s="1"/>
      <c r="P38" s="12"/>
      <c r="Q38" s="15"/>
      <c r="R38" s="15"/>
      <c r="S38" s="15"/>
      <c r="T38" s="13"/>
      <c r="U38" s="13"/>
      <c r="V38" s="13"/>
      <c r="W38" s="13"/>
      <c r="X38" s="1"/>
    </row>
    <row r="39" spans="1:25" s="3" customFormat="1" x14ac:dyDescent="0.25">
      <c r="A39" s="191">
        <v>45405</v>
      </c>
      <c r="B39" s="192"/>
      <c r="C39" s="193"/>
      <c r="D39" s="270"/>
      <c r="E39" s="271"/>
      <c r="F39" s="101"/>
      <c r="G39" s="102"/>
      <c r="H39" s="103"/>
      <c r="I39" s="104"/>
      <c r="J39" s="100"/>
      <c r="K39" s="249"/>
      <c r="L39" s="250"/>
      <c r="M39" s="249">
        <f t="shared" si="2"/>
        <v>0</v>
      </c>
      <c r="N39" s="250"/>
      <c r="O39" s="1"/>
      <c r="P39" s="12"/>
      <c r="Q39" s="15"/>
      <c r="R39" s="15"/>
      <c r="S39" s="15"/>
      <c r="T39" s="13"/>
      <c r="U39" s="13"/>
      <c r="V39" s="13"/>
      <c r="W39" s="13"/>
      <c r="X39" s="1"/>
    </row>
    <row r="40" spans="1:25" s="3" customFormat="1" x14ac:dyDescent="0.25">
      <c r="A40" s="191">
        <v>45406</v>
      </c>
      <c r="B40" s="192"/>
      <c r="C40" s="193"/>
      <c r="D40" s="270"/>
      <c r="E40" s="271"/>
      <c r="F40" s="101"/>
      <c r="G40" s="102"/>
      <c r="H40" s="103"/>
      <c r="I40" s="104"/>
      <c r="J40" s="100"/>
      <c r="K40" s="249"/>
      <c r="L40" s="250"/>
      <c r="M40" s="249">
        <f t="shared" si="2"/>
        <v>0</v>
      </c>
      <c r="N40" s="250"/>
      <c r="O40" s="1"/>
      <c r="P40" s="12"/>
      <c r="Q40" s="15"/>
      <c r="R40" s="15"/>
      <c r="S40" s="15"/>
      <c r="T40" s="13"/>
      <c r="U40" s="13"/>
      <c r="V40" s="13"/>
      <c r="W40" s="13"/>
      <c r="X40" s="1"/>
    </row>
    <row r="41" spans="1:25" s="3" customFormat="1" x14ac:dyDescent="0.25">
      <c r="A41" s="191">
        <v>45407</v>
      </c>
      <c r="B41" s="192"/>
      <c r="C41" s="193"/>
      <c r="D41" s="270"/>
      <c r="E41" s="271"/>
      <c r="F41" s="101"/>
      <c r="G41" s="102"/>
      <c r="H41" s="103"/>
      <c r="I41" s="104"/>
      <c r="J41" s="100"/>
      <c r="K41" s="249"/>
      <c r="L41" s="250"/>
      <c r="M41" s="249">
        <f t="shared" si="2"/>
        <v>0</v>
      </c>
      <c r="N41" s="250"/>
      <c r="O41" s="1"/>
      <c r="P41" s="12"/>
      <c r="Q41" s="15"/>
      <c r="R41" s="15"/>
      <c r="S41" s="15"/>
      <c r="T41" s="13"/>
      <c r="U41" s="13"/>
      <c r="V41" s="13"/>
      <c r="W41" s="13"/>
      <c r="X41" s="1"/>
    </row>
    <row r="42" spans="1:25" s="3" customFormat="1" x14ac:dyDescent="0.25">
      <c r="A42" s="191">
        <v>45408</v>
      </c>
      <c r="B42" s="192"/>
      <c r="C42" s="193"/>
      <c r="D42" s="270"/>
      <c r="E42" s="271"/>
      <c r="F42" s="101"/>
      <c r="G42" s="102"/>
      <c r="H42" s="103"/>
      <c r="I42" s="104"/>
      <c r="J42" s="100"/>
      <c r="K42" s="249"/>
      <c r="L42" s="250"/>
      <c r="M42" s="249">
        <f t="shared" si="2"/>
        <v>0</v>
      </c>
      <c r="N42" s="250"/>
      <c r="O42" s="1"/>
      <c r="P42" s="12"/>
      <c r="Q42" s="15"/>
      <c r="R42" s="15"/>
      <c r="S42" s="15"/>
      <c r="T42" s="13"/>
      <c r="U42" s="13"/>
      <c r="V42" s="13"/>
      <c r="W42" s="13"/>
      <c r="X42" s="1"/>
    </row>
    <row r="43" spans="1:25" s="3" customFormat="1" x14ac:dyDescent="0.25">
      <c r="A43" s="191">
        <v>45409</v>
      </c>
      <c r="B43" s="192"/>
      <c r="C43" s="193"/>
      <c r="D43" s="270"/>
      <c r="E43" s="271"/>
      <c r="F43" s="101"/>
      <c r="G43" s="102"/>
      <c r="H43" s="103"/>
      <c r="I43" s="104"/>
      <c r="J43" s="100"/>
      <c r="K43" s="249"/>
      <c r="L43" s="250"/>
      <c r="M43" s="249">
        <f t="shared" si="2"/>
        <v>0</v>
      </c>
      <c r="N43" s="250"/>
      <c r="O43" s="1"/>
      <c r="P43" s="12"/>
      <c r="Q43" s="15"/>
      <c r="R43" s="15"/>
      <c r="S43" s="15"/>
      <c r="T43" s="13"/>
      <c r="U43" s="13"/>
      <c r="V43" s="13"/>
      <c r="W43" s="13"/>
      <c r="X43" s="1"/>
    </row>
    <row r="44" spans="1:25" s="3" customFormat="1" x14ac:dyDescent="0.25">
      <c r="A44" s="191">
        <v>45410</v>
      </c>
      <c r="B44" s="192"/>
      <c r="C44" s="193"/>
      <c r="D44" s="270"/>
      <c r="E44" s="271"/>
      <c r="F44" s="101"/>
      <c r="G44" s="102"/>
      <c r="H44" s="103"/>
      <c r="I44" s="104"/>
      <c r="J44" s="100"/>
      <c r="K44" s="249"/>
      <c r="L44" s="250"/>
      <c r="M44" s="249">
        <f t="shared" si="2"/>
        <v>0</v>
      </c>
      <c r="N44" s="250"/>
      <c r="O44" s="1"/>
      <c r="P44" s="12"/>
      <c r="Q44" s="15"/>
      <c r="R44" s="15"/>
      <c r="S44" s="15"/>
      <c r="T44" s="13"/>
      <c r="U44" s="13"/>
      <c r="V44" s="13"/>
      <c r="W44" s="13"/>
      <c r="X44" s="1"/>
    </row>
    <row r="45" spans="1:25" s="3" customFormat="1" ht="15.75" x14ac:dyDescent="0.25">
      <c r="A45" s="231" t="s">
        <v>21</v>
      </c>
      <c r="B45" s="232"/>
      <c r="C45" s="233"/>
      <c r="D45" s="278">
        <f>+COUNTA(D17:E44)</f>
        <v>0</v>
      </c>
      <c r="E45" s="279"/>
      <c r="F45" s="280">
        <f>+COUNTA(F17:G44)</f>
        <v>0</v>
      </c>
      <c r="G45" s="281"/>
      <c r="H45" s="282">
        <f>SUM(H17:I44)</f>
        <v>0</v>
      </c>
      <c r="I45" s="282"/>
      <c r="J45" s="107"/>
      <c r="K45" s="283"/>
      <c r="L45" s="283"/>
      <c r="M45" s="284">
        <f>+SUM(M17:O44)</f>
        <v>0</v>
      </c>
      <c r="N45" s="285"/>
      <c r="P45" s="12"/>
      <c r="Q45" s="12"/>
      <c r="R45" s="12"/>
      <c r="S45" s="12"/>
      <c r="T45" s="13"/>
      <c r="U45" s="13"/>
      <c r="V45" s="13"/>
      <c r="W45" s="13"/>
      <c r="X45" s="1"/>
    </row>
    <row r="46" spans="1:25" s="3" customFormat="1" x14ac:dyDescent="0.25">
      <c r="A46" s="12"/>
      <c r="B46" s="12"/>
      <c r="C46" s="12"/>
      <c r="D46" s="272" t="s">
        <v>65</v>
      </c>
      <c r="E46" s="273"/>
      <c r="F46" s="274" t="s">
        <v>24</v>
      </c>
      <c r="G46" s="274"/>
      <c r="H46" s="275" t="s">
        <v>62</v>
      </c>
      <c r="I46" s="275"/>
      <c r="K46" s="12"/>
      <c r="L46" s="12"/>
      <c r="M46" s="276" t="s">
        <v>66</v>
      </c>
      <c r="N46" s="277"/>
      <c r="O46" s="12"/>
      <c r="P46" s="12"/>
      <c r="Q46" s="12"/>
      <c r="R46" s="12"/>
      <c r="S46" s="12"/>
      <c r="T46" s="13"/>
      <c r="U46" s="13"/>
      <c r="V46" s="13"/>
      <c r="W46" s="13"/>
      <c r="X46" s="1"/>
    </row>
    <row r="47" spans="1:25" s="3" customFormat="1" x14ac:dyDescent="0.25">
      <c r="K47" s="12"/>
      <c r="L47" s="12"/>
      <c r="M47" s="12"/>
      <c r="N47" s="12"/>
      <c r="O47" s="12"/>
      <c r="P47" s="12"/>
      <c r="U47" s="1"/>
      <c r="V47" s="1"/>
      <c r="W47" s="1"/>
      <c r="X47" s="1"/>
      <c r="Y47" s="1"/>
    </row>
    <row r="48" spans="1:25" s="3" customFormat="1" x14ac:dyDescent="0.25">
      <c r="A48" s="28" t="s">
        <v>23</v>
      </c>
      <c r="J48" s="28" t="s">
        <v>27</v>
      </c>
      <c r="N48" s="39"/>
      <c r="P48" s="12"/>
      <c r="U48" s="1"/>
      <c r="V48" s="1"/>
      <c r="W48" s="1"/>
      <c r="X48" s="1"/>
      <c r="Y48" s="1"/>
    </row>
    <row r="49" spans="1:25" s="3" customFormat="1" x14ac:dyDescent="0.25">
      <c r="J49" s="28" t="s">
        <v>31</v>
      </c>
      <c r="N49" s="39"/>
      <c r="P49" s="12"/>
      <c r="U49" s="1"/>
      <c r="V49" s="1"/>
      <c r="W49" s="1"/>
      <c r="X49" s="1"/>
      <c r="Y49" s="1"/>
    </row>
    <row r="50" spans="1:25" s="3" customFormat="1" x14ac:dyDescent="0.25">
      <c r="A50" s="29" t="s">
        <v>20</v>
      </c>
      <c r="B50" s="30"/>
      <c r="C50" s="29"/>
      <c r="D50" s="29"/>
      <c r="E50" s="16"/>
      <c r="H50" s="18"/>
      <c r="P50" s="12"/>
      <c r="U50" s="1"/>
      <c r="V50" s="1"/>
      <c r="W50" s="1"/>
      <c r="X50" s="1"/>
      <c r="Y50" s="1"/>
    </row>
    <row r="51" spans="1:25" s="3" customFormat="1" x14ac:dyDescent="0.25">
      <c r="A51" s="29" t="s">
        <v>7</v>
      </c>
      <c r="B51" s="30"/>
      <c r="C51" s="31">
        <f ca="1">TODAY()</f>
        <v>45320</v>
      </c>
      <c r="D51" s="29"/>
      <c r="E51" s="16"/>
      <c r="J51" s="28" t="s">
        <v>22</v>
      </c>
      <c r="P51" s="12"/>
      <c r="U51" s="1"/>
      <c r="V51" s="1"/>
      <c r="W51" s="1"/>
      <c r="X51" s="1"/>
      <c r="Y51" s="1"/>
    </row>
    <row r="52" spans="1:25" s="3" customFormat="1" x14ac:dyDescent="0.25">
      <c r="A52" s="28"/>
      <c r="B52" s="240" t="s">
        <v>47</v>
      </c>
      <c r="C52" s="240"/>
      <c r="D52" s="240"/>
      <c r="E52" s="240"/>
      <c r="F52" s="240"/>
      <c r="J52" s="240" t="s">
        <v>48</v>
      </c>
      <c r="K52" s="240"/>
      <c r="L52" s="240"/>
      <c r="M52" s="240"/>
      <c r="N52" s="240"/>
      <c r="U52" s="1"/>
      <c r="V52" s="1"/>
      <c r="W52" s="1"/>
      <c r="X52" s="1"/>
      <c r="Y52" s="1"/>
    </row>
    <row r="53" spans="1:25" s="3" customFormat="1" x14ac:dyDescent="0.25">
      <c r="B53" s="240"/>
      <c r="C53" s="240"/>
      <c r="D53" s="240"/>
      <c r="E53" s="240"/>
      <c r="F53" s="240"/>
      <c r="J53" s="240"/>
      <c r="K53" s="240"/>
      <c r="L53" s="240"/>
      <c r="M53" s="240"/>
      <c r="N53" s="240"/>
      <c r="U53" s="1"/>
      <c r="V53" s="1"/>
      <c r="W53" s="1"/>
      <c r="X53" s="1"/>
      <c r="Y53" s="1"/>
    </row>
    <row r="54" spans="1:25" s="3" customFormat="1" x14ac:dyDescent="0.25">
      <c r="B54" s="240"/>
      <c r="C54" s="240"/>
      <c r="D54" s="240"/>
      <c r="E54" s="240"/>
      <c r="F54" s="240"/>
      <c r="J54" s="240"/>
      <c r="K54" s="240"/>
      <c r="L54" s="240"/>
      <c r="M54" s="240"/>
      <c r="N54" s="240"/>
      <c r="U54" s="1"/>
      <c r="V54" s="1"/>
      <c r="W54" s="1"/>
      <c r="X54" s="1"/>
      <c r="Y54" s="1"/>
    </row>
    <row r="55" spans="1:25" s="3" customFormat="1" x14ac:dyDescent="0.25">
      <c r="B55" s="240"/>
      <c r="C55" s="240"/>
      <c r="D55" s="240"/>
      <c r="E55" s="240"/>
      <c r="F55" s="240"/>
      <c r="J55" s="240"/>
      <c r="K55" s="240"/>
      <c r="L55" s="240"/>
      <c r="M55" s="240"/>
      <c r="N55" s="240"/>
      <c r="U55" s="1"/>
      <c r="V55" s="1"/>
      <c r="W55" s="1"/>
      <c r="X55" s="1"/>
      <c r="Y55" s="1"/>
    </row>
    <row r="56" spans="1:25" s="3" customFormat="1" x14ac:dyDescent="0.25">
      <c r="B56" s="240"/>
      <c r="C56" s="240"/>
      <c r="D56" s="240"/>
      <c r="E56" s="240"/>
      <c r="F56" s="240"/>
      <c r="J56" s="240"/>
      <c r="K56" s="240"/>
      <c r="L56" s="240"/>
      <c r="M56" s="240"/>
      <c r="N56" s="240"/>
      <c r="U56" s="1"/>
      <c r="V56" s="1"/>
      <c r="W56" s="1"/>
      <c r="X56" s="1"/>
      <c r="Y56" s="1"/>
    </row>
    <row r="57" spans="1:25" s="3" customFormat="1" x14ac:dyDescent="0.25">
      <c r="B57" s="240"/>
      <c r="C57" s="240"/>
      <c r="D57" s="240"/>
      <c r="E57" s="240"/>
      <c r="F57" s="240"/>
      <c r="J57" s="240"/>
      <c r="K57" s="240"/>
      <c r="L57" s="240"/>
      <c r="M57" s="240"/>
      <c r="N57" s="240"/>
      <c r="U57" s="1"/>
      <c r="V57" s="1"/>
      <c r="W57" s="1"/>
      <c r="X57" s="1"/>
      <c r="Y57" s="1"/>
    </row>
    <row r="58" spans="1:25" s="3" customFormat="1" x14ac:dyDescent="0.25">
      <c r="A58" s="3" t="s">
        <v>46</v>
      </c>
      <c r="B58" s="23"/>
      <c r="J58" s="3" t="s">
        <v>39</v>
      </c>
      <c r="U58" s="1"/>
      <c r="V58" s="1"/>
      <c r="W58" s="1"/>
      <c r="X58" s="1"/>
      <c r="Y58" s="1"/>
    </row>
    <row r="59" spans="1:25" s="3" customFormat="1" x14ac:dyDescent="0.25">
      <c r="B59" s="23"/>
      <c r="U59" s="1"/>
      <c r="V59" s="1"/>
      <c r="W59" s="1"/>
      <c r="X59" s="1"/>
      <c r="Y59" s="1"/>
    </row>
    <row r="60" spans="1:25" s="3" customFormat="1" x14ac:dyDescent="0.25">
      <c r="B60" s="23"/>
      <c r="U60" s="1"/>
      <c r="V60" s="1"/>
      <c r="W60" s="1"/>
      <c r="X60" s="1"/>
      <c r="Y60" s="1"/>
    </row>
    <row r="61" spans="1:25" s="3" customFormat="1" x14ac:dyDescent="0.25">
      <c r="A61" s="29"/>
      <c r="B61" s="23"/>
      <c r="D61" s="29"/>
      <c r="U61" s="1"/>
      <c r="V61" s="1"/>
      <c r="W61" s="1"/>
      <c r="X61" s="1"/>
      <c r="Y61" s="1"/>
    </row>
    <row r="62" spans="1:25" s="3" customFormat="1" x14ac:dyDescent="0.25">
      <c r="U62" s="1"/>
      <c r="V62" s="1"/>
      <c r="W62" s="1"/>
      <c r="X62" s="1"/>
      <c r="Y62" s="1"/>
    </row>
    <row r="63" spans="1:25" s="3" customFormat="1" x14ac:dyDescent="0.25">
      <c r="B63" s="23"/>
      <c r="U63" s="1"/>
      <c r="V63" s="1"/>
      <c r="W63" s="1"/>
      <c r="X63" s="1"/>
      <c r="Y63" s="1"/>
    </row>
    <row r="64" spans="1:25" s="3" customFormat="1" x14ac:dyDescent="0.25">
      <c r="B64" s="23"/>
      <c r="U64" s="1"/>
      <c r="V64" s="1"/>
      <c r="W64" s="1"/>
      <c r="X64" s="1"/>
      <c r="Y64" s="1"/>
    </row>
    <row r="65" spans="2:25" s="3" customFormat="1" x14ac:dyDescent="0.25">
      <c r="B65" s="23"/>
      <c r="U65" s="1"/>
      <c r="V65" s="1"/>
      <c r="W65" s="1"/>
      <c r="X65" s="1"/>
      <c r="Y65" s="1"/>
    </row>
    <row r="66" spans="2:25" s="3" customFormat="1" x14ac:dyDescent="0.25">
      <c r="B66" s="23"/>
      <c r="U66" s="1"/>
      <c r="V66" s="1"/>
      <c r="W66" s="1"/>
      <c r="X66" s="1"/>
      <c r="Y66" s="1"/>
    </row>
    <row r="67" spans="2:25" s="3" customFormat="1" x14ac:dyDescent="0.25">
      <c r="B67" s="23"/>
      <c r="U67" s="1"/>
      <c r="V67" s="1"/>
      <c r="W67" s="1"/>
      <c r="X67" s="1"/>
      <c r="Y67" s="1"/>
    </row>
    <row r="68" spans="2:25" s="3" customFormat="1" x14ac:dyDescent="0.25">
      <c r="B68" s="23"/>
      <c r="U68" s="1"/>
      <c r="V68" s="1"/>
      <c r="W68" s="1"/>
      <c r="X68" s="1"/>
      <c r="Y68" s="1"/>
    </row>
    <row r="69" spans="2:25" s="3" customFormat="1" x14ac:dyDescent="0.25">
      <c r="B69" s="23"/>
      <c r="U69" s="1"/>
      <c r="V69" s="1"/>
      <c r="W69" s="1"/>
      <c r="X69" s="1"/>
      <c r="Y69" s="1"/>
    </row>
    <row r="70" spans="2:25" s="3" customFormat="1" x14ac:dyDescent="0.25">
      <c r="B70" s="23"/>
      <c r="U70" s="1"/>
      <c r="V70" s="1"/>
      <c r="W70" s="1"/>
      <c r="X70" s="1"/>
      <c r="Y70" s="1"/>
    </row>
    <row r="71" spans="2:25" s="3" customFormat="1" x14ac:dyDescent="0.25">
      <c r="B71" s="23"/>
      <c r="U71" s="1"/>
      <c r="V71" s="1"/>
      <c r="W71" s="1"/>
      <c r="X71" s="1"/>
      <c r="Y71" s="1"/>
    </row>
    <row r="72" spans="2:25" s="3" customFormat="1" x14ac:dyDescent="0.25">
      <c r="B72" s="23"/>
      <c r="U72" s="1"/>
      <c r="V72" s="1"/>
      <c r="W72" s="1"/>
      <c r="X72" s="1"/>
      <c r="Y72" s="1"/>
    </row>
    <row r="73" spans="2:25" s="3" customFormat="1" x14ac:dyDescent="0.25">
      <c r="B73" s="23"/>
      <c r="U73" s="1"/>
      <c r="V73" s="1"/>
      <c r="W73" s="1"/>
      <c r="X73" s="1"/>
      <c r="Y73" s="1"/>
    </row>
    <row r="74" spans="2:25" s="3" customFormat="1" x14ac:dyDescent="0.25">
      <c r="B74" s="23"/>
      <c r="U74" s="1"/>
      <c r="V74" s="1"/>
      <c r="W74" s="1"/>
      <c r="X74" s="1"/>
      <c r="Y74" s="1"/>
    </row>
    <row r="75" spans="2:25" s="3" customFormat="1" x14ac:dyDescent="0.25">
      <c r="B75" s="23"/>
      <c r="U75" s="1"/>
      <c r="V75" s="1"/>
      <c r="W75" s="1"/>
      <c r="X75" s="1"/>
      <c r="Y75" s="1"/>
    </row>
    <row r="76" spans="2:25" s="3" customFormat="1" x14ac:dyDescent="0.25">
      <c r="B76" s="23"/>
      <c r="U76" s="1"/>
      <c r="V76" s="1"/>
      <c r="W76" s="1"/>
      <c r="X76" s="1"/>
      <c r="Y76" s="1"/>
    </row>
    <row r="77" spans="2:25" s="3" customFormat="1" x14ac:dyDescent="0.25">
      <c r="B77" s="23"/>
      <c r="U77" s="1"/>
      <c r="V77" s="1"/>
      <c r="W77" s="1"/>
      <c r="X77" s="1"/>
      <c r="Y77" s="1"/>
    </row>
    <row r="78" spans="2:25" s="3" customFormat="1" x14ac:dyDescent="0.25">
      <c r="B78" s="23"/>
      <c r="U78" s="1"/>
      <c r="V78" s="1"/>
      <c r="W78" s="1"/>
      <c r="X78" s="1"/>
      <c r="Y78" s="1"/>
    </row>
    <row r="79" spans="2:25" s="3" customFormat="1" x14ac:dyDescent="0.25">
      <c r="B79" s="23"/>
      <c r="U79" s="1"/>
      <c r="V79" s="1"/>
      <c r="W79" s="1"/>
      <c r="X79" s="1"/>
      <c r="Y79" s="1"/>
    </row>
    <row r="80" spans="2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2:25" s="3" customFormat="1" x14ac:dyDescent="0.25">
      <c r="B225" s="23"/>
      <c r="U225" s="1"/>
      <c r="V225" s="1"/>
      <c r="W225" s="1"/>
      <c r="X225" s="1"/>
      <c r="Y225" s="1"/>
    </row>
    <row r="226" spans="2:25" s="3" customFormat="1" x14ac:dyDescent="0.25">
      <c r="B226" s="23"/>
      <c r="U226" s="1"/>
      <c r="V226" s="1"/>
      <c r="W226" s="1"/>
      <c r="X226" s="1"/>
      <c r="Y226" s="1"/>
    </row>
    <row r="227" spans="2:25" s="3" customFormat="1" x14ac:dyDescent="0.25">
      <c r="B227" s="23"/>
      <c r="U227" s="1"/>
      <c r="V227" s="1"/>
      <c r="W227" s="1"/>
      <c r="X227" s="1"/>
      <c r="Y227" s="1"/>
    </row>
    <row r="228" spans="2:25" s="3" customFormat="1" x14ac:dyDescent="0.25">
      <c r="B228" s="23"/>
      <c r="U228" s="1"/>
      <c r="V228" s="1"/>
      <c r="W228" s="1"/>
      <c r="X228" s="1"/>
      <c r="Y228" s="1"/>
    </row>
    <row r="229" spans="2:25" s="3" customFormat="1" x14ac:dyDescent="0.25">
      <c r="B229" s="23"/>
      <c r="U229" s="1"/>
      <c r="V229" s="1"/>
      <c r="W229" s="1"/>
      <c r="X229" s="1"/>
      <c r="Y229" s="1"/>
    </row>
    <row r="230" spans="2:25" s="3" customFormat="1" x14ac:dyDescent="0.25">
      <c r="B230" s="23"/>
      <c r="U230" s="1"/>
      <c r="V230" s="1"/>
      <c r="W230" s="1"/>
      <c r="X230" s="1"/>
      <c r="Y230" s="1"/>
    </row>
    <row r="231" spans="2:25" s="3" customFormat="1" x14ac:dyDescent="0.25">
      <c r="B231" s="23"/>
      <c r="U231" s="1"/>
      <c r="V231" s="1"/>
      <c r="W231" s="1"/>
      <c r="X231" s="1"/>
      <c r="Y231" s="1"/>
    </row>
    <row r="232" spans="2:25" s="3" customFormat="1" x14ac:dyDescent="0.25">
      <c r="B232" s="23"/>
      <c r="U232" s="1"/>
      <c r="V232" s="1"/>
      <c r="W232" s="1"/>
      <c r="X232" s="1"/>
      <c r="Y232" s="1"/>
    </row>
    <row r="233" spans="2:25" s="3" customFormat="1" x14ac:dyDescent="0.25">
      <c r="B233" s="23"/>
      <c r="U233" s="1"/>
      <c r="V233" s="1"/>
      <c r="W233" s="1"/>
      <c r="X233" s="1"/>
      <c r="Y233" s="1"/>
    </row>
    <row r="234" spans="2:25" s="3" customFormat="1" x14ac:dyDescent="0.25">
      <c r="B234" s="23"/>
      <c r="U234" s="1"/>
      <c r="V234" s="1"/>
      <c r="W234" s="1"/>
      <c r="X234" s="1"/>
      <c r="Y234" s="1"/>
    </row>
    <row r="235" spans="2:25" s="3" customFormat="1" x14ac:dyDescent="0.25">
      <c r="B235" s="23"/>
      <c r="K235" s="6"/>
      <c r="L235" s="6"/>
      <c r="M235" s="6"/>
      <c r="N235" s="6"/>
      <c r="U235" s="1"/>
      <c r="V235" s="1"/>
      <c r="W235" s="1"/>
      <c r="X235" s="1"/>
      <c r="Y235" s="1"/>
    </row>
    <row r="236" spans="2:25" s="3" customFormat="1" x14ac:dyDescent="0.25">
      <c r="B236" s="23"/>
      <c r="K236" s="6"/>
      <c r="L236" s="6"/>
      <c r="M236" s="6"/>
      <c r="N236" s="6"/>
      <c r="U236" s="1"/>
      <c r="V236" s="1"/>
      <c r="W236" s="1"/>
      <c r="X236" s="1"/>
      <c r="Y236" s="1"/>
    </row>
    <row r="237" spans="2:25" s="3" customFormat="1" x14ac:dyDescent="0.25">
      <c r="B237" s="23"/>
      <c r="K237" s="6"/>
      <c r="L237" s="6"/>
      <c r="M237" s="6"/>
      <c r="N237" s="6"/>
      <c r="U237" s="1"/>
      <c r="V237" s="1"/>
      <c r="W237" s="1"/>
      <c r="X237" s="1"/>
      <c r="Y237" s="1"/>
    </row>
    <row r="238" spans="2:25" s="3" customFormat="1" x14ac:dyDescent="0.25">
      <c r="B238" s="23"/>
      <c r="J238" s="6"/>
      <c r="K238" s="6"/>
      <c r="L238" s="6"/>
      <c r="M238" s="6"/>
      <c r="N238" s="6"/>
      <c r="U238" s="1"/>
      <c r="V238" s="1"/>
      <c r="W238" s="1"/>
      <c r="X238" s="1"/>
      <c r="Y238" s="1"/>
    </row>
    <row r="239" spans="2:25" s="3" customFormat="1" x14ac:dyDescent="0.25">
      <c r="B239" s="23"/>
      <c r="J239" s="6"/>
      <c r="K239" s="6"/>
      <c r="L239" s="6"/>
      <c r="M239" s="6"/>
      <c r="N239" s="6"/>
      <c r="U239" s="1"/>
      <c r="V239" s="1"/>
      <c r="W239" s="1"/>
      <c r="X239" s="1"/>
      <c r="Y239" s="1"/>
    </row>
    <row r="240" spans="2:25" s="3" customFormat="1" x14ac:dyDescent="0.25">
      <c r="B240" s="23"/>
      <c r="J240" s="6"/>
      <c r="K240" s="6"/>
      <c r="L240" s="6"/>
      <c r="M240" s="6"/>
      <c r="N240" s="6"/>
      <c r="U240" s="1"/>
      <c r="V240" s="1"/>
      <c r="W240" s="1"/>
      <c r="X240" s="1"/>
      <c r="Y240" s="1"/>
    </row>
    <row r="241" spans="1:25" s="3" customFormat="1" x14ac:dyDescent="0.25">
      <c r="B241" s="23"/>
      <c r="J241" s="6"/>
      <c r="K241" s="6"/>
      <c r="L241" s="6"/>
      <c r="M241" s="6"/>
      <c r="N241" s="6"/>
      <c r="U241" s="1"/>
      <c r="V241" s="1"/>
      <c r="W241" s="1"/>
      <c r="X241" s="1"/>
      <c r="Y241" s="1"/>
    </row>
    <row r="242" spans="1:25" s="3" customFormat="1" x14ac:dyDescent="0.25">
      <c r="B242" s="23"/>
      <c r="J242" s="6"/>
      <c r="K242" s="6"/>
      <c r="L242" s="6"/>
      <c r="M242" s="6"/>
      <c r="N242" s="6"/>
      <c r="O242" s="6"/>
      <c r="U242" s="1"/>
      <c r="V242" s="1"/>
      <c r="W242" s="1"/>
      <c r="X242" s="1"/>
      <c r="Y242" s="1"/>
    </row>
    <row r="243" spans="1:25" s="3" customFormat="1" x14ac:dyDescent="0.25">
      <c r="B243" s="23"/>
      <c r="J243" s="6"/>
      <c r="K243" s="6"/>
      <c r="L243" s="6"/>
      <c r="M243" s="6"/>
      <c r="N243" s="6"/>
      <c r="O243" s="6"/>
      <c r="U243" s="1"/>
      <c r="V243" s="1"/>
      <c r="W243" s="1"/>
      <c r="X243" s="1"/>
      <c r="Y243" s="1"/>
    </row>
    <row r="244" spans="1:25" s="3" customFormat="1" x14ac:dyDescent="0.25">
      <c r="A244" s="6"/>
      <c r="B244" s="25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Q244" s="6"/>
      <c r="R244" s="6"/>
      <c r="S244" s="6"/>
      <c r="U244" s="1"/>
      <c r="V244" s="1"/>
      <c r="W244" s="1"/>
      <c r="X244" s="1"/>
      <c r="Y244" s="1"/>
    </row>
  </sheetData>
  <sheetProtection sheet="1" objects="1" scenarios="1"/>
  <mergeCells count="165">
    <mergeCell ref="M43:N43"/>
    <mergeCell ref="M44:N44"/>
    <mergeCell ref="M20:N20"/>
    <mergeCell ref="M21:N21"/>
    <mergeCell ref="M22:N22"/>
    <mergeCell ref="M23:N23"/>
    <mergeCell ref="M38:N38"/>
    <mergeCell ref="M39:N39"/>
    <mergeCell ref="M40:N40"/>
    <mergeCell ref="M41:N41"/>
    <mergeCell ref="M42:N42"/>
    <mergeCell ref="H26:I26"/>
    <mergeCell ref="K26:L26"/>
    <mergeCell ref="M26:N26"/>
    <mergeCell ref="D25:E25"/>
    <mergeCell ref="F25:G25"/>
    <mergeCell ref="H25:I25"/>
    <mergeCell ref="D2:K4"/>
    <mergeCell ref="L2:N4"/>
    <mergeCell ref="K25:L25"/>
    <mergeCell ref="M25:N25"/>
    <mergeCell ref="C8:F8"/>
    <mergeCell ref="K8:N8"/>
    <mergeCell ref="C10:F10"/>
    <mergeCell ref="K10:N10"/>
    <mergeCell ref="C12:F12"/>
    <mergeCell ref="K12:L12"/>
    <mergeCell ref="A22:C22"/>
    <mergeCell ref="A23:C23"/>
    <mergeCell ref="A24:C24"/>
    <mergeCell ref="A25:C25"/>
    <mergeCell ref="D17:E17"/>
    <mergeCell ref="D18:E18"/>
    <mergeCell ref="F26:G26"/>
    <mergeCell ref="M17:N17"/>
    <mergeCell ref="R3:T3"/>
    <mergeCell ref="B5:K5"/>
    <mergeCell ref="L5:N5"/>
    <mergeCell ref="R5:T5"/>
    <mergeCell ref="D24:E24"/>
    <mergeCell ref="F24:G24"/>
    <mergeCell ref="H24:I24"/>
    <mergeCell ref="K24:L24"/>
    <mergeCell ref="M24:N24"/>
    <mergeCell ref="K13:L13"/>
    <mergeCell ref="F15:N15"/>
    <mergeCell ref="A16:C16"/>
    <mergeCell ref="D16:E16"/>
    <mergeCell ref="F16:G16"/>
    <mergeCell ref="H16:I16"/>
    <mergeCell ref="K16:L16"/>
    <mergeCell ref="M16:N16"/>
    <mergeCell ref="A17:C17"/>
    <mergeCell ref="A18:C18"/>
    <mergeCell ref="A19:C19"/>
    <mergeCell ref="A20:C20"/>
    <mergeCell ref="A21:C21"/>
    <mergeCell ref="M18:N18"/>
    <mergeCell ref="M19:N19"/>
    <mergeCell ref="F28:G28"/>
    <mergeCell ref="H28:I28"/>
    <mergeCell ref="K28:L28"/>
    <mergeCell ref="M28:N28"/>
    <mergeCell ref="D27:E27"/>
    <mergeCell ref="F27:G27"/>
    <mergeCell ref="H27:I27"/>
    <mergeCell ref="K27:L27"/>
    <mergeCell ref="M27:N27"/>
    <mergeCell ref="A27:C27"/>
    <mergeCell ref="A28:C28"/>
    <mergeCell ref="D19:E19"/>
    <mergeCell ref="D20:E20"/>
    <mergeCell ref="D21:E21"/>
    <mergeCell ref="D23:E23"/>
    <mergeCell ref="A26:C26"/>
    <mergeCell ref="D22:E22"/>
    <mergeCell ref="D26:E26"/>
    <mergeCell ref="D28:E28"/>
    <mergeCell ref="A29:C29"/>
    <mergeCell ref="A30:C30"/>
    <mergeCell ref="D32:E32"/>
    <mergeCell ref="F32:G32"/>
    <mergeCell ref="H32:I32"/>
    <mergeCell ref="K32:L32"/>
    <mergeCell ref="M32:N32"/>
    <mergeCell ref="D31:E31"/>
    <mergeCell ref="F31:G31"/>
    <mergeCell ref="H31:I31"/>
    <mergeCell ref="K31:L31"/>
    <mergeCell ref="M31:N31"/>
    <mergeCell ref="D30:E30"/>
    <mergeCell ref="F30:G30"/>
    <mergeCell ref="H30:I30"/>
    <mergeCell ref="K30:L30"/>
    <mergeCell ref="M30:N30"/>
    <mergeCell ref="D29:E29"/>
    <mergeCell ref="F29:G29"/>
    <mergeCell ref="H29:I29"/>
    <mergeCell ref="K29:L29"/>
    <mergeCell ref="M29:N29"/>
    <mergeCell ref="D33:E33"/>
    <mergeCell ref="F33:G33"/>
    <mergeCell ref="H33:I33"/>
    <mergeCell ref="K33:L33"/>
    <mergeCell ref="M33:N33"/>
    <mergeCell ref="A33:C33"/>
    <mergeCell ref="A34:C34"/>
    <mergeCell ref="A31:C31"/>
    <mergeCell ref="A32:C32"/>
    <mergeCell ref="D35:E35"/>
    <mergeCell ref="F35:G35"/>
    <mergeCell ref="H35:I35"/>
    <mergeCell ref="K35:L35"/>
    <mergeCell ref="M35:N35"/>
    <mergeCell ref="A35:C35"/>
    <mergeCell ref="A36:C36"/>
    <mergeCell ref="D34:E34"/>
    <mergeCell ref="F34:G34"/>
    <mergeCell ref="H34:I34"/>
    <mergeCell ref="K34:L34"/>
    <mergeCell ref="M34:N34"/>
    <mergeCell ref="D37:E37"/>
    <mergeCell ref="F37:G37"/>
    <mergeCell ref="H37:I37"/>
    <mergeCell ref="K37:L37"/>
    <mergeCell ref="A37:C37"/>
    <mergeCell ref="A38:C38"/>
    <mergeCell ref="A39:C39"/>
    <mergeCell ref="M37:N37"/>
    <mergeCell ref="D36:E36"/>
    <mergeCell ref="F36:G36"/>
    <mergeCell ref="H36:I36"/>
    <mergeCell ref="K36:L36"/>
    <mergeCell ref="M36:N36"/>
    <mergeCell ref="K41:L41"/>
    <mergeCell ref="A40:C40"/>
    <mergeCell ref="A41:C41"/>
    <mergeCell ref="A42:C42"/>
    <mergeCell ref="A43:C43"/>
    <mergeCell ref="D38:E38"/>
    <mergeCell ref="K38:L38"/>
    <mergeCell ref="D39:E39"/>
    <mergeCell ref="K39:L39"/>
    <mergeCell ref="D42:E42"/>
    <mergeCell ref="K42:L42"/>
    <mergeCell ref="D43:E43"/>
    <mergeCell ref="K43:L43"/>
    <mergeCell ref="D40:E40"/>
    <mergeCell ref="K40:L40"/>
    <mergeCell ref="D41:E41"/>
    <mergeCell ref="D44:E44"/>
    <mergeCell ref="K44:L44"/>
    <mergeCell ref="B52:F57"/>
    <mergeCell ref="J52:N57"/>
    <mergeCell ref="A45:C45"/>
    <mergeCell ref="D45:E45"/>
    <mergeCell ref="F45:G45"/>
    <mergeCell ref="H45:I45"/>
    <mergeCell ref="K45:L45"/>
    <mergeCell ref="M45:N45"/>
    <mergeCell ref="D46:E46"/>
    <mergeCell ref="F46:G46"/>
    <mergeCell ref="H46:I46"/>
    <mergeCell ref="M46:N46"/>
    <mergeCell ref="A44:C44"/>
  </mergeCells>
  <conditionalFormatting sqref="D24:D45">
    <cfRule type="expression" dxfId="83" priority="9">
      <formula>#REF!="Non"</formula>
    </cfRule>
    <cfRule type="expression" dxfId="82" priority="10">
      <formula>#REF!="Oui"</formula>
    </cfRule>
  </conditionalFormatting>
  <conditionalFormatting sqref="D22">
    <cfRule type="expression" dxfId="81" priority="5">
      <formula>#REF!="Non"</formula>
    </cfRule>
    <cfRule type="expression" dxfId="80" priority="6">
      <formula>#REF!="Oui"</formula>
    </cfRule>
  </conditionalFormatting>
  <conditionalFormatting sqref="D17:D21">
    <cfRule type="expression" dxfId="79" priority="3">
      <formula>#REF!="Non"</formula>
    </cfRule>
    <cfRule type="expression" dxfId="78" priority="4">
      <formula>#REF!="Oui"</formula>
    </cfRule>
  </conditionalFormatting>
  <conditionalFormatting sqref="D23">
    <cfRule type="expression" dxfId="77" priority="1">
      <formula>#REF!="Non"</formula>
    </cfRule>
    <cfRule type="expression" dxfId="76" priority="2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2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  <pageSetUpPr fitToPage="1"/>
  </sheetPr>
  <dimension ref="A1:BD232"/>
  <sheetViews>
    <sheetView topLeftCell="A7" zoomScale="90" zoomScaleNormal="90" workbookViewId="0">
      <selection activeCell="T39" sqref="T39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2.140625" style="6" customWidth="1"/>
    <col min="4" max="4" width="8.42578125" style="6" customWidth="1"/>
    <col min="5" max="5" width="10.42578125" style="6" customWidth="1"/>
    <col min="6" max="6" width="5.42578125" style="6" customWidth="1"/>
    <col min="7" max="7" width="9.85546875" style="6" customWidth="1"/>
    <col min="8" max="8" width="5.85546875" style="6" customWidth="1"/>
    <col min="9" max="9" width="1.85546875" style="6" customWidth="1"/>
    <col min="10" max="10" width="11.85546875" style="6" customWidth="1"/>
    <col min="11" max="12" width="8.140625" style="6" customWidth="1"/>
    <col min="13" max="13" width="6.5703125" style="6" customWidth="1"/>
    <col min="14" max="14" width="9.5703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68</v>
      </c>
      <c r="E2" s="195"/>
      <c r="F2" s="195"/>
      <c r="G2" s="195"/>
      <c r="H2" s="195"/>
      <c r="I2" s="195"/>
      <c r="J2" s="195"/>
      <c r="K2" s="195"/>
      <c r="L2" s="251">
        <v>45444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6"/>
      <c r="Q3" s="4"/>
      <c r="R3" s="220"/>
      <c r="S3" s="220"/>
      <c r="T3" s="220"/>
      <c r="U3" s="36"/>
      <c r="V3" s="36"/>
      <c r="W3" s="36"/>
      <c r="X3" s="36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6"/>
      <c r="Q4" s="4"/>
      <c r="R4" s="36"/>
      <c r="S4" s="36"/>
      <c r="T4" s="36"/>
      <c r="U4" s="36"/>
      <c r="V4" s="36"/>
      <c r="W4" s="36"/>
      <c r="X4" s="36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v>45440</v>
      </c>
      <c r="M5" s="222"/>
      <c r="N5" s="222"/>
      <c r="O5" s="3"/>
      <c r="P5" s="36"/>
      <c r="Q5" s="5"/>
      <c r="R5" s="220"/>
      <c r="S5" s="220"/>
      <c r="T5" s="220"/>
      <c r="U5" s="36"/>
      <c r="V5" s="36"/>
      <c r="W5" s="36"/>
      <c r="X5" s="36"/>
      <c r="Y5" s="5"/>
    </row>
    <row r="6" spans="1:25" ht="19.5" customHeight="1" x14ac:dyDescent="0.35">
      <c r="A6" s="27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40"/>
      <c r="V6" s="40"/>
      <c r="W6" s="40"/>
      <c r="X6" s="40"/>
      <c r="Y6" s="5"/>
    </row>
    <row r="7" spans="1:25" ht="19.5" customHeight="1" thickBot="1" x14ac:dyDescent="0.4">
      <c r="A7" s="111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40"/>
      <c r="V7" s="40"/>
      <c r="W7" s="40"/>
      <c r="X7" s="40"/>
      <c r="Y7" s="5"/>
    </row>
    <row r="8" spans="1:25" ht="18" customHeight="1" thickBot="1" x14ac:dyDescent="0.3">
      <c r="A8" s="8" t="s">
        <v>2</v>
      </c>
      <c r="B8" s="24"/>
      <c r="C8" s="223"/>
      <c r="D8" s="224"/>
      <c r="E8" s="224"/>
      <c r="F8" s="225"/>
      <c r="G8" s="9"/>
      <c r="H8" s="8" t="s">
        <v>26</v>
      </c>
      <c r="I8" s="8"/>
      <c r="J8" s="8"/>
      <c r="K8" s="223"/>
      <c r="L8" s="224"/>
      <c r="M8" s="224"/>
      <c r="N8" s="225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223"/>
      <c r="D10" s="224"/>
      <c r="E10" s="224"/>
      <c r="F10" s="225"/>
      <c r="G10" s="9"/>
      <c r="H10" s="8" t="s">
        <v>25</v>
      </c>
      <c r="I10" s="8"/>
      <c r="J10" s="8"/>
      <c r="K10" s="223"/>
      <c r="L10" s="224"/>
      <c r="M10" s="224"/>
      <c r="N10" s="225"/>
      <c r="O10" s="26"/>
      <c r="P10" s="26"/>
      <c r="Q10" s="26"/>
      <c r="R10" s="26"/>
      <c r="S10" s="26"/>
      <c r="T10" s="26"/>
      <c r="U10" s="11"/>
    </row>
    <row r="11" spans="1:25" ht="13.5" customHeight="1" x14ac:dyDescent="0.3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3.5" customHeight="1" x14ac:dyDescent="0.3">
      <c r="A12" s="8"/>
      <c r="B12" s="24"/>
      <c r="C12" s="24"/>
      <c r="D12" s="24"/>
      <c r="E12" s="24"/>
      <c r="F12" s="24"/>
      <c r="G12" s="9"/>
      <c r="H12" s="8"/>
      <c r="I12" s="8"/>
      <c r="J12" s="8"/>
      <c r="K12" s="8"/>
      <c r="L12" s="8"/>
      <c r="M12" s="8"/>
      <c r="N12" s="8"/>
      <c r="O12" s="26"/>
      <c r="P12" s="26"/>
      <c r="Q12" s="26"/>
      <c r="R12" s="26"/>
      <c r="S12" s="26"/>
      <c r="T12" s="26"/>
      <c r="U12" s="11"/>
    </row>
    <row r="13" spans="1:25" s="19" customFormat="1" ht="54.75" customHeight="1" x14ac:dyDescent="0.25">
      <c r="A13" s="200" t="s">
        <v>1</v>
      </c>
      <c r="B13" s="201"/>
      <c r="C13" s="202"/>
      <c r="D13" s="203" t="s">
        <v>55</v>
      </c>
      <c r="E13" s="204"/>
      <c r="F13" s="205" t="s">
        <v>54</v>
      </c>
      <c r="G13" s="205"/>
      <c r="H13" s="203" t="s">
        <v>56</v>
      </c>
      <c r="I13" s="206"/>
      <c r="J13" s="207"/>
      <c r="K13" s="203" t="s">
        <v>57</v>
      </c>
      <c r="L13" s="208"/>
      <c r="M13" s="205" t="s">
        <v>53</v>
      </c>
      <c r="N13" s="205"/>
      <c r="O13" s="26"/>
      <c r="P13" s="26"/>
      <c r="Q13" s="26"/>
      <c r="R13" s="26"/>
      <c r="S13" s="26"/>
      <c r="T13" s="26"/>
      <c r="U13" s="20"/>
      <c r="V13" s="20"/>
      <c r="W13" s="20"/>
      <c r="X13" s="21"/>
    </row>
    <row r="14" spans="1:25" s="3" customFormat="1" ht="15.75" x14ac:dyDescent="0.25">
      <c r="A14" s="305">
        <v>45411</v>
      </c>
      <c r="B14" s="306"/>
      <c r="C14" s="307"/>
      <c r="D14" s="295"/>
      <c r="E14" s="295"/>
      <c r="F14" s="296"/>
      <c r="G14" s="296"/>
      <c r="H14" s="296"/>
      <c r="I14" s="296"/>
      <c r="J14" s="296"/>
      <c r="K14" s="296"/>
      <c r="L14" s="296"/>
      <c r="M14" s="249"/>
      <c r="N14" s="250"/>
      <c r="O14" s="26"/>
      <c r="P14" s="26"/>
      <c r="Q14" s="26"/>
      <c r="R14" s="26"/>
      <c r="S14" s="26"/>
      <c r="T14" s="26"/>
      <c r="U14" s="13"/>
      <c r="V14" s="13"/>
      <c r="W14" s="13"/>
      <c r="X14" s="1"/>
    </row>
    <row r="15" spans="1:25" s="3" customFormat="1" ht="15.75" x14ac:dyDescent="0.25">
      <c r="A15" s="305">
        <v>45412</v>
      </c>
      <c r="B15" s="306"/>
      <c r="C15" s="307"/>
      <c r="D15" s="295"/>
      <c r="E15" s="295"/>
      <c r="F15" s="296"/>
      <c r="G15" s="296"/>
      <c r="H15" s="296"/>
      <c r="I15" s="296"/>
      <c r="J15" s="296"/>
      <c r="K15" s="296"/>
      <c r="L15" s="296"/>
      <c r="M15" s="249"/>
      <c r="N15" s="250"/>
      <c r="P15" s="26"/>
      <c r="Q15" s="26"/>
      <c r="R15" s="26"/>
      <c r="S15" s="26"/>
      <c r="T15" s="26"/>
      <c r="U15" s="13"/>
      <c r="V15" s="13"/>
      <c r="W15" s="13"/>
      <c r="X15" s="1"/>
    </row>
    <row r="16" spans="1:25" s="3" customFormat="1" ht="15.75" x14ac:dyDescent="0.25">
      <c r="A16" s="305">
        <v>45413</v>
      </c>
      <c r="B16" s="306"/>
      <c r="C16" s="307"/>
      <c r="D16" s="295"/>
      <c r="E16" s="295"/>
      <c r="F16" s="296"/>
      <c r="G16" s="296"/>
      <c r="H16" s="296"/>
      <c r="I16" s="296"/>
      <c r="J16" s="296"/>
      <c r="K16" s="296"/>
      <c r="L16" s="296"/>
      <c r="M16" s="249"/>
      <c r="N16" s="250"/>
      <c r="P16" s="26"/>
      <c r="Q16" s="26"/>
      <c r="R16" s="26"/>
      <c r="S16" s="26"/>
      <c r="T16" s="26"/>
      <c r="U16" s="26"/>
      <c r="V16" s="13"/>
      <c r="W16" s="13"/>
      <c r="X16" s="1"/>
    </row>
    <row r="17" spans="1:24" s="3" customFormat="1" x14ac:dyDescent="0.25">
      <c r="A17" s="305">
        <v>45414</v>
      </c>
      <c r="B17" s="306"/>
      <c r="C17" s="307"/>
      <c r="D17" s="295"/>
      <c r="E17" s="295"/>
      <c r="F17" s="296"/>
      <c r="G17" s="296"/>
      <c r="H17" s="296"/>
      <c r="I17" s="296"/>
      <c r="J17" s="296"/>
      <c r="K17" s="296"/>
      <c r="L17" s="296"/>
      <c r="M17" s="249"/>
      <c r="N17" s="250"/>
      <c r="P17" s="12"/>
      <c r="Q17" s="12"/>
      <c r="R17" s="12"/>
      <c r="S17" s="12"/>
      <c r="T17" s="13"/>
      <c r="U17" s="13"/>
      <c r="V17" s="13"/>
      <c r="W17" s="13"/>
      <c r="X17" s="1"/>
    </row>
    <row r="18" spans="1:24" s="3" customFormat="1" x14ac:dyDescent="0.25">
      <c r="A18" s="305">
        <v>45415</v>
      </c>
      <c r="B18" s="306"/>
      <c r="C18" s="307"/>
      <c r="D18" s="295"/>
      <c r="E18" s="295"/>
      <c r="F18" s="296"/>
      <c r="G18" s="296"/>
      <c r="H18" s="249"/>
      <c r="I18" s="297"/>
      <c r="J18" s="250"/>
      <c r="K18" s="296"/>
      <c r="L18" s="296"/>
      <c r="M18" s="249"/>
      <c r="N18" s="250"/>
      <c r="P18" s="12"/>
      <c r="Q18" s="12"/>
      <c r="R18" s="12"/>
      <c r="S18" s="12"/>
      <c r="T18" s="13"/>
      <c r="U18" s="13"/>
      <c r="V18" s="13"/>
      <c r="W18" s="13"/>
      <c r="X18" s="1"/>
    </row>
    <row r="19" spans="1:24" s="3" customFormat="1" x14ac:dyDescent="0.25">
      <c r="A19" s="305">
        <v>45416</v>
      </c>
      <c r="B19" s="306"/>
      <c r="C19" s="307"/>
      <c r="D19" s="295"/>
      <c r="E19" s="295"/>
      <c r="F19" s="296"/>
      <c r="G19" s="296"/>
      <c r="H19" s="296"/>
      <c r="I19" s="296"/>
      <c r="J19" s="296"/>
      <c r="K19" s="296"/>
      <c r="L19" s="296"/>
      <c r="M19" s="249"/>
      <c r="N19" s="250"/>
      <c r="P19" s="12"/>
      <c r="Q19" s="12"/>
      <c r="R19" s="12"/>
      <c r="S19" s="12"/>
      <c r="T19" s="13"/>
      <c r="U19" s="13"/>
      <c r="V19" s="13"/>
      <c r="W19" s="13"/>
      <c r="X19" s="1"/>
    </row>
    <row r="20" spans="1:24" s="3" customFormat="1" x14ac:dyDescent="0.25">
      <c r="A20" s="305">
        <v>45417</v>
      </c>
      <c r="B20" s="306"/>
      <c r="C20" s="307"/>
      <c r="D20" s="295"/>
      <c r="E20" s="295"/>
      <c r="F20" s="296"/>
      <c r="G20" s="296"/>
      <c r="H20" s="296"/>
      <c r="I20" s="296"/>
      <c r="J20" s="296"/>
      <c r="K20" s="296"/>
      <c r="L20" s="296"/>
      <c r="M20" s="249"/>
      <c r="N20" s="250"/>
      <c r="P20" s="12"/>
      <c r="Q20" s="12"/>
      <c r="R20" s="12"/>
      <c r="S20" s="12"/>
      <c r="T20" s="13"/>
      <c r="U20" s="13"/>
      <c r="V20" s="13"/>
      <c r="W20" s="13"/>
      <c r="X20" s="1"/>
    </row>
    <row r="21" spans="1:24" s="3" customFormat="1" x14ac:dyDescent="0.25">
      <c r="A21" s="305">
        <v>45418</v>
      </c>
      <c r="B21" s="306"/>
      <c r="C21" s="307"/>
      <c r="D21" s="295"/>
      <c r="E21" s="295"/>
      <c r="F21" s="296"/>
      <c r="G21" s="296"/>
      <c r="H21" s="296"/>
      <c r="I21" s="296"/>
      <c r="J21" s="296"/>
      <c r="K21" s="296"/>
      <c r="L21" s="296"/>
      <c r="M21" s="249"/>
      <c r="N21" s="250"/>
      <c r="P21" s="12"/>
      <c r="Q21" s="12"/>
      <c r="R21" s="12"/>
      <c r="S21" s="12"/>
      <c r="T21" s="13"/>
      <c r="U21" s="13"/>
      <c r="V21" s="13"/>
      <c r="W21" s="13"/>
      <c r="X21" s="1"/>
    </row>
    <row r="22" spans="1:24" s="3" customFormat="1" x14ac:dyDescent="0.25">
      <c r="A22" s="305">
        <v>45419</v>
      </c>
      <c r="B22" s="306"/>
      <c r="C22" s="307"/>
      <c r="D22" s="295"/>
      <c r="E22" s="295"/>
      <c r="F22" s="296"/>
      <c r="G22" s="296"/>
      <c r="H22" s="296"/>
      <c r="I22" s="296"/>
      <c r="J22" s="296"/>
      <c r="K22" s="296"/>
      <c r="L22" s="296"/>
      <c r="M22" s="249"/>
      <c r="N22" s="250"/>
      <c r="P22" s="12"/>
      <c r="Q22" s="12"/>
      <c r="R22" s="12"/>
      <c r="S22" s="12"/>
      <c r="T22" s="13"/>
      <c r="U22" s="13"/>
      <c r="V22" s="13"/>
      <c r="W22" s="13"/>
      <c r="X22" s="1"/>
    </row>
    <row r="23" spans="1:24" s="3" customFormat="1" x14ac:dyDescent="0.25">
      <c r="A23" s="305">
        <v>45420</v>
      </c>
      <c r="B23" s="306"/>
      <c r="C23" s="307"/>
      <c r="D23" s="295"/>
      <c r="E23" s="295"/>
      <c r="F23" s="296"/>
      <c r="G23" s="296"/>
      <c r="H23" s="296"/>
      <c r="I23" s="296"/>
      <c r="J23" s="296"/>
      <c r="K23" s="296"/>
      <c r="L23" s="296"/>
      <c r="M23" s="249"/>
      <c r="N23" s="250"/>
      <c r="P23" s="12"/>
      <c r="Q23" s="12"/>
      <c r="R23" s="12"/>
      <c r="S23" s="12"/>
      <c r="T23" s="13"/>
      <c r="U23" s="13"/>
      <c r="V23" s="13"/>
      <c r="W23" s="13"/>
      <c r="X23" s="1"/>
    </row>
    <row r="24" spans="1:24" s="3" customFormat="1" x14ac:dyDescent="0.25">
      <c r="A24" s="305">
        <v>45421</v>
      </c>
      <c r="B24" s="306"/>
      <c r="C24" s="307"/>
      <c r="D24" s="295"/>
      <c r="E24" s="295"/>
      <c r="F24" s="296"/>
      <c r="G24" s="296"/>
      <c r="H24" s="296"/>
      <c r="I24" s="296"/>
      <c r="J24" s="296"/>
      <c r="K24" s="296"/>
      <c r="L24" s="296"/>
      <c r="M24" s="249"/>
      <c r="N24" s="250"/>
      <c r="P24" s="12"/>
      <c r="Q24" s="15"/>
      <c r="R24" s="15"/>
      <c r="S24" s="15"/>
      <c r="T24" s="13"/>
      <c r="U24" s="13"/>
      <c r="V24" s="13"/>
      <c r="W24" s="13"/>
      <c r="X24" s="1"/>
    </row>
    <row r="25" spans="1:24" s="3" customFormat="1" x14ac:dyDescent="0.25">
      <c r="A25" s="305">
        <v>45422</v>
      </c>
      <c r="B25" s="306"/>
      <c r="C25" s="307"/>
      <c r="D25" s="295"/>
      <c r="E25" s="295"/>
      <c r="F25" s="296"/>
      <c r="G25" s="296"/>
      <c r="H25" s="296"/>
      <c r="I25" s="296"/>
      <c r="J25" s="296"/>
      <c r="K25" s="296"/>
      <c r="L25" s="296"/>
      <c r="M25" s="249"/>
      <c r="N25" s="250"/>
      <c r="P25" s="12"/>
      <c r="Q25" s="15"/>
      <c r="R25" s="15"/>
      <c r="S25" s="15"/>
      <c r="T25" s="13"/>
      <c r="U25" s="13"/>
      <c r="V25" s="13"/>
      <c r="W25" s="13"/>
      <c r="X25" s="1"/>
    </row>
    <row r="26" spans="1:24" s="3" customFormat="1" x14ac:dyDescent="0.25">
      <c r="A26" s="305">
        <v>45423</v>
      </c>
      <c r="B26" s="306"/>
      <c r="C26" s="307"/>
      <c r="D26" s="295"/>
      <c r="E26" s="295"/>
      <c r="F26" s="296"/>
      <c r="G26" s="296"/>
      <c r="H26" s="296"/>
      <c r="I26" s="296"/>
      <c r="J26" s="296"/>
      <c r="K26" s="296"/>
      <c r="L26" s="296"/>
      <c r="M26" s="249"/>
      <c r="N26" s="250"/>
      <c r="P26" s="12"/>
      <c r="Q26" s="15"/>
      <c r="R26" s="15"/>
      <c r="S26" s="15"/>
      <c r="T26" s="13"/>
      <c r="U26" s="13"/>
      <c r="V26" s="13"/>
      <c r="W26" s="13"/>
      <c r="X26" s="1"/>
    </row>
    <row r="27" spans="1:24" s="3" customFormat="1" x14ac:dyDescent="0.25">
      <c r="A27" s="305">
        <v>45424</v>
      </c>
      <c r="B27" s="306"/>
      <c r="C27" s="307"/>
      <c r="D27" s="295"/>
      <c r="E27" s="295"/>
      <c r="F27" s="296"/>
      <c r="G27" s="296"/>
      <c r="H27" s="296"/>
      <c r="I27" s="296"/>
      <c r="J27" s="296"/>
      <c r="K27" s="296"/>
      <c r="L27" s="296"/>
      <c r="M27" s="249"/>
      <c r="N27" s="250"/>
      <c r="O27" s="1"/>
      <c r="P27" s="12"/>
      <c r="Q27" s="15"/>
      <c r="R27" s="15"/>
      <c r="S27" s="15"/>
      <c r="T27" s="13"/>
      <c r="U27" s="13"/>
      <c r="V27" s="13"/>
      <c r="W27" s="13"/>
      <c r="X27" s="1"/>
    </row>
    <row r="28" spans="1:24" s="3" customFormat="1" x14ac:dyDescent="0.25">
      <c r="A28" s="305">
        <v>45425</v>
      </c>
      <c r="B28" s="306"/>
      <c r="C28" s="307"/>
      <c r="D28" s="295"/>
      <c r="E28" s="295"/>
      <c r="F28" s="296"/>
      <c r="G28" s="296"/>
      <c r="H28" s="296"/>
      <c r="I28" s="296"/>
      <c r="J28" s="296"/>
      <c r="K28" s="296"/>
      <c r="L28" s="296"/>
      <c r="M28" s="249"/>
      <c r="N28" s="250"/>
      <c r="P28" s="12"/>
      <c r="Q28" s="15"/>
      <c r="R28" s="15"/>
      <c r="S28" s="15"/>
      <c r="T28" s="13"/>
      <c r="U28" s="13"/>
      <c r="V28" s="13"/>
      <c r="W28" s="13"/>
      <c r="X28" s="1"/>
    </row>
    <row r="29" spans="1:24" s="3" customFormat="1" x14ac:dyDescent="0.25">
      <c r="A29" s="305">
        <v>45426</v>
      </c>
      <c r="B29" s="306"/>
      <c r="C29" s="307"/>
      <c r="D29" s="295"/>
      <c r="E29" s="295"/>
      <c r="F29" s="296"/>
      <c r="G29" s="296"/>
      <c r="H29" s="296"/>
      <c r="I29" s="296"/>
      <c r="J29" s="296"/>
      <c r="K29" s="296"/>
      <c r="L29" s="296"/>
      <c r="M29" s="249"/>
      <c r="N29" s="250"/>
      <c r="P29" s="12"/>
      <c r="Q29" s="15"/>
      <c r="R29" s="15"/>
      <c r="S29" s="15"/>
      <c r="T29" s="13"/>
      <c r="U29" s="13"/>
      <c r="V29" s="13"/>
      <c r="W29" s="13"/>
      <c r="X29" s="1"/>
    </row>
    <row r="30" spans="1:24" s="3" customFormat="1" x14ac:dyDescent="0.25">
      <c r="A30" s="305">
        <v>45427</v>
      </c>
      <c r="B30" s="306"/>
      <c r="C30" s="307"/>
      <c r="D30" s="295"/>
      <c r="E30" s="295"/>
      <c r="F30" s="296"/>
      <c r="G30" s="296"/>
      <c r="H30" s="296"/>
      <c r="I30" s="296"/>
      <c r="J30" s="296"/>
      <c r="K30" s="296"/>
      <c r="L30" s="296"/>
      <c r="M30" s="249"/>
      <c r="N30" s="250"/>
      <c r="P30" s="12"/>
      <c r="Q30" s="15"/>
      <c r="R30" s="15"/>
      <c r="S30" s="15"/>
      <c r="T30" s="13"/>
      <c r="U30" s="13"/>
      <c r="V30" s="13"/>
      <c r="W30" s="13"/>
      <c r="X30" s="1"/>
    </row>
    <row r="31" spans="1:24" s="3" customFormat="1" x14ac:dyDescent="0.25">
      <c r="A31" s="305">
        <v>45428</v>
      </c>
      <c r="B31" s="306"/>
      <c r="C31" s="307"/>
      <c r="D31" s="295"/>
      <c r="E31" s="295"/>
      <c r="F31" s="296"/>
      <c r="G31" s="296"/>
      <c r="H31" s="296"/>
      <c r="I31" s="296"/>
      <c r="J31" s="296"/>
      <c r="K31" s="296"/>
      <c r="L31" s="296"/>
      <c r="M31" s="249"/>
      <c r="N31" s="250"/>
      <c r="P31" s="12"/>
      <c r="Q31" s="15"/>
      <c r="R31" s="15"/>
      <c r="S31" s="15"/>
      <c r="T31" s="13"/>
      <c r="U31" s="13"/>
      <c r="V31" s="13"/>
      <c r="W31" s="13"/>
      <c r="X31" s="1"/>
    </row>
    <row r="32" spans="1:24" s="3" customFormat="1" x14ac:dyDescent="0.25">
      <c r="A32" s="305">
        <v>45429</v>
      </c>
      <c r="B32" s="306"/>
      <c r="C32" s="307"/>
      <c r="D32" s="295"/>
      <c r="E32" s="295"/>
      <c r="F32" s="296"/>
      <c r="G32" s="296"/>
      <c r="H32" s="296"/>
      <c r="I32" s="296"/>
      <c r="J32" s="296"/>
      <c r="K32" s="296"/>
      <c r="L32" s="296"/>
      <c r="M32" s="249"/>
      <c r="N32" s="250"/>
      <c r="P32" s="12"/>
      <c r="Q32" s="15"/>
      <c r="R32" s="15"/>
      <c r="S32" s="15"/>
      <c r="T32" s="13"/>
      <c r="U32" s="13"/>
      <c r="V32" s="13"/>
      <c r="W32" s="13"/>
      <c r="X32" s="1"/>
    </row>
    <row r="33" spans="1:25" s="3" customFormat="1" x14ac:dyDescent="0.25">
      <c r="A33" s="305">
        <v>45430</v>
      </c>
      <c r="B33" s="306"/>
      <c r="C33" s="307"/>
      <c r="D33" s="295"/>
      <c r="E33" s="295"/>
      <c r="F33" s="296"/>
      <c r="G33" s="296"/>
      <c r="H33" s="296"/>
      <c r="I33" s="296"/>
      <c r="J33" s="296"/>
      <c r="K33" s="296"/>
      <c r="L33" s="296"/>
      <c r="M33" s="249"/>
      <c r="N33" s="250"/>
      <c r="P33" s="12"/>
      <c r="Q33" s="15"/>
      <c r="R33" s="15"/>
      <c r="S33" s="15"/>
      <c r="T33" s="13"/>
      <c r="U33" s="13"/>
      <c r="V33" s="13"/>
      <c r="W33" s="13"/>
      <c r="X33" s="1"/>
    </row>
    <row r="34" spans="1:25" s="3" customFormat="1" x14ac:dyDescent="0.25">
      <c r="A34" s="305">
        <v>45431</v>
      </c>
      <c r="B34" s="306"/>
      <c r="C34" s="307"/>
      <c r="D34" s="295"/>
      <c r="E34" s="295"/>
      <c r="F34" s="296"/>
      <c r="G34" s="296"/>
      <c r="H34" s="296"/>
      <c r="I34" s="296"/>
      <c r="J34" s="296"/>
      <c r="K34" s="296"/>
      <c r="L34" s="296"/>
      <c r="M34" s="249"/>
      <c r="N34" s="250"/>
      <c r="P34" s="12"/>
      <c r="Q34" s="15"/>
      <c r="R34" s="15"/>
      <c r="S34" s="15"/>
      <c r="T34" s="13"/>
      <c r="U34" s="13"/>
      <c r="V34" s="13"/>
      <c r="W34" s="13"/>
      <c r="X34" s="1"/>
    </row>
    <row r="35" spans="1:25" s="3" customFormat="1" x14ac:dyDescent="0.25">
      <c r="A35" s="305">
        <v>45432</v>
      </c>
      <c r="B35" s="306"/>
      <c r="C35" s="307"/>
      <c r="D35" s="293"/>
      <c r="E35" s="294"/>
      <c r="F35" s="249"/>
      <c r="G35" s="250"/>
      <c r="H35" s="105"/>
      <c r="I35" s="108"/>
      <c r="J35" s="106"/>
      <c r="K35" s="249"/>
      <c r="L35" s="250"/>
      <c r="M35" s="105"/>
      <c r="N35" s="106"/>
      <c r="P35" s="12"/>
      <c r="Q35" s="15"/>
      <c r="R35" s="15"/>
      <c r="S35" s="15"/>
      <c r="T35" s="13"/>
      <c r="U35" s="13"/>
      <c r="V35" s="13"/>
      <c r="W35" s="13"/>
      <c r="X35" s="1"/>
    </row>
    <row r="36" spans="1:25" s="3" customFormat="1" x14ac:dyDescent="0.25">
      <c r="A36" s="305">
        <v>45433</v>
      </c>
      <c r="B36" s="306"/>
      <c r="C36" s="307"/>
      <c r="D36" s="293"/>
      <c r="E36" s="294"/>
      <c r="F36" s="249"/>
      <c r="G36" s="250"/>
      <c r="H36" s="105"/>
      <c r="I36" s="108"/>
      <c r="J36" s="106"/>
      <c r="K36" s="249"/>
      <c r="L36" s="250"/>
      <c r="M36" s="105"/>
      <c r="N36" s="106"/>
      <c r="P36" s="12"/>
      <c r="Q36" s="15"/>
      <c r="R36" s="15"/>
      <c r="S36" s="15"/>
      <c r="T36" s="13"/>
      <c r="U36" s="13"/>
      <c r="V36" s="13"/>
      <c r="W36" s="13"/>
      <c r="X36" s="1"/>
    </row>
    <row r="37" spans="1:25" s="3" customFormat="1" x14ac:dyDescent="0.25">
      <c r="A37" s="305">
        <v>45434</v>
      </c>
      <c r="B37" s="306"/>
      <c r="C37" s="307"/>
      <c r="D37" s="293"/>
      <c r="E37" s="294"/>
      <c r="F37" s="249"/>
      <c r="G37" s="250"/>
      <c r="H37" s="105"/>
      <c r="I37" s="108"/>
      <c r="J37" s="106"/>
      <c r="K37" s="249"/>
      <c r="L37" s="250"/>
      <c r="M37" s="105"/>
      <c r="N37" s="106"/>
      <c r="P37" s="12"/>
      <c r="Q37" s="15"/>
      <c r="R37" s="15"/>
      <c r="S37" s="15"/>
      <c r="T37" s="13"/>
      <c r="U37" s="13"/>
      <c r="V37" s="13"/>
      <c r="W37" s="13"/>
      <c r="X37" s="1"/>
    </row>
    <row r="38" spans="1:25" s="3" customFormat="1" x14ac:dyDescent="0.25">
      <c r="A38" s="305">
        <v>45435</v>
      </c>
      <c r="B38" s="306"/>
      <c r="C38" s="307"/>
      <c r="D38" s="293"/>
      <c r="E38" s="294"/>
      <c r="F38" s="249"/>
      <c r="G38" s="250"/>
      <c r="H38" s="105"/>
      <c r="I38" s="108"/>
      <c r="J38" s="106"/>
      <c r="K38" s="249"/>
      <c r="L38" s="250"/>
      <c r="M38" s="105"/>
      <c r="N38" s="106"/>
      <c r="P38" s="12"/>
      <c r="Q38" s="15"/>
      <c r="R38" s="15"/>
      <c r="S38" s="15"/>
      <c r="T38" s="13"/>
      <c r="U38" s="13"/>
      <c r="V38" s="13"/>
      <c r="W38" s="13"/>
      <c r="X38" s="1"/>
    </row>
    <row r="39" spans="1:25" s="3" customFormat="1" x14ac:dyDescent="0.25">
      <c r="A39" s="305">
        <v>45436</v>
      </c>
      <c r="B39" s="306"/>
      <c r="C39" s="307"/>
      <c r="D39" s="293"/>
      <c r="E39" s="294"/>
      <c r="F39" s="249"/>
      <c r="G39" s="250"/>
      <c r="H39" s="105"/>
      <c r="I39" s="108"/>
      <c r="J39" s="106"/>
      <c r="K39" s="249"/>
      <c r="L39" s="250"/>
      <c r="M39" s="105"/>
      <c r="N39" s="106"/>
      <c r="P39" s="12"/>
      <c r="Q39" s="15"/>
      <c r="R39" s="15"/>
      <c r="S39" s="15"/>
      <c r="T39" s="13"/>
      <c r="U39" s="13"/>
      <c r="V39" s="13"/>
      <c r="W39" s="13"/>
      <c r="X39" s="1"/>
    </row>
    <row r="40" spans="1:25" s="3" customFormat="1" x14ac:dyDescent="0.25">
      <c r="A40" s="305">
        <v>45437</v>
      </c>
      <c r="B40" s="306"/>
      <c r="C40" s="307"/>
      <c r="D40" s="293"/>
      <c r="E40" s="294"/>
      <c r="F40" s="249"/>
      <c r="G40" s="250"/>
      <c r="H40" s="105"/>
      <c r="I40" s="108"/>
      <c r="J40" s="106"/>
      <c r="K40" s="249"/>
      <c r="L40" s="250"/>
      <c r="M40" s="105"/>
      <c r="N40" s="106"/>
      <c r="P40" s="12"/>
      <c r="Q40" s="15"/>
      <c r="R40" s="15"/>
      <c r="S40" s="15"/>
      <c r="T40" s="13"/>
      <c r="U40" s="13"/>
      <c r="V40" s="13"/>
      <c r="W40" s="13"/>
      <c r="X40" s="1"/>
    </row>
    <row r="41" spans="1:25" s="3" customFormat="1" x14ac:dyDescent="0.25">
      <c r="A41" s="305">
        <v>45438</v>
      </c>
      <c r="B41" s="306"/>
      <c r="C41" s="307"/>
      <c r="D41" s="293"/>
      <c r="E41" s="294"/>
      <c r="F41" s="249"/>
      <c r="G41" s="250"/>
      <c r="H41" s="105"/>
      <c r="I41" s="108"/>
      <c r="J41" s="106"/>
      <c r="K41" s="249"/>
      <c r="L41" s="250"/>
      <c r="M41" s="105"/>
      <c r="N41" s="106"/>
      <c r="P41" s="12"/>
      <c r="Q41" s="15"/>
      <c r="R41" s="15"/>
      <c r="S41" s="15"/>
      <c r="T41" s="13"/>
      <c r="U41" s="13"/>
      <c r="V41" s="13"/>
      <c r="W41" s="13"/>
      <c r="X41" s="1"/>
    </row>
    <row r="42" spans="1:25" s="3" customFormat="1" ht="15.75" customHeight="1" x14ac:dyDescent="0.25">
      <c r="A42" s="231" t="s">
        <v>21</v>
      </c>
      <c r="B42" s="232"/>
      <c r="C42" s="233"/>
      <c r="D42" s="234">
        <f>+COUNTA(D14:E41)</f>
        <v>0</v>
      </c>
      <c r="E42" s="235"/>
      <c r="F42" s="236">
        <f>+COUNTA(F14:G41)</f>
        <v>0</v>
      </c>
      <c r="G42" s="237"/>
      <c r="H42" s="292"/>
      <c r="I42" s="290"/>
      <c r="J42" s="289"/>
      <c r="K42" s="292"/>
      <c r="L42" s="289"/>
      <c r="M42" s="249"/>
      <c r="N42" s="308"/>
      <c r="U42" s="1"/>
      <c r="V42" s="1"/>
      <c r="W42" s="1"/>
      <c r="X42" s="1"/>
      <c r="Y42" s="1"/>
    </row>
    <row r="43" spans="1:25" s="3" customFormat="1" ht="15" customHeight="1" x14ac:dyDescent="0.25">
      <c r="D43" s="238" t="s">
        <v>38</v>
      </c>
      <c r="E43" s="239"/>
      <c r="R43" s="1"/>
      <c r="S43" s="1"/>
      <c r="T43" s="1"/>
      <c r="U43" s="1"/>
      <c r="V43" s="1"/>
    </row>
    <row r="44" spans="1:25" s="3" customFormat="1" x14ac:dyDescent="0.25">
      <c r="R44" s="1"/>
      <c r="S44" s="1"/>
      <c r="T44" s="1"/>
      <c r="U44" s="1"/>
      <c r="V44" s="1"/>
    </row>
    <row r="45" spans="1:25" s="3" customFormat="1" x14ac:dyDescent="0.25">
      <c r="U45" s="1"/>
      <c r="V45" s="1"/>
      <c r="W45" s="1"/>
      <c r="X45" s="1"/>
      <c r="Y45" s="1"/>
    </row>
    <row r="46" spans="1:25" s="3" customFormat="1" x14ac:dyDescent="0.25">
      <c r="U46" s="1"/>
      <c r="V46" s="1"/>
      <c r="W46" s="1"/>
      <c r="X46" s="1"/>
      <c r="Y46" s="1"/>
    </row>
    <row r="47" spans="1:25" s="3" customFormat="1" x14ac:dyDescent="0.25">
      <c r="R47" s="1"/>
      <c r="S47" s="1"/>
      <c r="T47" s="1"/>
      <c r="U47" s="1"/>
      <c r="V47" s="1"/>
    </row>
    <row r="48" spans="1:25" s="3" customFormat="1" x14ac:dyDescent="0.25">
      <c r="B48" s="23"/>
      <c r="U48" s="1"/>
      <c r="V48" s="1"/>
      <c r="W48" s="1"/>
      <c r="X48" s="1"/>
      <c r="Y48" s="1"/>
    </row>
    <row r="49" spans="1:25" s="3" customFormat="1" x14ac:dyDescent="0.25">
      <c r="A49" s="29" t="s">
        <v>20</v>
      </c>
      <c r="B49" s="30"/>
      <c r="C49" s="29"/>
      <c r="D49" s="29"/>
      <c r="E49" s="16"/>
      <c r="H49" s="18"/>
      <c r="U49" s="1"/>
      <c r="V49" s="1"/>
      <c r="W49" s="1"/>
      <c r="X49" s="1"/>
      <c r="Y49" s="1"/>
    </row>
    <row r="50" spans="1:25" s="3" customFormat="1" x14ac:dyDescent="0.25">
      <c r="A50" s="29" t="s">
        <v>7</v>
      </c>
      <c r="B50" s="30"/>
      <c r="C50" s="31">
        <f ca="1">TODAY()</f>
        <v>45320</v>
      </c>
      <c r="D50" s="29"/>
      <c r="E50" s="16"/>
      <c r="J50" s="28" t="s">
        <v>22</v>
      </c>
      <c r="U50" s="1"/>
      <c r="V50" s="1"/>
      <c r="W50" s="1"/>
      <c r="X50" s="1"/>
      <c r="Y50" s="1"/>
    </row>
    <row r="51" spans="1:25" s="3" customFormat="1" x14ac:dyDescent="0.25">
      <c r="A51" s="28"/>
      <c r="B51" s="304" t="s">
        <v>47</v>
      </c>
      <c r="C51" s="304"/>
      <c r="D51" s="304"/>
      <c r="E51" s="304"/>
      <c r="F51" s="304"/>
      <c r="J51" s="304" t="s">
        <v>48</v>
      </c>
      <c r="K51" s="304"/>
      <c r="L51" s="304"/>
      <c r="M51" s="304"/>
      <c r="N51" s="304"/>
      <c r="U51" s="1"/>
      <c r="V51" s="1"/>
      <c r="W51" s="1"/>
      <c r="X51" s="1"/>
      <c r="Y51" s="1"/>
    </row>
    <row r="52" spans="1:25" s="3" customFormat="1" x14ac:dyDescent="0.25">
      <c r="B52" s="304"/>
      <c r="C52" s="304"/>
      <c r="D52" s="304"/>
      <c r="E52" s="304"/>
      <c r="F52" s="304"/>
      <c r="J52" s="304"/>
      <c r="K52" s="304"/>
      <c r="L52" s="304"/>
      <c r="M52" s="304"/>
      <c r="N52" s="304"/>
      <c r="U52" s="1"/>
      <c r="V52" s="1"/>
      <c r="W52" s="1"/>
      <c r="X52" s="1"/>
      <c r="Y52" s="1"/>
    </row>
    <row r="53" spans="1:25" s="3" customFormat="1" x14ac:dyDescent="0.25">
      <c r="B53" s="304"/>
      <c r="C53" s="304"/>
      <c r="D53" s="304"/>
      <c r="E53" s="304"/>
      <c r="F53" s="304"/>
      <c r="J53" s="304"/>
      <c r="K53" s="304"/>
      <c r="L53" s="304"/>
      <c r="M53" s="304"/>
      <c r="N53" s="304"/>
      <c r="U53" s="1"/>
      <c r="V53" s="1"/>
      <c r="W53" s="1"/>
      <c r="X53" s="1"/>
      <c r="Y53" s="1"/>
    </row>
    <row r="54" spans="1:25" s="3" customFormat="1" x14ac:dyDescent="0.25">
      <c r="B54" s="304"/>
      <c r="C54" s="304"/>
      <c r="D54" s="304"/>
      <c r="E54" s="304"/>
      <c r="F54" s="304"/>
      <c r="J54" s="304"/>
      <c r="K54" s="304"/>
      <c r="L54" s="304"/>
      <c r="M54" s="304"/>
      <c r="N54" s="304"/>
      <c r="U54" s="1"/>
      <c r="V54" s="1"/>
      <c r="W54" s="1"/>
      <c r="X54" s="1"/>
      <c r="Y54" s="1"/>
    </row>
    <row r="55" spans="1:25" s="3" customFormat="1" x14ac:dyDescent="0.25">
      <c r="B55" s="304"/>
      <c r="C55" s="304"/>
      <c r="D55" s="304"/>
      <c r="E55" s="304"/>
      <c r="F55" s="304"/>
      <c r="J55" s="304"/>
      <c r="K55" s="304"/>
      <c r="L55" s="304"/>
      <c r="M55" s="304"/>
      <c r="N55" s="304"/>
      <c r="U55" s="1"/>
      <c r="V55" s="1"/>
      <c r="W55" s="1"/>
      <c r="X55" s="1"/>
      <c r="Y55" s="1"/>
    </row>
    <row r="56" spans="1:25" s="3" customFormat="1" x14ac:dyDescent="0.25">
      <c r="B56" s="304"/>
      <c r="C56" s="304"/>
      <c r="D56" s="304"/>
      <c r="E56" s="304"/>
      <c r="F56" s="304"/>
      <c r="J56" s="304"/>
      <c r="K56" s="304"/>
      <c r="L56" s="304"/>
      <c r="M56" s="304"/>
      <c r="N56" s="304"/>
      <c r="U56" s="1"/>
      <c r="V56" s="1"/>
      <c r="W56" s="1"/>
      <c r="X56" s="1"/>
      <c r="Y56" s="1"/>
    </row>
    <row r="57" spans="1:25" s="3" customFormat="1" x14ac:dyDescent="0.25">
      <c r="A57" s="3" t="s">
        <v>46</v>
      </c>
      <c r="B57" s="23"/>
      <c r="J57" s="3" t="s">
        <v>39</v>
      </c>
      <c r="U57" s="1"/>
      <c r="V57" s="1"/>
      <c r="W57" s="1"/>
      <c r="X57" s="1"/>
      <c r="Y57" s="1"/>
    </row>
    <row r="58" spans="1:25" s="3" customFormat="1" x14ac:dyDescent="0.25">
      <c r="B58" s="23"/>
      <c r="U58" s="1"/>
      <c r="V58" s="1"/>
      <c r="W58" s="1"/>
      <c r="X58" s="1"/>
      <c r="Y58" s="1"/>
    </row>
    <row r="59" spans="1:25" s="3" customFormat="1" x14ac:dyDescent="0.25">
      <c r="B59" s="23"/>
      <c r="U59" s="1"/>
      <c r="V59" s="1"/>
      <c r="W59" s="1"/>
      <c r="X59" s="1"/>
      <c r="Y59" s="1"/>
    </row>
    <row r="60" spans="1:25" s="3" customFormat="1" x14ac:dyDescent="0.25">
      <c r="B60" s="23"/>
      <c r="U60" s="1"/>
      <c r="V60" s="1"/>
      <c r="W60" s="1"/>
      <c r="X60" s="1"/>
      <c r="Y60" s="1"/>
    </row>
    <row r="61" spans="1:25" s="3" customFormat="1" x14ac:dyDescent="0.25">
      <c r="B61" s="23"/>
      <c r="U61" s="1"/>
      <c r="V61" s="1"/>
      <c r="W61" s="1"/>
      <c r="X61" s="1"/>
      <c r="Y61" s="1"/>
    </row>
    <row r="62" spans="1:25" s="3" customFormat="1" x14ac:dyDescent="0.25">
      <c r="B62" s="23"/>
      <c r="U62" s="1"/>
      <c r="V62" s="1"/>
      <c r="W62" s="1"/>
      <c r="X62" s="1"/>
      <c r="Y62" s="1"/>
    </row>
    <row r="63" spans="1:25" s="3" customFormat="1" x14ac:dyDescent="0.25">
      <c r="B63" s="23"/>
      <c r="U63" s="1"/>
      <c r="V63" s="1"/>
      <c r="W63" s="1"/>
      <c r="X63" s="1"/>
      <c r="Y63" s="1"/>
    </row>
    <row r="64" spans="1:25" s="3" customFormat="1" x14ac:dyDescent="0.25">
      <c r="B64" s="23"/>
      <c r="U64" s="1"/>
      <c r="V64" s="1"/>
      <c r="W64" s="1"/>
      <c r="X64" s="1"/>
      <c r="Y64" s="1"/>
    </row>
    <row r="65" spans="2:25" s="3" customFormat="1" x14ac:dyDescent="0.25">
      <c r="B65" s="23"/>
      <c r="U65" s="1"/>
      <c r="V65" s="1"/>
      <c r="W65" s="1"/>
      <c r="X65" s="1"/>
      <c r="Y65" s="1"/>
    </row>
    <row r="66" spans="2:25" s="3" customFormat="1" x14ac:dyDescent="0.25">
      <c r="B66" s="23"/>
      <c r="U66" s="1"/>
      <c r="V66" s="1"/>
      <c r="W66" s="1"/>
      <c r="X66" s="1"/>
      <c r="Y66" s="1"/>
    </row>
    <row r="67" spans="2:25" s="3" customFormat="1" x14ac:dyDescent="0.25">
      <c r="B67" s="23"/>
      <c r="U67" s="1"/>
      <c r="V67" s="1"/>
      <c r="W67" s="1"/>
      <c r="X67" s="1"/>
      <c r="Y67" s="1"/>
    </row>
    <row r="68" spans="2:25" s="3" customFormat="1" x14ac:dyDescent="0.25">
      <c r="B68" s="23"/>
      <c r="U68" s="1"/>
      <c r="V68" s="1"/>
      <c r="W68" s="1"/>
      <c r="X68" s="1"/>
      <c r="Y68" s="1"/>
    </row>
    <row r="69" spans="2:25" s="3" customFormat="1" x14ac:dyDescent="0.25">
      <c r="B69" s="23"/>
      <c r="U69" s="1"/>
      <c r="V69" s="1"/>
      <c r="W69" s="1"/>
      <c r="X69" s="1"/>
      <c r="Y69" s="1"/>
    </row>
    <row r="70" spans="2:25" s="3" customFormat="1" x14ac:dyDescent="0.25">
      <c r="B70" s="23"/>
      <c r="U70" s="1"/>
      <c r="V70" s="1"/>
      <c r="W70" s="1"/>
      <c r="X70" s="1"/>
      <c r="Y70" s="1"/>
    </row>
    <row r="71" spans="2:25" s="3" customFormat="1" x14ac:dyDescent="0.25">
      <c r="B71" s="23"/>
      <c r="U71" s="1"/>
      <c r="V71" s="1"/>
      <c r="W71" s="1"/>
      <c r="X71" s="1"/>
      <c r="Y71" s="1"/>
    </row>
    <row r="72" spans="2:25" s="3" customFormat="1" x14ac:dyDescent="0.25">
      <c r="B72" s="23"/>
      <c r="U72" s="1"/>
      <c r="V72" s="1"/>
      <c r="W72" s="1"/>
      <c r="X72" s="1"/>
      <c r="Y72" s="1"/>
    </row>
    <row r="73" spans="2:25" s="3" customFormat="1" x14ac:dyDescent="0.25">
      <c r="B73" s="23"/>
      <c r="U73" s="1"/>
      <c r="V73" s="1"/>
      <c r="W73" s="1"/>
      <c r="X73" s="1"/>
      <c r="Y73" s="1"/>
    </row>
    <row r="74" spans="2:25" s="3" customFormat="1" x14ac:dyDescent="0.25">
      <c r="B74" s="23"/>
      <c r="U74" s="1"/>
      <c r="V74" s="1"/>
      <c r="W74" s="1"/>
      <c r="X74" s="1"/>
      <c r="Y74" s="1"/>
    </row>
    <row r="75" spans="2:25" s="3" customFormat="1" x14ac:dyDescent="0.25">
      <c r="B75" s="23"/>
      <c r="U75" s="1"/>
      <c r="V75" s="1"/>
      <c r="W75" s="1"/>
      <c r="X75" s="1"/>
      <c r="Y75" s="1"/>
    </row>
    <row r="76" spans="2:25" s="3" customFormat="1" x14ac:dyDescent="0.25">
      <c r="B76" s="23"/>
      <c r="U76" s="1"/>
      <c r="V76" s="1"/>
      <c r="W76" s="1"/>
      <c r="X76" s="1"/>
      <c r="Y76" s="1"/>
    </row>
    <row r="77" spans="2:25" s="3" customFormat="1" x14ac:dyDescent="0.25">
      <c r="B77" s="23"/>
      <c r="U77" s="1"/>
      <c r="V77" s="1"/>
      <c r="W77" s="1"/>
      <c r="X77" s="1"/>
      <c r="Y77" s="1"/>
    </row>
    <row r="78" spans="2:25" s="3" customFormat="1" x14ac:dyDescent="0.25">
      <c r="B78" s="23"/>
      <c r="U78" s="1"/>
      <c r="V78" s="1"/>
      <c r="W78" s="1"/>
      <c r="X78" s="1"/>
      <c r="Y78" s="1"/>
    </row>
    <row r="79" spans="2:25" s="3" customFormat="1" x14ac:dyDescent="0.25">
      <c r="B79" s="23"/>
      <c r="U79" s="1"/>
      <c r="V79" s="1"/>
      <c r="W79" s="1"/>
      <c r="X79" s="1"/>
      <c r="Y79" s="1"/>
    </row>
    <row r="80" spans="2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K223" s="6"/>
      <c r="L223" s="6"/>
      <c r="M223" s="6"/>
      <c r="N223" s="6"/>
      <c r="U223" s="1"/>
      <c r="V223" s="1"/>
      <c r="W223" s="1"/>
      <c r="X223" s="1"/>
      <c r="Y223" s="1"/>
    </row>
    <row r="224" spans="2:25" s="3" customFormat="1" x14ac:dyDescent="0.25">
      <c r="B224" s="23"/>
      <c r="K224" s="6"/>
      <c r="L224" s="6"/>
      <c r="M224" s="6"/>
      <c r="N224" s="6"/>
      <c r="U224" s="1"/>
      <c r="V224" s="1"/>
      <c r="W224" s="1"/>
      <c r="X224" s="1"/>
      <c r="Y224" s="1"/>
    </row>
    <row r="225" spans="1:25" s="3" customFormat="1" x14ac:dyDescent="0.25">
      <c r="B225" s="23"/>
      <c r="K225" s="6"/>
      <c r="L225" s="6"/>
      <c r="M225" s="6"/>
      <c r="N225" s="6"/>
      <c r="U225" s="1"/>
      <c r="V225" s="1"/>
      <c r="W225" s="1"/>
      <c r="X225" s="1"/>
      <c r="Y225" s="1"/>
    </row>
    <row r="226" spans="1:25" s="3" customFormat="1" x14ac:dyDescent="0.25">
      <c r="B226" s="23"/>
      <c r="J226" s="6"/>
      <c r="K226" s="6"/>
      <c r="L226" s="6"/>
      <c r="M226" s="6"/>
      <c r="N226" s="6"/>
      <c r="U226" s="1"/>
      <c r="V226" s="1"/>
      <c r="W226" s="1"/>
      <c r="X226" s="1"/>
      <c r="Y226" s="1"/>
    </row>
    <row r="227" spans="1:25" s="3" customFormat="1" x14ac:dyDescent="0.25">
      <c r="B227" s="23"/>
      <c r="J227" s="6"/>
      <c r="K227" s="6"/>
      <c r="L227" s="6"/>
      <c r="M227" s="6"/>
      <c r="N227" s="6"/>
      <c r="U227" s="1"/>
      <c r="V227" s="1"/>
      <c r="W227" s="1"/>
      <c r="X227" s="1"/>
      <c r="Y227" s="1"/>
    </row>
    <row r="228" spans="1:25" s="3" customFormat="1" x14ac:dyDescent="0.25">
      <c r="B228" s="23"/>
      <c r="J228" s="6"/>
      <c r="K228" s="6"/>
      <c r="L228" s="6"/>
      <c r="M228" s="6"/>
      <c r="N228" s="6"/>
      <c r="U228" s="1"/>
      <c r="V228" s="1"/>
      <c r="W228" s="1"/>
      <c r="X228" s="1"/>
      <c r="Y228" s="1"/>
    </row>
    <row r="229" spans="1:25" s="3" customFormat="1" x14ac:dyDescent="0.25">
      <c r="B229" s="23"/>
      <c r="J229" s="6"/>
      <c r="K229" s="6"/>
      <c r="L229" s="6"/>
      <c r="M229" s="6"/>
      <c r="N229" s="6"/>
      <c r="U229" s="1"/>
      <c r="V229" s="1"/>
      <c r="W229" s="1"/>
      <c r="X229" s="1"/>
      <c r="Y229" s="1"/>
    </row>
    <row r="230" spans="1:25" s="3" customFormat="1" x14ac:dyDescent="0.25">
      <c r="B230" s="23"/>
      <c r="J230" s="6"/>
      <c r="K230" s="6"/>
      <c r="L230" s="6"/>
      <c r="M230" s="6"/>
      <c r="N230" s="6"/>
      <c r="O230" s="6"/>
      <c r="U230" s="1"/>
      <c r="V230" s="1"/>
      <c r="W230" s="1"/>
      <c r="X230" s="1"/>
      <c r="Y230" s="1"/>
    </row>
    <row r="231" spans="1:25" s="3" customFormat="1" x14ac:dyDescent="0.25">
      <c r="B231" s="23"/>
      <c r="J231" s="6"/>
      <c r="K231" s="6"/>
      <c r="L231" s="6"/>
      <c r="M231" s="6"/>
      <c r="N231" s="6"/>
      <c r="O231" s="6"/>
      <c r="U231" s="1"/>
      <c r="V231" s="1"/>
      <c r="W231" s="1"/>
      <c r="X231" s="1"/>
      <c r="Y231" s="1"/>
    </row>
    <row r="232" spans="1:25" s="3" customFormat="1" x14ac:dyDescent="0.25">
      <c r="A232" s="6"/>
      <c r="B232" s="25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Q232" s="6"/>
      <c r="R232" s="6"/>
      <c r="S232" s="6"/>
      <c r="U232" s="1"/>
      <c r="V232" s="1"/>
      <c r="W232" s="1"/>
      <c r="X232" s="1"/>
      <c r="Y232" s="1"/>
    </row>
  </sheetData>
  <sheetProtection sheet="1" objects="1" scenarios="1"/>
  <mergeCells count="179">
    <mergeCell ref="H15:J15"/>
    <mergeCell ref="K15:L15"/>
    <mergeCell ref="A15:C15"/>
    <mergeCell ref="A16:C16"/>
    <mergeCell ref="A17:C17"/>
    <mergeCell ref="D2:K4"/>
    <mergeCell ref="L2:N4"/>
    <mergeCell ref="D15:E15"/>
    <mergeCell ref="F15:G15"/>
    <mergeCell ref="D18:E18"/>
    <mergeCell ref="F18:G18"/>
    <mergeCell ref="H18:J18"/>
    <mergeCell ref="K18:L18"/>
    <mergeCell ref="M18:N18"/>
    <mergeCell ref="A18:C18"/>
    <mergeCell ref="A19:C19"/>
    <mergeCell ref="M15:N15"/>
    <mergeCell ref="D14:E14"/>
    <mergeCell ref="F14:G14"/>
    <mergeCell ref="H14:J14"/>
    <mergeCell ref="K14:L14"/>
    <mergeCell ref="A14:C14"/>
    <mergeCell ref="M14:N14"/>
    <mergeCell ref="D17:E17"/>
    <mergeCell ref="F17:G17"/>
    <mergeCell ref="H17:J17"/>
    <mergeCell ref="K17:L17"/>
    <mergeCell ref="M17:N17"/>
    <mergeCell ref="D16:E16"/>
    <mergeCell ref="F16:G16"/>
    <mergeCell ref="H16:J16"/>
    <mergeCell ref="K16:L16"/>
    <mergeCell ref="M16:N16"/>
    <mergeCell ref="R3:T3"/>
    <mergeCell ref="B5:K5"/>
    <mergeCell ref="L5:N5"/>
    <mergeCell ref="R5:T5"/>
    <mergeCell ref="C8:F8"/>
    <mergeCell ref="K8:N8"/>
    <mergeCell ref="C10:F10"/>
    <mergeCell ref="K10:N10"/>
    <mergeCell ref="A13:C13"/>
    <mergeCell ref="D13:E13"/>
    <mergeCell ref="F13:G13"/>
    <mergeCell ref="H13:J13"/>
    <mergeCell ref="K13:L13"/>
    <mergeCell ref="M13:N13"/>
    <mergeCell ref="D20:E20"/>
    <mergeCell ref="F20:G20"/>
    <mergeCell ref="H20:J20"/>
    <mergeCell ref="K20:L20"/>
    <mergeCell ref="M20:N20"/>
    <mergeCell ref="A20:C20"/>
    <mergeCell ref="A21:C21"/>
    <mergeCell ref="D19:E19"/>
    <mergeCell ref="F19:G19"/>
    <mergeCell ref="H19:J19"/>
    <mergeCell ref="K19:L19"/>
    <mergeCell ref="M19:N19"/>
    <mergeCell ref="D22:E22"/>
    <mergeCell ref="F22:G22"/>
    <mergeCell ref="H22:J22"/>
    <mergeCell ref="K22:L22"/>
    <mergeCell ref="M22:N22"/>
    <mergeCell ref="A22:C22"/>
    <mergeCell ref="A23:C23"/>
    <mergeCell ref="D21:E21"/>
    <mergeCell ref="F21:G21"/>
    <mergeCell ref="H21:J21"/>
    <mergeCell ref="K21:L21"/>
    <mergeCell ref="M21:N21"/>
    <mergeCell ref="D24:E24"/>
    <mergeCell ref="F24:G24"/>
    <mergeCell ref="H24:J24"/>
    <mergeCell ref="K24:L24"/>
    <mergeCell ref="M24:N24"/>
    <mergeCell ref="A24:C24"/>
    <mergeCell ref="A25:C25"/>
    <mergeCell ref="D23:E23"/>
    <mergeCell ref="F23:G23"/>
    <mergeCell ref="H23:J23"/>
    <mergeCell ref="K23:L23"/>
    <mergeCell ref="M23:N23"/>
    <mergeCell ref="D26:E26"/>
    <mergeCell ref="F26:G26"/>
    <mergeCell ref="H26:J26"/>
    <mergeCell ref="K26:L26"/>
    <mergeCell ref="M26:N26"/>
    <mergeCell ref="A26:C26"/>
    <mergeCell ref="A27:C27"/>
    <mergeCell ref="D25:E25"/>
    <mergeCell ref="F25:G25"/>
    <mergeCell ref="H25:J25"/>
    <mergeCell ref="K25:L25"/>
    <mergeCell ref="M25:N25"/>
    <mergeCell ref="D28:E28"/>
    <mergeCell ref="F28:G28"/>
    <mergeCell ref="H28:J28"/>
    <mergeCell ref="K28:L28"/>
    <mergeCell ref="M28:N28"/>
    <mergeCell ref="A28:C28"/>
    <mergeCell ref="A29:C29"/>
    <mergeCell ref="D27:E27"/>
    <mergeCell ref="F27:G27"/>
    <mergeCell ref="H27:J27"/>
    <mergeCell ref="K27:L27"/>
    <mergeCell ref="M27:N27"/>
    <mergeCell ref="D30:E30"/>
    <mergeCell ref="F30:G30"/>
    <mergeCell ref="H30:J30"/>
    <mergeCell ref="K30:L30"/>
    <mergeCell ref="M30:N30"/>
    <mergeCell ref="A30:C30"/>
    <mergeCell ref="A31:C31"/>
    <mergeCell ref="D29:E29"/>
    <mergeCell ref="F29:G29"/>
    <mergeCell ref="H29:J29"/>
    <mergeCell ref="K29:L29"/>
    <mergeCell ref="M29:N29"/>
    <mergeCell ref="D32:E32"/>
    <mergeCell ref="F32:G32"/>
    <mergeCell ref="H32:J32"/>
    <mergeCell ref="K32:L32"/>
    <mergeCell ref="M32:N32"/>
    <mergeCell ref="A32:C32"/>
    <mergeCell ref="A33:C33"/>
    <mergeCell ref="D31:E31"/>
    <mergeCell ref="F31:G31"/>
    <mergeCell ref="H31:J31"/>
    <mergeCell ref="K31:L31"/>
    <mergeCell ref="M31:N31"/>
    <mergeCell ref="D34:E34"/>
    <mergeCell ref="F34:G34"/>
    <mergeCell ref="H34:J34"/>
    <mergeCell ref="K34:L34"/>
    <mergeCell ref="A34:C34"/>
    <mergeCell ref="A35:C35"/>
    <mergeCell ref="A36:C36"/>
    <mergeCell ref="M34:N34"/>
    <mergeCell ref="D33:E33"/>
    <mergeCell ref="F33:G33"/>
    <mergeCell ref="H33:J33"/>
    <mergeCell ref="K33:L33"/>
    <mergeCell ref="M33:N33"/>
    <mergeCell ref="A37:C37"/>
    <mergeCell ref="A38:C38"/>
    <mergeCell ref="A39:C39"/>
    <mergeCell ref="A40:C40"/>
    <mergeCell ref="D35:E35"/>
    <mergeCell ref="F35:G35"/>
    <mergeCell ref="K35:L35"/>
    <mergeCell ref="D36:E36"/>
    <mergeCell ref="F36:G36"/>
    <mergeCell ref="K36:L36"/>
    <mergeCell ref="D39:E39"/>
    <mergeCell ref="F39:G39"/>
    <mergeCell ref="K39:L39"/>
    <mergeCell ref="D40:E40"/>
    <mergeCell ref="F40:G40"/>
    <mergeCell ref="K40:L40"/>
    <mergeCell ref="D37:E37"/>
    <mergeCell ref="F37:G37"/>
    <mergeCell ref="K37:L37"/>
    <mergeCell ref="D38:E38"/>
    <mergeCell ref="F38:G38"/>
    <mergeCell ref="K38:L38"/>
    <mergeCell ref="B51:F56"/>
    <mergeCell ref="J51:N56"/>
    <mergeCell ref="A42:C42"/>
    <mergeCell ref="D43:E43"/>
    <mergeCell ref="D42:E42"/>
    <mergeCell ref="K42:L42"/>
    <mergeCell ref="D41:E41"/>
    <mergeCell ref="F41:G41"/>
    <mergeCell ref="K41:L41"/>
    <mergeCell ref="A41:C41"/>
    <mergeCell ref="F42:G42"/>
    <mergeCell ref="M42:N42"/>
    <mergeCell ref="H42:J42"/>
  </mergeCells>
  <conditionalFormatting sqref="D14:D41">
    <cfRule type="expression" dxfId="75" priority="5">
      <formula>#REF!="Non"</formula>
    </cfRule>
    <cfRule type="expression" dxfId="74" priority="6">
      <formula>#REF!="Oui"</formula>
    </cfRule>
  </conditionalFormatting>
  <conditionalFormatting sqref="D42">
    <cfRule type="expression" dxfId="73" priority="3">
      <formula>#REF!="Non"</formula>
    </cfRule>
    <cfRule type="expression" dxfId="72" priority="4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  <pageSetUpPr fitToPage="1"/>
  </sheetPr>
  <dimension ref="A1:BD237"/>
  <sheetViews>
    <sheetView topLeftCell="A4" zoomScale="90" zoomScaleNormal="90" workbookViewId="0">
      <selection activeCell="T39" sqref="T39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2.28515625" style="6" customWidth="1"/>
    <col min="4" max="4" width="8.42578125" style="6" customWidth="1"/>
    <col min="5" max="5" width="6.42578125" style="6" customWidth="1"/>
    <col min="6" max="6" width="5.42578125" style="6" customWidth="1"/>
    <col min="7" max="7" width="8" style="6" customWidth="1"/>
    <col min="8" max="8" width="5.85546875" style="6" customWidth="1"/>
    <col min="9" max="9" width="9.42578125" style="6" customWidth="1"/>
    <col min="10" max="10" width="14.42578125" style="6" customWidth="1"/>
    <col min="11" max="12" width="8.140625" style="6" customWidth="1"/>
    <col min="13" max="13" width="8" style="6" customWidth="1"/>
    <col min="14" max="14" width="10.42578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67</v>
      </c>
      <c r="E2" s="195"/>
      <c r="F2" s="195"/>
      <c r="G2" s="195"/>
      <c r="H2" s="195"/>
      <c r="I2" s="195"/>
      <c r="J2" s="195"/>
      <c r="K2" s="195"/>
      <c r="L2" s="251">
        <f>'Niveau 1 Juin'!L2:N4</f>
        <v>45444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6"/>
      <c r="Q3" s="4"/>
      <c r="R3" s="220"/>
      <c r="S3" s="220"/>
      <c r="T3" s="220"/>
      <c r="U3" s="36"/>
      <c r="V3" s="36"/>
      <c r="W3" s="36"/>
      <c r="X3" s="36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6"/>
      <c r="Q4" s="4"/>
      <c r="R4" s="36"/>
      <c r="S4" s="36"/>
      <c r="T4" s="36"/>
      <c r="U4" s="36"/>
      <c r="V4" s="36"/>
      <c r="W4" s="36"/>
      <c r="X4" s="36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f>+'Niveau 1 Juin'!L5:N5</f>
        <v>45440</v>
      </c>
      <c r="M5" s="222"/>
      <c r="N5" s="222"/>
      <c r="O5" s="3"/>
      <c r="P5" s="36"/>
      <c r="Q5" s="5"/>
      <c r="R5" s="220"/>
      <c r="S5" s="220"/>
      <c r="T5" s="220"/>
      <c r="U5" s="36"/>
      <c r="V5" s="36"/>
      <c r="W5" s="36"/>
      <c r="X5" s="36"/>
      <c r="Y5" s="5"/>
    </row>
    <row r="6" spans="1:25" ht="19.5" customHeight="1" x14ac:dyDescent="0.35">
      <c r="A6" s="27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40"/>
      <c r="V6" s="40"/>
      <c r="W6" s="40"/>
      <c r="X6" s="40"/>
      <c r="Y6" s="5"/>
    </row>
    <row r="7" spans="1:25" ht="19.5" customHeight="1" thickBot="1" x14ac:dyDescent="0.4">
      <c r="A7" s="111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40"/>
      <c r="V7" s="40"/>
      <c r="W7" s="40"/>
      <c r="X7" s="40"/>
      <c r="Y7" s="5"/>
    </row>
    <row r="8" spans="1:25" ht="18" customHeight="1" thickBot="1" x14ac:dyDescent="0.3">
      <c r="A8" s="8" t="s">
        <v>2</v>
      </c>
      <c r="B8" s="24"/>
      <c r="C8" s="223"/>
      <c r="D8" s="224"/>
      <c r="E8" s="224"/>
      <c r="F8" s="225"/>
      <c r="G8" s="9"/>
      <c r="H8" s="8" t="s">
        <v>26</v>
      </c>
      <c r="I8" s="8"/>
      <c r="J8" s="8"/>
      <c r="K8" s="223"/>
      <c r="L8" s="224"/>
      <c r="M8" s="224"/>
      <c r="N8" s="225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223"/>
      <c r="D10" s="224"/>
      <c r="E10" s="224"/>
      <c r="F10" s="225"/>
      <c r="G10" s="9"/>
      <c r="H10" s="8" t="s">
        <v>25</v>
      </c>
      <c r="I10" s="8"/>
      <c r="J10" s="8"/>
      <c r="K10" s="223"/>
      <c r="L10" s="224"/>
      <c r="M10" s="224"/>
      <c r="N10" s="225"/>
      <c r="O10" s="26"/>
      <c r="P10" s="26"/>
      <c r="Q10" s="26"/>
      <c r="R10" s="26"/>
      <c r="S10" s="26"/>
      <c r="T10" s="26"/>
      <c r="U10" s="11"/>
    </row>
    <row r="11" spans="1:25" ht="18" customHeight="1" thickBot="1" x14ac:dyDescent="0.35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8" customHeight="1" thickBot="1" x14ac:dyDescent="0.35">
      <c r="A12" s="8" t="s">
        <v>49</v>
      </c>
      <c r="B12" s="24"/>
      <c r="C12" s="223"/>
      <c r="D12" s="224"/>
      <c r="E12" s="224"/>
      <c r="F12" s="225"/>
      <c r="G12" s="24"/>
      <c r="H12" s="8" t="s">
        <v>52</v>
      </c>
      <c r="I12" s="8"/>
      <c r="J12" s="24"/>
      <c r="K12" s="241"/>
      <c r="L12" s="242"/>
      <c r="M12" s="8" t="s">
        <v>59</v>
      </c>
      <c r="N12" s="24"/>
      <c r="O12" s="26"/>
      <c r="P12" s="26"/>
      <c r="Q12" s="26"/>
      <c r="R12" s="26"/>
      <c r="S12" s="26"/>
      <c r="T12" s="26"/>
      <c r="U12" s="11"/>
    </row>
    <row r="13" spans="1:25" ht="18" customHeight="1" thickBot="1" x14ac:dyDescent="0.35">
      <c r="A13" s="8"/>
      <c r="B13" s="24"/>
      <c r="C13" s="24"/>
      <c r="D13" s="24"/>
      <c r="E13" s="24"/>
      <c r="F13" s="24"/>
      <c r="G13" s="24"/>
      <c r="H13" s="8" t="s">
        <v>51</v>
      </c>
      <c r="I13" s="8"/>
      <c r="J13" s="24"/>
      <c r="K13" s="260"/>
      <c r="L13" s="261"/>
      <c r="M13" s="32" t="s">
        <v>60</v>
      </c>
      <c r="N13" s="24"/>
      <c r="O13" s="26"/>
      <c r="P13" s="26"/>
      <c r="Q13" s="26"/>
      <c r="R13" s="26"/>
      <c r="S13" s="26"/>
      <c r="T13" s="26"/>
      <c r="U13" s="11"/>
    </row>
    <row r="14" spans="1:25" ht="13.5" customHeight="1" thickBot="1" x14ac:dyDescent="0.35">
      <c r="A14" s="8"/>
      <c r="B14" s="24"/>
      <c r="C14" s="24"/>
      <c r="D14" s="24"/>
      <c r="E14" s="24"/>
      <c r="F14" s="24"/>
      <c r="G14" s="9"/>
      <c r="H14" s="8"/>
      <c r="I14" s="8"/>
      <c r="J14" s="8"/>
      <c r="K14" s="8"/>
      <c r="L14" s="8"/>
      <c r="M14" s="8"/>
      <c r="N14" s="8"/>
      <c r="O14" s="26"/>
      <c r="P14" s="26"/>
      <c r="Q14" s="26"/>
      <c r="R14" s="26"/>
      <c r="S14" s="26"/>
      <c r="T14" s="26"/>
      <c r="U14" s="11"/>
    </row>
    <row r="15" spans="1:25" ht="22.5" customHeight="1" thickBot="1" x14ac:dyDescent="0.35">
      <c r="A15" s="8"/>
      <c r="B15" s="24"/>
      <c r="C15" s="10"/>
      <c r="D15" s="10"/>
      <c r="E15" s="10"/>
      <c r="F15" s="262" t="s">
        <v>28</v>
      </c>
      <c r="G15" s="263"/>
      <c r="H15" s="263"/>
      <c r="I15" s="263"/>
      <c r="J15" s="263"/>
      <c r="K15" s="263"/>
      <c r="L15" s="263"/>
      <c r="M15" s="263"/>
      <c r="N15" s="264"/>
      <c r="O15" s="26"/>
      <c r="P15" s="26"/>
      <c r="Q15" s="26"/>
      <c r="R15" s="26"/>
      <c r="S15" s="26"/>
      <c r="T15" s="26"/>
      <c r="U15" s="11"/>
    </row>
    <row r="16" spans="1:25" s="19" customFormat="1" ht="54.75" customHeight="1" x14ac:dyDescent="0.25">
      <c r="A16" s="200" t="s">
        <v>1</v>
      </c>
      <c r="B16" s="201"/>
      <c r="C16" s="202"/>
      <c r="D16" s="203" t="s">
        <v>58</v>
      </c>
      <c r="E16" s="204"/>
      <c r="F16" s="265" t="s">
        <v>29</v>
      </c>
      <c r="G16" s="265"/>
      <c r="H16" s="266" t="s">
        <v>61</v>
      </c>
      <c r="I16" s="267"/>
      <c r="J16" s="37" t="s">
        <v>63</v>
      </c>
      <c r="K16" s="268" t="s">
        <v>64</v>
      </c>
      <c r="L16" s="269"/>
      <c r="M16" s="266" t="s">
        <v>30</v>
      </c>
      <c r="N16" s="267"/>
      <c r="O16" s="26"/>
      <c r="P16" s="26"/>
      <c r="Q16" s="26"/>
      <c r="R16" s="26"/>
      <c r="S16" s="26"/>
      <c r="T16" s="26"/>
      <c r="U16" s="20"/>
      <c r="V16" s="20"/>
      <c r="W16" s="20"/>
      <c r="X16" s="21"/>
    </row>
    <row r="17" spans="1:24" s="3" customFormat="1" ht="15.75" x14ac:dyDescent="0.25">
      <c r="A17" s="305">
        <v>45411</v>
      </c>
      <c r="B17" s="306"/>
      <c r="C17" s="307"/>
      <c r="D17" s="243"/>
      <c r="E17" s="243"/>
      <c r="F17" s="244"/>
      <c r="G17" s="245"/>
      <c r="H17" s="246"/>
      <c r="I17" s="247"/>
      <c r="J17" s="100"/>
      <c r="K17" s="248"/>
      <c r="L17" s="248"/>
      <c r="M17" s="249">
        <f t="shared" ref="M17" si="0">+K17-J17</f>
        <v>0</v>
      </c>
      <c r="N17" s="250"/>
      <c r="O17" s="26"/>
      <c r="P17" s="26"/>
      <c r="Q17" s="26"/>
      <c r="R17" s="26"/>
      <c r="S17" s="26"/>
      <c r="T17" s="26"/>
      <c r="U17" s="13"/>
      <c r="V17" s="13"/>
      <c r="W17" s="13"/>
      <c r="X17" s="1"/>
    </row>
    <row r="18" spans="1:24" s="3" customFormat="1" ht="15.75" x14ac:dyDescent="0.25">
      <c r="A18" s="305">
        <v>45412</v>
      </c>
      <c r="B18" s="306"/>
      <c r="C18" s="307"/>
      <c r="D18" s="243"/>
      <c r="E18" s="243"/>
      <c r="F18" s="244"/>
      <c r="G18" s="245"/>
      <c r="H18" s="246"/>
      <c r="I18" s="247"/>
      <c r="J18" s="100"/>
      <c r="K18" s="248"/>
      <c r="L18" s="248"/>
      <c r="M18" s="249">
        <f t="shared" ref="M18:M44" si="1">+K18-J18</f>
        <v>0</v>
      </c>
      <c r="N18" s="250"/>
      <c r="P18" s="26"/>
      <c r="Q18" s="26"/>
      <c r="R18" s="26"/>
      <c r="S18" s="26"/>
      <c r="T18" s="26"/>
      <c r="U18" s="13"/>
      <c r="V18" s="13"/>
      <c r="W18" s="13"/>
      <c r="X18" s="1"/>
    </row>
    <row r="19" spans="1:24" s="3" customFormat="1" ht="15.75" x14ac:dyDescent="0.25">
      <c r="A19" s="305">
        <v>45413</v>
      </c>
      <c r="B19" s="306"/>
      <c r="C19" s="307"/>
      <c r="D19" s="243"/>
      <c r="E19" s="243"/>
      <c r="F19" s="244"/>
      <c r="G19" s="245"/>
      <c r="H19" s="246"/>
      <c r="I19" s="247"/>
      <c r="J19" s="100"/>
      <c r="K19" s="248"/>
      <c r="L19" s="248"/>
      <c r="M19" s="249">
        <f t="shared" si="1"/>
        <v>0</v>
      </c>
      <c r="N19" s="250"/>
      <c r="P19" s="26"/>
      <c r="Q19" s="26"/>
      <c r="R19" s="26"/>
      <c r="S19" s="26"/>
      <c r="T19" s="26"/>
      <c r="U19" s="26"/>
      <c r="V19" s="13"/>
      <c r="W19" s="13"/>
      <c r="X19" s="1"/>
    </row>
    <row r="20" spans="1:24" s="3" customFormat="1" x14ac:dyDescent="0.25">
      <c r="A20" s="305">
        <v>45414</v>
      </c>
      <c r="B20" s="306"/>
      <c r="C20" s="307"/>
      <c r="D20" s="243"/>
      <c r="E20" s="243"/>
      <c r="F20" s="244"/>
      <c r="G20" s="245"/>
      <c r="H20" s="246"/>
      <c r="I20" s="247"/>
      <c r="J20" s="100"/>
      <c r="K20" s="248"/>
      <c r="L20" s="248"/>
      <c r="M20" s="249">
        <f t="shared" si="1"/>
        <v>0</v>
      </c>
      <c r="N20" s="250"/>
      <c r="P20" s="12"/>
      <c r="Q20" s="12"/>
      <c r="R20" s="12"/>
      <c r="S20" s="12"/>
      <c r="T20" s="13"/>
      <c r="U20" s="13"/>
      <c r="V20" s="13"/>
      <c r="W20" s="13"/>
      <c r="X20" s="1"/>
    </row>
    <row r="21" spans="1:24" s="3" customFormat="1" x14ac:dyDescent="0.25">
      <c r="A21" s="305">
        <v>45415</v>
      </c>
      <c r="B21" s="306"/>
      <c r="C21" s="307"/>
      <c r="D21" s="243"/>
      <c r="E21" s="243"/>
      <c r="F21" s="244"/>
      <c r="G21" s="245"/>
      <c r="H21" s="246"/>
      <c r="I21" s="247"/>
      <c r="J21" s="100"/>
      <c r="K21" s="248"/>
      <c r="L21" s="248"/>
      <c r="M21" s="249">
        <f t="shared" si="1"/>
        <v>0</v>
      </c>
      <c r="N21" s="250"/>
      <c r="P21" s="12"/>
      <c r="Q21" s="12"/>
      <c r="R21" s="12"/>
      <c r="S21" s="12"/>
      <c r="T21" s="13"/>
      <c r="U21" s="13"/>
      <c r="V21" s="13"/>
      <c r="W21" s="13"/>
      <c r="X21" s="1"/>
    </row>
    <row r="22" spans="1:24" s="3" customFormat="1" x14ac:dyDescent="0.25">
      <c r="A22" s="305">
        <v>45416</v>
      </c>
      <c r="B22" s="306"/>
      <c r="C22" s="307"/>
      <c r="D22" s="243"/>
      <c r="E22" s="243"/>
      <c r="F22" s="244"/>
      <c r="G22" s="245"/>
      <c r="H22" s="246"/>
      <c r="I22" s="247"/>
      <c r="J22" s="100"/>
      <c r="K22" s="248"/>
      <c r="L22" s="248"/>
      <c r="M22" s="249">
        <f t="shared" si="1"/>
        <v>0</v>
      </c>
      <c r="N22" s="250"/>
      <c r="P22" s="12"/>
      <c r="Q22" s="12"/>
      <c r="R22" s="12"/>
      <c r="S22" s="12"/>
      <c r="T22" s="13"/>
      <c r="U22" s="13"/>
      <c r="V22" s="13"/>
      <c r="W22" s="13"/>
      <c r="X22" s="1"/>
    </row>
    <row r="23" spans="1:24" s="3" customFormat="1" x14ac:dyDescent="0.25">
      <c r="A23" s="305">
        <v>45417</v>
      </c>
      <c r="B23" s="306"/>
      <c r="C23" s="307"/>
      <c r="D23" s="243"/>
      <c r="E23" s="243"/>
      <c r="F23" s="244"/>
      <c r="G23" s="245"/>
      <c r="H23" s="246"/>
      <c r="I23" s="247"/>
      <c r="J23" s="100"/>
      <c r="K23" s="248"/>
      <c r="L23" s="248"/>
      <c r="M23" s="249">
        <f t="shared" si="1"/>
        <v>0</v>
      </c>
      <c r="N23" s="250"/>
      <c r="P23" s="12"/>
      <c r="Q23" s="12"/>
      <c r="R23" s="12"/>
      <c r="S23" s="12"/>
      <c r="T23" s="13"/>
      <c r="U23" s="13"/>
      <c r="V23" s="13"/>
      <c r="W23" s="13"/>
      <c r="X23" s="1"/>
    </row>
    <row r="24" spans="1:24" s="3" customFormat="1" x14ac:dyDescent="0.25">
      <c r="A24" s="305">
        <v>45418</v>
      </c>
      <c r="B24" s="306"/>
      <c r="C24" s="307"/>
      <c r="D24" s="243"/>
      <c r="E24" s="243"/>
      <c r="F24" s="244"/>
      <c r="G24" s="245"/>
      <c r="H24" s="246"/>
      <c r="I24" s="247"/>
      <c r="J24" s="100"/>
      <c r="K24" s="248"/>
      <c r="L24" s="248"/>
      <c r="M24" s="249">
        <f t="shared" si="1"/>
        <v>0</v>
      </c>
      <c r="N24" s="250"/>
      <c r="P24" s="12"/>
      <c r="Q24" s="12"/>
      <c r="R24" s="12"/>
      <c r="S24" s="12"/>
      <c r="T24" s="13"/>
      <c r="U24" s="13"/>
      <c r="V24" s="13"/>
      <c r="W24" s="13"/>
      <c r="X24" s="1"/>
    </row>
    <row r="25" spans="1:24" s="3" customFormat="1" x14ac:dyDescent="0.25">
      <c r="A25" s="305">
        <v>45419</v>
      </c>
      <c r="B25" s="306"/>
      <c r="C25" s="307"/>
      <c r="D25" s="243"/>
      <c r="E25" s="243"/>
      <c r="F25" s="244"/>
      <c r="G25" s="245"/>
      <c r="H25" s="246"/>
      <c r="I25" s="247"/>
      <c r="J25" s="100"/>
      <c r="K25" s="248"/>
      <c r="L25" s="248"/>
      <c r="M25" s="249">
        <f t="shared" si="1"/>
        <v>0</v>
      </c>
      <c r="N25" s="250"/>
      <c r="P25" s="12"/>
      <c r="Q25" s="12"/>
      <c r="R25" s="12"/>
      <c r="S25" s="12"/>
      <c r="T25" s="13"/>
      <c r="U25" s="13"/>
      <c r="V25" s="13"/>
      <c r="W25" s="13"/>
      <c r="X25" s="1"/>
    </row>
    <row r="26" spans="1:24" s="3" customFormat="1" x14ac:dyDescent="0.25">
      <c r="A26" s="305">
        <v>45420</v>
      </c>
      <c r="B26" s="306"/>
      <c r="C26" s="307"/>
      <c r="D26" s="243"/>
      <c r="E26" s="243"/>
      <c r="F26" s="244"/>
      <c r="G26" s="245"/>
      <c r="H26" s="246"/>
      <c r="I26" s="247"/>
      <c r="J26" s="100"/>
      <c r="K26" s="248"/>
      <c r="L26" s="248"/>
      <c r="M26" s="249">
        <f t="shared" si="1"/>
        <v>0</v>
      </c>
      <c r="N26" s="250"/>
      <c r="P26" s="12"/>
      <c r="Q26" s="12"/>
      <c r="R26" s="12"/>
      <c r="S26" s="12"/>
      <c r="T26" s="13"/>
      <c r="U26" s="13"/>
      <c r="V26" s="13"/>
      <c r="W26" s="13"/>
      <c r="X26" s="1"/>
    </row>
    <row r="27" spans="1:24" s="3" customFormat="1" x14ac:dyDescent="0.25">
      <c r="A27" s="305">
        <v>45421</v>
      </c>
      <c r="B27" s="306"/>
      <c r="C27" s="307"/>
      <c r="D27" s="243"/>
      <c r="E27" s="243"/>
      <c r="F27" s="244"/>
      <c r="G27" s="245"/>
      <c r="H27" s="246"/>
      <c r="I27" s="247"/>
      <c r="J27" s="100"/>
      <c r="K27" s="248"/>
      <c r="L27" s="248"/>
      <c r="M27" s="249">
        <f t="shared" si="1"/>
        <v>0</v>
      </c>
      <c r="N27" s="250"/>
      <c r="P27" s="12"/>
      <c r="Q27" s="15"/>
      <c r="R27" s="15"/>
      <c r="S27" s="15"/>
      <c r="T27" s="13"/>
      <c r="U27" s="13"/>
      <c r="V27" s="13"/>
      <c r="W27" s="13"/>
      <c r="X27" s="1"/>
    </row>
    <row r="28" spans="1:24" s="3" customFormat="1" x14ac:dyDescent="0.25">
      <c r="A28" s="305">
        <v>45422</v>
      </c>
      <c r="B28" s="306"/>
      <c r="C28" s="307"/>
      <c r="D28" s="243"/>
      <c r="E28" s="243"/>
      <c r="F28" s="244"/>
      <c r="G28" s="245"/>
      <c r="H28" s="246"/>
      <c r="I28" s="247"/>
      <c r="J28" s="100"/>
      <c r="K28" s="248"/>
      <c r="L28" s="248"/>
      <c r="M28" s="249">
        <f t="shared" si="1"/>
        <v>0</v>
      </c>
      <c r="N28" s="250"/>
      <c r="P28" s="12"/>
      <c r="Q28" s="15"/>
      <c r="R28" s="15"/>
      <c r="S28" s="15"/>
      <c r="T28" s="13"/>
      <c r="U28" s="13"/>
      <c r="V28" s="13"/>
      <c r="W28" s="13"/>
      <c r="X28" s="1"/>
    </row>
    <row r="29" spans="1:24" s="3" customFormat="1" x14ac:dyDescent="0.25">
      <c r="A29" s="305">
        <v>45423</v>
      </c>
      <c r="B29" s="306"/>
      <c r="C29" s="307"/>
      <c r="D29" s="243"/>
      <c r="E29" s="243"/>
      <c r="F29" s="244"/>
      <c r="G29" s="245"/>
      <c r="H29" s="246"/>
      <c r="I29" s="247"/>
      <c r="J29" s="100"/>
      <c r="K29" s="248"/>
      <c r="L29" s="248"/>
      <c r="M29" s="249">
        <f t="shared" si="1"/>
        <v>0</v>
      </c>
      <c r="N29" s="250"/>
      <c r="P29" s="12"/>
      <c r="Q29" s="15"/>
      <c r="R29" s="15"/>
      <c r="S29" s="15"/>
      <c r="T29" s="13"/>
      <c r="U29" s="13"/>
      <c r="V29" s="13"/>
      <c r="W29" s="13"/>
      <c r="X29" s="1"/>
    </row>
    <row r="30" spans="1:24" s="3" customFormat="1" x14ac:dyDescent="0.25">
      <c r="A30" s="305">
        <v>45424</v>
      </c>
      <c r="B30" s="306"/>
      <c r="C30" s="307"/>
      <c r="D30" s="243"/>
      <c r="E30" s="243"/>
      <c r="F30" s="244"/>
      <c r="G30" s="245"/>
      <c r="H30" s="246"/>
      <c r="I30" s="247"/>
      <c r="J30" s="100"/>
      <c r="K30" s="248"/>
      <c r="L30" s="248"/>
      <c r="M30" s="249">
        <f t="shared" si="1"/>
        <v>0</v>
      </c>
      <c r="N30" s="250"/>
      <c r="O30" s="1"/>
      <c r="P30" s="12"/>
      <c r="Q30" s="15"/>
      <c r="R30" s="15"/>
      <c r="S30" s="15"/>
      <c r="T30" s="13"/>
      <c r="U30" s="13"/>
      <c r="V30" s="13"/>
      <c r="W30" s="13"/>
      <c r="X30" s="1"/>
    </row>
    <row r="31" spans="1:24" s="3" customFormat="1" x14ac:dyDescent="0.25">
      <c r="A31" s="305">
        <v>45425</v>
      </c>
      <c r="B31" s="306"/>
      <c r="C31" s="307"/>
      <c r="D31" s="270"/>
      <c r="E31" s="271"/>
      <c r="F31" s="101"/>
      <c r="G31" s="102"/>
      <c r="H31" s="103"/>
      <c r="I31" s="104"/>
      <c r="J31" s="100"/>
      <c r="K31" s="249"/>
      <c r="L31" s="250"/>
      <c r="M31" s="249">
        <f t="shared" si="1"/>
        <v>0</v>
      </c>
      <c r="N31" s="250"/>
      <c r="O31" s="1"/>
      <c r="P31" s="12"/>
      <c r="Q31" s="15"/>
      <c r="R31" s="15"/>
      <c r="S31" s="15"/>
      <c r="T31" s="13"/>
      <c r="U31" s="13"/>
      <c r="V31" s="13"/>
      <c r="W31" s="13"/>
      <c r="X31" s="1"/>
    </row>
    <row r="32" spans="1:24" s="3" customFormat="1" x14ac:dyDescent="0.25">
      <c r="A32" s="305">
        <v>45426</v>
      </c>
      <c r="B32" s="306"/>
      <c r="C32" s="307"/>
      <c r="D32" s="270"/>
      <c r="E32" s="271"/>
      <c r="F32" s="101"/>
      <c r="G32" s="102"/>
      <c r="H32" s="103"/>
      <c r="I32" s="104"/>
      <c r="J32" s="100"/>
      <c r="K32" s="249"/>
      <c r="L32" s="250"/>
      <c r="M32" s="249">
        <f t="shared" si="1"/>
        <v>0</v>
      </c>
      <c r="N32" s="250"/>
      <c r="O32" s="1"/>
      <c r="P32" s="12"/>
      <c r="Q32" s="15"/>
      <c r="R32" s="15"/>
      <c r="S32" s="15"/>
      <c r="T32" s="13"/>
      <c r="U32" s="13"/>
      <c r="V32" s="13"/>
      <c r="W32" s="13"/>
      <c r="X32" s="1"/>
    </row>
    <row r="33" spans="1:25" s="3" customFormat="1" x14ac:dyDescent="0.25">
      <c r="A33" s="305">
        <v>45427</v>
      </c>
      <c r="B33" s="306"/>
      <c r="C33" s="307"/>
      <c r="D33" s="270"/>
      <c r="E33" s="271"/>
      <c r="F33" s="101"/>
      <c r="G33" s="102"/>
      <c r="H33" s="103"/>
      <c r="I33" s="104"/>
      <c r="J33" s="100"/>
      <c r="K33" s="249"/>
      <c r="L33" s="250"/>
      <c r="M33" s="249">
        <f t="shared" si="1"/>
        <v>0</v>
      </c>
      <c r="N33" s="250"/>
      <c r="O33" s="1"/>
      <c r="P33" s="12"/>
      <c r="Q33" s="15"/>
      <c r="R33" s="15"/>
      <c r="S33" s="15"/>
      <c r="T33" s="13"/>
      <c r="U33" s="13"/>
      <c r="V33" s="13"/>
      <c r="W33" s="13"/>
      <c r="X33" s="1"/>
    </row>
    <row r="34" spans="1:25" s="3" customFormat="1" x14ac:dyDescent="0.25">
      <c r="A34" s="305">
        <v>45428</v>
      </c>
      <c r="B34" s="306"/>
      <c r="C34" s="307"/>
      <c r="D34" s="270"/>
      <c r="E34" s="271"/>
      <c r="F34" s="101"/>
      <c r="G34" s="102"/>
      <c r="H34" s="103"/>
      <c r="I34" s="104"/>
      <c r="J34" s="100"/>
      <c r="K34" s="249"/>
      <c r="L34" s="250"/>
      <c r="M34" s="249">
        <f t="shared" si="1"/>
        <v>0</v>
      </c>
      <c r="N34" s="250"/>
      <c r="O34" s="1"/>
      <c r="P34" s="12"/>
      <c r="Q34" s="15"/>
      <c r="R34" s="15"/>
      <c r="S34" s="15"/>
      <c r="T34" s="13"/>
      <c r="U34" s="13"/>
      <c r="V34" s="13"/>
      <c r="W34" s="13"/>
      <c r="X34" s="1"/>
    </row>
    <row r="35" spans="1:25" s="3" customFormat="1" x14ac:dyDescent="0.25">
      <c r="A35" s="305">
        <v>45429</v>
      </c>
      <c r="B35" s="306"/>
      <c r="C35" s="307"/>
      <c r="D35" s="270"/>
      <c r="E35" s="271"/>
      <c r="F35" s="101"/>
      <c r="G35" s="102"/>
      <c r="H35" s="103"/>
      <c r="I35" s="104"/>
      <c r="J35" s="100"/>
      <c r="K35" s="249"/>
      <c r="L35" s="250"/>
      <c r="M35" s="249">
        <f t="shared" si="1"/>
        <v>0</v>
      </c>
      <c r="N35" s="250"/>
      <c r="O35" s="1"/>
      <c r="P35" s="12"/>
      <c r="Q35" s="15"/>
      <c r="R35" s="15"/>
      <c r="S35" s="15"/>
      <c r="T35" s="13"/>
      <c r="U35" s="13"/>
      <c r="V35" s="13"/>
      <c r="W35" s="13"/>
      <c r="X35" s="1"/>
    </row>
    <row r="36" spans="1:25" s="3" customFormat="1" x14ac:dyDescent="0.25">
      <c r="A36" s="305">
        <v>45430</v>
      </c>
      <c r="B36" s="306"/>
      <c r="C36" s="307"/>
      <c r="D36" s="270"/>
      <c r="E36" s="271"/>
      <c r="F36" s="101"/>
      <c r="G36" s="102"/>
      <c r="H36" s="103"/>
      <c r="I36" s="104"/>
      <c r="J36" s="100"/>
      <c r="K36" s="249"/>
      <c r="L36" s="250"/>
      <c r="M36" s="249">
        <f t="shared" si="1"/>
        <v>0</v>
      </c>
      <c r="N36" s="250"/>
      <c r="O36" s="1"/>
      <c r="P36" s="12"/>
      <c r="Q36" s="15"/>
      <c r="R36" s="15"/>
      <c r="S36" s="15"/>
      <c r="T36" s="13"/>
      <c r="U36" s="13"/>
      <c r="V36" s="13"/>
      <c r="W36" s="13"/>
      <c r="X36" s="1"/>
    </row>
    <row r="37" spans="1:25" s="3" customFormat="1" x14ac:dyDescent="0.25">
      <c r="A37" s="305">
        <v>45431</v>
      </c>
      <c r="B37" s="306"/>
      <c r="C37" s="307"/>
      <c r="D37" s="270"/>
      <c r="E37" s="271"/>
      <c r="F37" s="101"/>
      <c r="G37" s="102"/>
      <c r="H37" s="103"/>
      <c r="I37" s="104"/>
      <c r="J37" s="100"/>
      <c r="K37" s="249"/>
      <c r="L37" s="250"/>
      <c r="M37" s="249">
        <f t="shared" si="1"/>
        <v>0</v>
      </c>
      <c r="N37" s="250"/>
      <c r="O37" s="1"/>
      <c r="P37" s="12"/>
      <c r="Q37" s="15"/>
      <c r="R37" s="15"/>
      <c r="S37" s="15"/>
      <c r="T37" s="13"/>
      <c r="U37" s="13"/>
      <c r="V37" s="13"/>
      <c r="W37" s="13"/>
      <c r="X37" s="1"/>
    </row>
    <row r="38" spans="1:25" s="3" customFormat="1" x14ac:dyDescent="0.25">
      <c r="A38" s="305">
        <v>45432</v>
      </c>
      <c r="B38" s="306"/>
      <c r="C38" s="307"/>
      <c r="D38" s="243"/>
      <c r="E38" s="243"/>
      <c r="F38" s="244"/>
      <c r="G38" s="245"/>
      <c r="H38" s="246"/>
      <c r="I38" s="247"/>
      <c r="J38" s="100"/>
      <c r="K38" s="248"/>
      <c r="L38" s="248"/>
      <c r="M38" s="249">
        <f t="shared" si="1"/>
        <v>0</v>
      </c>
      <c r="N38" s="250"/>
      <c r="P38" s="12"/>
      <c r="Q38" s="15"/>
      <c r="R38" s="15"/>
      <c r="S38" s="15"/>
      <c r="T38" s="13"/>
      <c r="U38" s="13"/>
      <c r="V38" s="13"/>
      <c r="W38" s="13"/>
      <c r="X38" s="1"/>
    </row>
    <row r="39" spans="1:25" s="3" customFormat="1" x14ac:dyDescent="0.25">
      <c r="A39" s="305">
        <v>45433</v>
      </c>
      <c r="B39" s="306"/>
      <c r="C39" s="307"/>
      <c r="D39" s="243"/>
      <c r="E39" s="243"/>
      <c r="F39" s="244"/>
      <c r="G39" s="245"/>
      <c r="H39" s="246"/>
      <c r="I39" s="247"/>
      <c r="J39" s="100"/>
      <c r="K39" s="248"/>
      <c r="L39" s="248"/>
      <c r="M39" s="249">
        <f t="shared" si="1"/>
        <v>0</v>
      </c>
      <c r="N39" s="250"/>
      <c r="P39" s="12"/>
      <c r="Q39" s="15"/>
      <c r="R39" s="15"/>
      <c r="S39" s="15"/>
      <c r="T39" s="13"/>
      <c r="U39" s="13"/>
      <c r="V39" s="13"/>
      <c r="W39" s="13"/>
      <c r="X39" s="1"/>
    </row>
    <row r="40" spans="1:25" s="3" customFormat="1" x14ac:dyDescent="0.25">
      <c r="A40" s="305">
        <v>45434</v>
      </c>
      <c r="B40" s="306"/>
      <c r="C40" s="307"/>
      <c r="D40" s="243"/>
      <c r="E40" s="243"/>
      <c r="F40" s="244"/>
      <c r="G40" s="245"/>
      <c r="H40" s="246"/>
      <c r="I40" s="247"/>
      <c r="J40" s="100"/>
      <c r="K40" s="248"/>
      <c r="L40" s="248"/>
      <c r="M40" s="249">
        <f t="shared" si="1"/>
        <v>0</v>
      </c>
      <c r="N40" s="250"/>
      <c r="P40" s="12"/>
      <c r="Q40" s="15"/>
      <c r="R40" s="15"/>
      <c r="S40" s="15"/>
      <c r="T40" s="13"/>
      <c r="U40" s="13"/>
      <c r="V40" s="13"/>
      <c r="W40" s="13"/>
      <c r="X40" s="1"/>
    </row>
    <row r="41" spans="1:25" s="3" customFormat="1" x14ac:dyDescent="0.25">
      <c r="A41" s="305">
        <v>45435</v>
      </c>
      <c r="B41" s="306"/>
      <c r="C41" s="307"/>
      <c r="D41" s="243"/>
      <c r="E41" s="243"/>
      <c r="F41" s="244"/>
      <c r="G41" s="245"/>
      <c r="H41" s="246"/>
      <c r="I41" s="247"/>
      <c r="J41" s="100"/>
      <c r="K41" s="248"/>
      <c r="L41" s="248"/>
      <c r="M41" s="249">
        <f t="shared" si="1"/>
        <v>0</v>
      </c>
      <c r="N41" s="250"/>
      <c r="P41" s="12"/>
      <c r="Q41" s="15"/>
      <c r="R41" s="15"/>
      <c r="S41" s="15"/>
      <c r="T41" s="13"/>
      <c r="U41" s="13"/>
      <c r="V41" s="13"/>
      <c r="W41" s="13"/>
      <c r="X41" s="1"/>
    </row>
    <row r="42" spans="1:25" s="3" customFormat="1" x14ac:dyDescent="0.25">
      <c r="A42" s="305">
        <v>45436</v>
      </c>
      <c r="B42" s="306"/>
      <c r="C42" s="307"/>
      <c r="D42" s="243"/>
      <c r="E42" s="243"/>
      <c r="F42" s="244"/>
      <c r="G42" s="245"/>
      <c r="H42" s="246"/>
      <c r="I42" s="247"/>
      <c r="J42" s="100"/>
      <c r="K42" s="248"/>
      <c r="L42" s="248"/>
      <c r="M42" s="249">
        <f t="shared" si="1"/>
        <v>0</v>
      </c>
      <c r="N42" s="250"/>
      <c r="P42" s="12"/>
      <c r="Q42" s="15"/>
      <c r="R42" s="15"/>
      <c r="S42" s="15"/>
      <c r="T42" s="13"/>
      <c r="U42" s="13"/>
      <c r="V42" s="13"/>
      <c r="W42" s="13"/>
      <c r="X42" s="1"/>
    </row>
    <row r="43" spans="1:25" s="3" customFormat="1" x14ac:dyDescent="0.25">
      <c r="A43" s="305">
        <v>45437</v>
      </c>
      <c r="B43" s="306"/>
      <c r="C43" s="307"/>
      <c r="D43" s="243"/>
      <c r="E43" s="243"/>
      <c r="F43" s="244"/>
      <c r="G43" s="245"/>
      <c r="H43" s="246"/>
      <c r="I43" s="247"/>
      <c r="J43" s="100"/>
      <c r="K43" s="248"/>
      <c r="L43" s="248"/>
      <c r="M43" s="249">
        <f t="shared" si="1"/>
        <v>0</v>
      </c>
      <c r="N43" s="250"/>
      <c r="P43" s="12"/>
      <c r="Q43" s="15"/>
      <c r="R43" s="15"/>
      <c r="S43" s="15"/>
      <c r="T43" s="13"/>
      <c r="U43" s="13"/>
      <c r="V43" s="13"/>
      <c r="W43" s="13"/>
      <c r="X43" s="1"/>
    </row>
    <row r="44" spans="1:25" s="3" customFormat="1" x14ac:dyDescent="0.25">
      <c r="A44" s="305">
        <v>45438</v>
      </c>
      <c r="B44" s="306"/>
      <c r="C44" s="307"/>
      <c r="D44" s="243"/>
      <c r="E44" s="243"/>
      <c r="F44" s="244"/>
      <c r="G44" s="245"/>
      <c r="H44" s="246"/>
      <c r="I44" s="247"/>
      <c r="J44" s="100"/>
      <c r="K44" s="248"/>
      <c r="L44" s="248"/>
      <c r="M44" s="249">
        <f t="shared" si="1"/>
        <v>0</v>
      </c>
      <c r="N44" s="250"/>
      <c r="P44" s="12"/>
      <c r="Q44" s="15"/>
      <c r="R44" s="15"/>
      <c r="S44" s="15"/>
      <c r="T44" s="13"/>
      <c r="U44" s="13"/>
      <c r="V44" s="13"/>
      <c r="W44" s="13"/>
      <c r="X44" s="1"/>
    </row>
    <row r="45" spans="1:25" s="3" customFormat="1" ht="15.75" customHeight="1" x14ac:dyDescent="0.25">
      <c r="A45" s="231" t="s">
        <v>21</v>
      </c>
      <c r="B45" s="232"/>
      <c r="C45" s="233"/>
      <c r="D45" s="278">
        <f>+COUNTA(D17:E44)</f>
        <v>0</v>
      </c>
      <c r="E45" s="279"/>
      <c r="F45" s="280">
        <f>+COUNTA(F17:G44)</f>
        <v>0</v>
      </c>
      <c r="G45" s="281"/>
      <c r="H45" s="282">
        <f>SUM(H17:I44)</f>
        <v>0</v>
      </c>
      <c r="I45" s="282"/>
      <c r="J45" s="136"/>
      <c r="K45" s="283"/>
      <c r="L45" s="283"/>
      <c r="M45" s="284">
        <f>+SUM(M17:O44)</f>
        <v>0</v>
      </c>
      <c r="N45" s="285"/>
      <c r="U45" s="1"/>
      <c r="V45" s="1"/>
      <c r="W45" s="1"/>
      <c r="X45" s="1"/>
      <c r="Y45" s="1"/>
    </row>
    <row r="46" spans="1:25" s="3" customFormat="1" x14ac:dyDescent="0.25">
      <c r="D46" s="272" t="s">
        <v>65</v>
      </c>
      <c r="E46" s="273"/>
      <c r="F46" s="274" t="s">
        <v>24</v>
      </c>
      <c r="G46" s="274"/>
      <c r="H46" s="275" t="s">
        <v>62</v>
      </c>
      <c r="I46" s="275"/>
      <c r="M46" s="276" t="s">
        <v>66</v>
      </c>
      <c r="N46" s="277"/>
      <c r="U46" s="1"/>
      <c r="V46" s="1"/>
      <c r="W46" s="1"/>
      <c r="X46" s="1"/>
      <c r="Y46" s="1"/>
    </row>
    <row r="47" spans="1:25" s="3" customFormat="1" x14ac:dyDescent="0.25">
      <c r="U47" s="1"/>
      <c r="V47" s="1"/>
      <c r="W47" s="1"/>
      <c r="X47" s="1"/>
      <c r="Y47" s="1"/>
    </row>
    <row r="48" spans="1:25" s="3" customFormat="1" x14ac:dyDescent="0.25">
      <c r="U48" s="1"/>
      <c r="V48" s="1"/>
      <c r="W48" s="1"/>
      <c r="X48" s="1"/>
      <c r="Y48" s="1"/>
    </row>
    <row r="49" spans="1:25" s="3" customFormat="1" x14ac:dyDescent="0.25">
      <c r="U49" s="1"/>
      <c r="V49" s="1"/>
      <c r="W49" s="1"/>
      <c r="X49" s="1"/>
      <c r="Y49" s="1"/>
    </row>
    <row r="50" spans="1:25" s="3" customFormat="1" x14ac:dyDescent="0.25">
      <c r="U50" s="1"/>
      <c r="V50" s="1"/>
      <c r="W50" s="1"/>
      <c r="X50" s="1"/>
      <c r="Y50" s="1"/>
    </row>
    <row r="51" spans="1:25" s="3" customFormat="1" x14ac:dyDescent="0.25">
      <c r="A51" s="28" t="s">
        <v>23</v>
      </c>
      <c r="J51" s="28" t="s">
        <v>27</v>
      </c>
      <c r="N51" s="39"/>
      <c r="U51" s="1"/>
      <c r="V51" s="1"/>
      <c r="W51" s="1"/>
      <c r="X51" s="1"/>
      <c r="Y51" s="1"/>
    </row>
    <row r="52" spans="1:25" s="3" customFormat="1" x14ac:dyDescent="0.25">
      <c r="J52" s="28" t="s">
        <v>31</v>
      </c>
      <c r="N52" s="39"/>
      <c r="U52" s="1"/>
      <c r="V52" s="1"/>
      <c r="W52" s="1"/>
      <c r="X52" s="1"/>
      <c r="Y52" s="1"/>
    </row>
    <row r="53" spans="1:25" s="3" customFormat="1" x14ac:dyDescent="0.25">
      <c r="A53" s="29" t="s">
        <v>20</v>
      </c>
      <c r="B53" s="30"/>
      <c r="C53" s="29"/>
      <c r="D53" s="29"/>
      <c r="E53" s="16"/>
      <c r="H53" s="18"/>
      <c r="U53" s="1"/>
      <c r="V53" s="1"/>
      <c r="W53" s="1"/>
      <c r="X53" s="1"/>
      <c r="Y53" s="1"/>
    </row>
    <row r="54" spans="1:25" s="3" customFormat="1" x14ac:dyDescent="0.25">
      <c r="A54" s="29" t="s">
        <v>7</v>
      </c>
      <c r="B54" s="30"/>
      <c r="C54" s="31">
        <f ca="1">TODAY()</f>
        <v>45320</v>
      </c>
      <c r="D54" s="29"/>
      <c r="E54" s="16"/>
      <c r="J54" s="28" t="s">
        <v>22</v>
      </c>
      <c r="U54" s="1"/>
      <c r="V54" s="1"/>
      <c r="W54" s="1"/>
      <c r="X54" s="1"/>
      <c r="Y54" s="1"/>
    </row>
    <row r="55" spans="1:25" s="3" customFormat="1" x14ac:dyDescent="0.25">
      <c r="A55" s="28"/>
      <c r="B55" s="240" t="s">
        <v>47</v>
      </c>
      <c r="C55" s="240"/>
      <c r="D55" s="240"/>
      <c r="E55" s="240"/>
      <c r="F55" s="240"/>
      <c r="J55" s="240" t="s">
        <v>48</v>
      </c>
      <c r="K55" s="240"/>
      <c r="L55" s="240"/>
      <c r="M55" s="240"/>
      <c r="N55" s="240"/>
      <c r="U55" s="1"/>
      <c r="V55" s="1"/>
      <c r="W55" s="1"/>
      <c r="X55" s="1"/>
      <c r="Y55" s="1"/>
    </row>
    <row r="56" spans="1:25" s="3" customFormat="1" x14ac:dyDescent="0.25">
      <c r="B56" s="240"/>
      <c r="C56" s="240"/>
      <c r="D56" s="240"/>
      <c r="E56" s="240"/>
      <c r="F56" s="240"/>
      <c r="J56" s="240"/>
      <c r="K56" s="240"/>
      <c r="L56" s="240"/>
      <c r="M56" s="240"/>
      <c r="N56" s="240"/>
      <c r="U56" s="1"/>
      <c r="V56" s="1"/>
      <c r="W56" s="1"/>
      <c r="X56" s="1"/>
      <c r="Y56" s="1"/>
    </row>
    <row r="57" spans="1:25" s="3" customFormat="1" x14ac:dyDescent="0.25">
      <c r="B57" s="240"/>
      <c r="C57" s="240"/>
      <c r="D57" s="240"/>
      <c r="E57" s="240"/>
      <c r="F57" s="240"/>
      <c r="J57" s="240"/>
      <c r="K57" s="240"/>
      <c r="L57" s="240"/>
      <c r="M57" s="240"/>
      <c r="N57" s="240"/>
      <c r="U57" s="1"/>
      <c r="V57" s="1"/>
      <c r="W57" s="1"/>
      <c r="X57" s="1"/>
      <c r="Y57" s="1"/>
    </row>
    <row r="58" spans="1:25" s="3" customFormat="1" x14ac:dyDescent="0.25">
      <c r="B58" s="240"/>
      <c r="C58" s="240"/>
      <c r="D58" s="240"/>
      <c r="E58" s="240"/>
      <c r="F58" s="240"/>
      <c r="J58" s="240"/>
      <c r="K58" s="240"/>
      <c r="L58" s="240"/>
      <c r="M58" s="240"/>
      <c r="N58" s="240"/>
      <c r="U58" s="1"/>
      <c r="V58" s="1"/>
      <c r="W58" s="1"/>
      <c r="X58" s="1"/>
      <c r="Y58" s="1"/>
    </row>
    <row r="59" spans="1:25" s="3" customFormat="1" x14ac:dyDescent="0.25">
      <c r="B59" s="240"/>
      <c r="C59" s="240"/>
      <c r="D59" s="240"/>
      <c r="E59" s="240"/>
      <c r="F59" s="240"/>
      <c r="J59" s="240"/>
      <c r="K59" s="240"/>
      <c r="L59" s="240"/>
      <c r="M59" s="240"/>
      <c r="N59" s="240"/>
      <c r="U59" s="1"/>
      <c r="V59" s="1"/>
      <c r="W59" s="1"/>
      <c r="X59" s="1"/>
      <c r="Y59" s="1"/>
    </row>
    <row r="60" spans="1:25" s="3" customFormat="1" x14ac:dyDescent="0.25">
      <c r="B60" s="240"/>
      <c r="C60" s="240"/>
      <c r="D60" s="240"/>
      <c r="E60" s="240"/>
      <c r="F60" s="240"/>
      <c r="J60" s="240"/>
      <c r="K60" s="240"/>
      <c r="L60" s="240"/>
      <c r="M60" s="240"/>
      <c r="N60" s="240"/>
      <c r="U60" s="1"/>
      <c r="V60" s="1"/>
      <c r="W60" s="1"/>
      <c r="X60" s="1"/>
      <c r="Y60" s="1"/>
    </row>
    <row r="61" spans="1:25" s="3" customFormat="1" x14ac:dyDescent="0.25">
      <c r="A61" s="3" t="s">
        <v>46</v>
      </c>
      <c r="B61" s="23"/>
      <c r="J61" s="3" t="s">
        <v>39</v>
      </c>
      <c r="U61" s="1"/>
      <c r="V61" s="1"/>
      <c r="W61" s="1"/>
      <c r="X61" s="1"/>
      <c r="Y61" s="1"/>
    </row>
    <row r="62" spans="1:25" s="3" customFormat="1" x14ac:dyDescent="0.25">
      <c r="B62" s="23"/>
      <c r="U62" s="1"/>
      <c r="V62" s="1"/>
      <c r="W62" s="1"/>
      <c r="X62" s="1"/>
      <c r="Y62" s="1"/>
    </row>
    <row r="63" spans="1:25" s="3" customFormat="1" x14ac:dyDescent="0.25">
      <c r="B63" s="23"/>
      <c r="U63" s="1"/>
      <c r="V63" s="1"/>
      <c r="W63" s="1"/>
      <c r="X63" s="1"/>
      <c r="Y63" s="1"/>
    </row>
    <row r="64" spans="1:25" s="3" customFormat="1" x14ac:dyDescent="0.25">
      <c r="B64" s="23"/>
      <c r="U64" s="1"/>
      <c r="V64" s="1"/>
      <c r="W64" s="1"/>
      <c r="X64" s="1"/>
      <c r="Y64" s="1"/>
    </row>
    <row r="65" spans="2:25" s="3" customFormat="1" x14ac:dyDescent="0.25">
      <c r="B65" s="23"/>
      <c r="U65" s="1"/>
      <c r="V65" s="1"/>
      <c r="W65" s="1"/>
      <c r="X65" s="1"/>
      <c r="Y65" s="1"/>
    </row>
    <row r="66" spans="2:25" s="3" customFormat="1" x14ac:dyDescent="0.25">
      <c r="B66" s="23"/>
      <c r="U66" s="1"/>
      <c r="V66" s="1"/>
      <c r="W66" s="1"/>
      <c r="X66" s="1"/>
      <c r="Y66" s="1"/>
    </row>
    <row r="67" spans="2:25" s="3" customFormat="1" x14ac:dyDescent="0.25">
      <c r="B67" s="23"/>
      <c r="U67" s="1"/>
      <c r="V67" s="1"/>
      <c r="W67" s="1"/>
      <c r="X67" s="1"/>
      <c r="Y67" s="1"/>
    </row>
    <row r="68" spans="2:25" s="3" customFormat="1" x14ac:dyDescent="0.25">
      <c r="B68" s="23"/>
      <c r="U68" s="1"/>
      <c r="V68" s="1"/>
      <c r="W68" s="1"/>
      <c r="X68" s="1"/>
      <c r="Y68" s="1"/>
    </row>
    <row r="69" spans="2:25" s="3" customFormat="1" x14ac:dyDescent="0.25">
      <c r="B69" s="23"/>
      <c r="U69" s="1"/>
      <c r="V69" s="1"/>
      <c r="W69" s="1"/>
      <c r="X69" s="1"/>
      <c r="Y69" s="1"/>
    </row>
    <row r="70" spans="2:25" s="3" customFormat="1" x14ac:dyDescent="0.25">
      <c r="B70" s="23"/>
      <c r="U70" s="1"/>
      <c r="V70" s="1"/>
      <c r="W70" s="1"/>
      <c r="X70" s="1"/>
      <c r="Y70" s="1"/>
    </row>
    <row r="71" spans="2:25" s="3" customFormat="1" x14ac:dyDescent="0.25">
      <c r="B71" s="23"/>
      <c r="U71" s="1"/>
      <c r="V71" s="1"/>
      <c r="W71" s="1"/>
      <c r="X71" s="1"/>
      <c r="Y71" s="1"/>
    </row>
    <row r="72" spans="2:25" s="3" customFormat="1" x14ac:dyDescent="0.25">
      <c r="B72" s="23"/>
      <c r="U72" s="1"/>
      <c r="V72" s="1"/>
      <c r="W72" s="1"/>
      <c r="X72" s="1"/>
      <c r="Y72" s="1"/>
    </row>
    <row r="73" spans="2:25" s="3" customFormat="1" x14ac:dyDescent="0.25">
      <c r="B73" s="23"/>
      <c r="U73" s="1"/>
      <c r="V73" s="1"/>
      <c r="W73" s="1"/>
      <c r="X73" s="1"/>
      <c r="Y73" s="1"/>
    </row>
    <row r="74" spans="2:25" s="3" customFormat="1" x14ac:dyDescent="0.25">
      <c r="B74" s="23"/>
      <c r="U74" s="1"/>
      <c r="V74" s="1"/>
      <c r="W74" s="1"/>
      <c r="X74" s="1"/>
      <c r="Y74" s="1"/>
    </row>
    <row r="75" spans="2:25" s="3" customFormat="1" x14ac:dyDescent="0.25">
      <c r="B75" s="23"/>
      <c r="U75" s="1"/>
      <c r="V75" s="1"/>
      <c r="W75" s="1"/>
      <c r="X75" s="1"/>
      <c r="Y75" s="1"/>
    </row>
    <row r="76" spans="2:25" s="3" customFormat="1" x14ac:dyDescent="0.25">
      <c r="B76" s="23"/>
      <c r="U76" s="1"/>
      <c r="V76" s="1"/>
      <c r="W76" s="1"/>
      <c r="X76" s="1"/>
      <c r="Y76" s="1"/>
    </row>
    <row r="77" spans="2:25" s="3" customFormat="1" x14ac:dyDescent="0.25">
      <c r="B77" s="23"/>
      <c r="U77" s="1"/>
      <c r="V77" s="1"/>
      <c r="W77" s="1"/>
      <c r="X77" s="1"/>
      <c r="Y77" s="1"/>
    </row>
    <row r="78" spans="2:25" s="3" customFormat="1" x14ac:dyDescent="0.25">
      <c r="B78" s="23"/>
      <c r="U78" s="1"/>
      <c r="V78" s="1"/>
      <c r="W78" s="1"/>
      <c r="X78" s="1"/>
      <c r="Y78" s="1"/>
    </row>
    <row r="79" spans="2:25" s="3" customFormat="1" x14ac:dyDescent="0.25">
      <c r="B79" s="23"/>
      <c r="U79" s="1"/>
      <c r="V79" s="1"/>
      <c r="W79" s="1"/>
      <c r="X79" s="1"/>
      <c r="Y79" s="1"/>
    </row>
    <row r="80" spans="2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1:25" s="3" customFormat="1" x14ac:dyDescent="0.25">
      <c r="B225" s="23"/>
      <c r="U225" s="1"/>
      <c r="V225" s="1"/>
      <c r="W225" s="1"/>
      <c r="X225" s="1"/>
      <c r="Y225" s="1"/>
    </row>
    <row r="226" spans="1:25" s="3" customFormat="1" x14ac:dyDescent="0.25">
      <c r="B226" s="23"/>
      <c r="U226" s="1"/>
      <c r="V226" s="1"/>
      <c r="W226" s="1"/>
      <c r="X226" s="1"/>
      <c r="Y226" s="1"/>
    </row>
    <row r="227" spans="1:25" s="3" customFormat="1" x14ac:dyDescent="0.25">
      <c r="B227" s="23"/>
      <c r="U227" s="1"/>
      <c r="V227" s="1"/>
      <c r="W227" s="1"/>
      <c r="X227" s="1"/>
      <c r="Y227" s="1"/>
    </row>
    <row r="228" spans="1:25" s="3" customFormat="1" x14ac:dyDescent="0.25">
      <c r="B228" s="23"/>
      <c r="K228" s="6"/>
      <c r="L228" s="6"/>
      <c r="M228" s="6"/>
      <c r="N228" s="6"/>
      <c r="U228" s="1"/>
      <c r="V228" s="1"/>
      <c r="W228" s="1"/>
      <c r="X228" s="1"/>
      <c r="Y228" s="1"/>
    </row>
    <row r="229" spans="1:25" s="3" customFormat="1" x14ac:dyDescent="0.25">
      <c r="B229" s="23"/>
      <c r="K229" s="6"/>
      <c r="L229" s="6"/>
      <c r="M229" s="6"/>
      <c r="N229" s="6"/>
      <c r="U229" s="1"/>
      <c r="V229" s="1"/>
      <c r="W229" s="1"/>
      <c r="X229" s="1"/>
      <c r="Y229" s="1"/>
    </row>
    <row r="230" spans="1:25" s="3" customFormat="1" x14ac:dyDescent="0.25">
      <c r="B230" s="23"/>
      <c r="K230" s="6"/>
      <c r="L230" s="6"/>
      <c r="M230" s="6"/>
      <c r="N230" s="6"/>
      <c r="U230" s="1"/>
      <c r="V230" s="1"/>
      <c r="W230" s="1"/>
      <c r="X230" s="1"/>
      <c r="Y230" s="1"/>
    </row>
    <row r="231" spans="1:25" s="3" customFormat="1" x14ac:dyDescent="0.25">
      <c r="B231" s="23"/>
      <c r="J231" s="6"/>
      <c r="K231" s="6"/>
      <c r="L231" s="6"/>
      <c r="M231" s="6"/>
      <c r="N231" s="6"/>
      <c r="U231" s="1"/>
      <c r="V231" s="1"/>
      <c r="W231" s="1"/>
      <c r="X231" s="1"/>
      <c r="Y231" s="1"/>
    </row>
    <row r="232" spans="1:25" s="3" customFormat="1" x14ac:dyDescent="0.25">
      <c r="B232" s="23"/>
      <c r="J232" s="6"/>
      <c r="K232" s="6"/>
      <c r="L232" s="6"/>
      <c r="M232" s="6"/>
      <c r="N232" s="6"/>
      <c r="U232" s="1"/>
      <c r="V232" s="1"/>
      <c r="W232" s="1"/>
      <c r="X232" s="1"/>
      <c r="Y232" s="1"/>
    </row>
    <row r="233" spans="1:25" s="3" customFormat="1" x14ac:dyDescent="0.25">
      <c r="B233" s="23"/>
      <c r="J233" s="6"/>
      <c r="K233" s="6"/>
      <c r="L233" s="6"/>
      <c r="M233" s="6"/>
      <c r="N233" s="6"/>
      <c r="U233" s="1"/>
      <c r="V233" s="1"/>
      <c r="W233" s="1"/>
      <c r="X233" s="1"/>
      <c r="Y233" s="1"/>
    </row>
    <row r="234" spans="1:25" s="3" customFormat="1" x14ac:dyDescent="0.25">
      <c r="B234" s="23"/>
      <c r="J234" s="6"/>
      <c r="K234" s="6"/>
      <c r="L234" s="6"/>
      <c r="M234" s="6"/>
      <c r="N234" s="6"/>
      <c r="U234" s="1"/>
      <c r="V234" s="1"/>
      <c r="W234" s="1"/>
      <c r="X234" s="1"/>
      <c r="Y234" s="1"/>
    </row>
    <row r="235" spans="1:25" s="3" customFormat="1" x14ac:dyDescent="0.25">
      <c r="B235" s="23"/>
      <c r="J235" s="6"/>
      <c r="K235" s="6"/>
      <c r="L235" s="6"/>
      <c r="M235" s="6"/>
      <c r="N235" s="6"/>
      <c r="O235" s="6"/>
      <c r="U235" s="1"/>
      <c r="V235" s="1"/>
      <c r="W235" s="1"/>
      <c r="X235" s="1"/>
      <c r="Y235" s="1"/>
    </row>
    <row r="236" spans="1:25" s="3" customFormat="1" x14ac:dyDescent="0.25">
      <c r="B236" s="23"/>
      <c r="J236" s="6"/>
      <c r="K236" s="6"/>
      <c r="L236" s="6"/>
      <c r="M236" s="6"/>
      <c r="N236" s="6"/>
      <c r="O236" s="6"/>
      <c r="U236" s="1"/>
      <c r="V236" s="1"/>
      <c r="W236" s="1"/>
      <c r="X236" s="1"/>
      <c r="Y236" s="1"/>
    </row>
    <row r="237" spans="1:25" s="3" customFormat="1" x14ac:dyDescent="0.25">
      <c r="A237" s="6"/>
      <c r="B237" s="25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Q237" s="6"/>
      <c r="R237" s="6"/>
      <c r="S237" s="6"/>
      <c r="U237" s="1"/>
      <c r="V237" s="1"/>
      <c r="W237" s="1"/>
      <c r="X237" s="1"/>
      <c r="Y237" s="1"/>
    </row>
  </sheetData>
  <sheetProtection sheet="1" objects="1" scenarios="1"/>
  <mergeCells count="186">
    <mergeCell ref="M40:N40"/>
    <mergeCell ref="M38:N38"/>
    <mergeCell ref="M39:N39"/>
    <mergeCell ref="M31:N31"/>
    <mergeCell ref="M32:N32"/>
    <mergeCell ref="M33:N33"/>
    <mergeCell ref="M34:N34"/>
    <mergeCell ref="M35:N35"/>
    <mergeCell ref="M36:N36"/>
    <mergeCell ref="M37:N37"/>
    <mergeCell ref="R3:T3"/>
    <mergeCell ref="B5:K5"/>
    <mergeCell ref="L5:N5"/>
    <mergeCell ref="R5:T5"/>
    <mergeCell ref="K13:L13"/>
    <mergeCell ref="F15:N15"/>
    <mergeCell ref="A16:C16"/>
    <mergeCell ref="D16:E16"/>
    <mergeCell ref="F16:G16"/>
    <mergeCell ref="H16:I16"/>
    <mergeCell ref="K16:L16"/>
    <mergeCell ref="M16:N16"/>
    <mergeCell ref="C8:F8"/>
    <mergeCell ref="K8:N8"/>
    <mergeCell ref="C10:F10"/>
    <mergeCell ref="K10:N10"/>
    <mergeCell ref="C12:F12"/>
    <mergeCell ref="K12:L12"/>
    <mergeCell ref="D17:E17"/>
    <mergeCell ref="F17:G17"/>
    <mergeCell ref="H17:I17"/>
    <mergeCell ref="K17:L17"/>
    <mergeCell ref="M17:N17"/>
    <mergeCell ref="A17:C17"/>
    <mergeCell ref="A18:C18"/>
    <mergeCell ref="D2:K4"/>
    <mergeCell ref="L2:N4"/>
    <mergeCell ref="D19:E19"/>
    <mergeCell ref="F19:G19"/>
    <mergeCell ref="H19:I19"/>
    <mergeCell ref="K19:L19"/>
    <mergeCell ref="M19:N19"/>
    <mergeCell ref="A19:C19"/>
    <mergeCell ref="A20:C20"/>
    <mergeCell ref="D18:E18"/>
    <mergeCell ref="F18:G18"/>
    <mergeCell ref="H18:I18"/>
    <mergeCell ref="K18:L18"/>
    <mergeCell ref="M18:N18"/>
    <mergeCell ref="D21:E21"/>
    <mergeCell ref="F21:G21"/>
    <mergeCell ref="H21:I21"/>
    <mergeCell ref="K21:L21"/>
    <mergeCell ref="M21:N21"/>
    <mergeCell ref="A21:C21"/>
    <mergeCell ref="D20:E20"/>
    <mergeCell ref="F20:G20"/>
    <mergeCell ref="H20:I20"/>
    <mergeCell ref="K20:L20"/>
    <mergeCell ref="M20:N20"/>
    <mergeCell ref="D25:E25"/>
    <mergeCell ref="F25:G25"/>
    <mergeCell ref="H25:I25"/>
    <mergeCell ref="K25:L25"/>
    <mergeCell ref="M25:N25"/>
    <mergeCell ref="A25:C25"/>
    <mergeCell ref="A22:C22"/>
    <mergeCell ref="A23:C23"/>
    <mergeCell ref="D24:E24"/>
    <mergeCell ref="F24:G24"/>
    <mergeCell ref="H24:I24"/>
    <mergeCell ref="K24:L24"/>
    <mergeCell ref="M24:N24"/>
    <mergeCell ref="D23:E23"/>
    <mergeCell ref="F23:G23"/>
    <mergeCell ref="H23:I23"/>
    <mergeCell ref="K23:L23"/>
    <mergeCell ref="M23:N23"/>
    <mergeCell ref="A24:C24"/>
    <mergeCell ref="D22:E22"/>
    <mergeCell ref="F22:G22"/>
    <mergeCell ref="H22:I22"/>
    <mergeCell ref="K22:L22"/>
    <mergeCell ref="M22:N22"/>
    <mergeCell ref="D27:E27"/>
    <mergeCell ref="F27:G27"/>
    <mergeCell ref="H27:I27"/>
    <mergeCell ref="K27:L27"/>
    <mergeCell ref="M27:N27"/>
    <mergeCell ref="A28:C28"/>
    <mergeCell ref="D26:E26"/>
    <mergeCell ref="F26:G26"/>
    <mergeCell ref="H26:I26"/>
    <mergeCell ref="K26:L26"/>
    <mergeCell ref="M26:N26"/>
    <mergeCell ref="A26:C26"/>
    <mergeCell ref="A27:C27"/>
    <mergeCell ref="M30:N30"/>
    <mergeCell ref="D29:E29"/>
    <mergeCell ref="F29:G29"/>
    <mergeCell ref="H29:I29"/>
    <mergeCell ref="K29:L29"/>
    <mergeCell ref="M29:N29"/>
    <mergeCell ref="A29:C29"/>
    <mergeCell ref="A30:C30"/>
    <mergeCell ref="D28:E28"/>
    <mergeCell ref="F28:G28"/>
    <mergeCell ref="H28:I28"/>
    <mergeCell ref="K28:L28"/>
    <mergeCell ref="M28:N28"/>
    <mergeCell ref="D31:E31"/>
    <mergeCell ref="K31:L31"/>
    <mergeCell ref="D32:E32"/>
    <mergeCell ref="K32:L32"/>
    <mergeCell ref="A31:C31"/>
    <mergeCell ref="A32:C32"/>
    <mergeCell ref="A33:C33"/>
    <mergeCell ref="A34:C34"/>
    <mergeCell ref="D30:E30"/>
    <mergeCell ref="F30:G30"/>
    <mergeCell ref="H30:I30"/>
    <mergeCell ref="K30:L30"/>
    <mergeCell ref="D35:E35"/>
    <mergeCell ref="K35:L35"/>
    <mergeCell ref="D36:E36"/>
    <mergeCell ref="K36:L36"/>
    <mergeCell ref="A35:C35"/>
    <mergeCell ref="A36:C36"/>
    <mergeCell ref="A37:C37"/>
    <mergeCell ref="D33:E33"/>
    <mergeCell ref="K33:L33"/>
    <mergeCell ref="D34:E34"/>
    <mergeCell ref="K34:L34"/>
    <mergeCell ref="A38:C38"/>
    <mergeCell ref="A39:C39"/>
    <mergeCell ref="A40:C40"/>
    <mergeCell ref="D37:E37"/>
    <mergeCell ref="K37:L37"/>
    <mergeCell ref="D38:E38"/>
    <mergeCell ref="F38:G38"/>
    <mergeCell ref="H38:I38"/>
    <mergeCell ref="K38:L38"/>
    <mergeCell ref="D40:E40"/>
    <mergeCell ref="F40:G40"/>
    <mergeCell ref="H40:I40"/>
    <mergeCell ref="K40:L40"/>
    <mergeCell ref="D39:E39"/>
    <mergeCell ref="F39:G39"/>
    <mergeCell ref="H39:I39"/>
    <mergeCell ref="K39:L39"/>
    <mergeCell ref="A43:C43"/>
    <mergeCell ref="A44:C44"/>
    <mergeCell ref="D42:E42"/>
    <mergeCell ref="F42:G42"/>
    <mergeCell ref="H42:I42"/>
    <mergeCell ref="K42:L42"/>
    <mergeCell ref="M42:N42"/>
    <mergeCell ref="D41:E41"/>
    <mergeCell ref="F41:G41"/>
    <mergeCell ref="H41:I41"/>
    <mergeCell ref="K41:L41"/>
    <mergeCell ref="M41:N41"/>
    <mergeCell ref="A41:C41"/>
    <mergeCell ref="A42:C42"/>
    <mergeCell ref="D44:E44"/>
    <mergeCell ref="F44:G44"/>
    <mergeCell ref="H44:I44"/>
    <mergeCell ref="D43:E43"/>
    <mergeCell ref="F43:G43"/>
    <mergeCell ref="H43:I43"/>
    <mergeCell ref="K43:L43"/>
    <mergeCell ref="M43:N43"/>
    <mergeCell ref="K44:L44"/>
    <mergeCell ref="M44:N44"/>
    <mergeCell ref="A45:C45"/>
    <mergeCell ref="F45:G45"/>
    <mergeCell ref="D45:E45"/>
    <mergeCell ref="B55:F60"/>
    <mergeCell ref="J55:N60"/>
    <mergeCell ref="D46:E46"/>
    <mergeCell ref="F46:G46"/>
    <mergeCell ref="H45:I45"/>
    <mergeCell ref="H46:I46"/>
    <mergeCell ref="M46:N46"/>
    <mergeCell ref="K45:L45"/>
    <mergeCell ref="M45:N45"/>
  </mergeCells>
  <conditionalFormatting sqref="D17:D44">
    <cfRule type="expression" dxfId="71" priority="3">
      <formula>#REF!="Non"</formula>
    </cfRule>
    <cfRule type="expression" dxfId="70" priority="4">
      <formula>#REF!="Oui"</formula>
    </cfRule>
  </conditionalFormatting>
  <conditionalFormatting sqref="D45">
    <cfRule type="expression" dxfId="69" priority="1">
      <formula>#REF!="Non"</formula>
    </cfRule>
    <cfRule type="expression" dxfId="68" priority="2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  <pageSetUpPr fitToPage="1"/>
  </sheetPr>
  <dimension ref="A1:BD237"/>
  <sheetViews>
    <sheetView topLeftCell="A22" zoomScale="80" zoomScaleNormal="80" workbookViewId="0">
      <selection activeCell="T39" sqref="T39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2.28515625" style="6" customWidth="1"/>
    <col min="4" max="4" width="8.42578125" style="6" customWidth="1"/>
    <col min="5" max="5" width="6.42578125" style="6" customWidth="1"/>
    <col min="6" max="6" width="5.42578125" style="6" customWidth="1"/>
    <col min="7" max="7" width="8" style="6" customWidth="1"/>
    <col min="8" max="8" width="5.85546875" style="6" customWidth="1"/>
    <col min="9" max="9" width="10" style="6" customWidth="1"/>
    <col min="10" max="10" width="14.42578125" style="6" customWidth="1"/>
    <col min="11" max="12" width="8.140625" style="6" customWidth="1"/>
    <col min="13" max="13" width="8" style="6" customWidth="1"/>
    <col min="14" max="14" width="10.42578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69</v>
      </c>
      <c r="E2" s="195"/>
      <c r="F2" s="195"/>
      <c r="G2" s="195"/>
      <c r="H2" s="195"/>
      <c r="I2" s="195"/>
      <c r="J2" s="195"/>
      <c r="K2" s="195"/>
      <c r="L2" s="251">
        <f>'Niveau 1 Juin'!L2:N4</f>
        <v>45444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6"/>
      <c r="Q3" s="4"/>
      <c r="R3" s="220"/>
      <c r="S3" s="220"/>
      <c r="T3" s="220"/>
      <c r="U3" s="36"/>
      <c r="V3" s="36"/>
      <c r="W3" s="36"/>
      <c r="X3" s="36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6"/>
      <c r="Q4" s="4"/>
      <c r="R4" s="36"/>
      <c r="S4" s="36"/>
      <c r="T4" s="36"/>
      <c r="U4" s="36"/>
      <c r="V4" s="36"/>
      <c r="W4" s="36"/>
      <c r="X4" s="36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f>+'Niveau 1 Juin'!L5:N5</f>
        <v>45440</v>
      </c>
      <c r="M5" s="222"/>
      <c r="N5" s="222"/>
      <c r="O5" s="3"/>
      <c r="P5" s="36"/>
      <c r="Q5" s="5"/>
      <c r="R5" s="220"/>
      <c r="S5" s="220"/>
      <c r="T5" s="220"/>
      <c r="U5" s="36"/>
      <c r="V5" s="36"/>
      <c r="W5" s="36"/>
      <c r="X5" s="36"/>
      <c r="Y5" s="5"/>
    </row>
    <row r="6" spans="1:25" ht="19.5" customHeight="1" x14ac:dyDescent="0.35">
      <c r="A6" s="27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40"/>
      <c r="V6" s="40"/>
      <c r="W6" s="40"/>
      <c r="X6" s="40"/>
      <c r="Y6" s="5"/>
    </row>
    <row r="7" spans="1:25" ht="19.5" customHeight="1" thickBot="1" x14ac:dyDescent="0.4">
      <c r="A7" s="111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40"/>
      <c r="V7" s="40"/>
      <c r="W7" s="40"/>
      <c r="X7" s="40"/>
      <c r="Y7" s="5"/>
    </row>
    <row r="8" spans="1:25" ht="18" customHeight="1" thickBot="1" x14ac:dyDescent="0.3">
      <c r="A8" s="8" t="s">
        <v>2</v>
      </c>
      <c r="B8" s="24"/>
      <c r="C8" s="223"/>
      <c r="D8" s="224"/>
      <c r="E8" s="224"/>
      <c r="F8" s="225"/>
      <c r="G8" s="9"/>
      <c r="H8" s="8" t="s">
        <v>26</v>
      </c>
      <c r="I8" s="8"/>
      <c r="J8" s="8"/>
      <c r="K8" s="223"/>
      <c r="L8" s="224"/>
      <c r="M8" s="224"/>
      <c r="N8" s="225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223"/>
      <c r="D10" s="224"/>
      <c r="E10" s="224"/>
      <c r="F10" s="225"/>
      <c r="G10" s="9"/>
      <c r="H10" s="8" t="s">
        <v>25</v>
      </c>
      <c r="I10" s="8"/>
      <c r="J10" s="8"/>
      <c r="K10" s="223"/>
      <c r="L10" s="224"/>
      <c r="M10" s="224"/>
      <c r="N10" s="225"/>
      <c r="O10" s="26"/>
      <c r="P10" s="26"/>
      <c r="Q10" s="26"/>
      <c r="R10" s="26"/>
      <c r="S10" s="26"/>
      <c r="T10" s="26"/>
      <c r="U10" s="11"/>
    </row>
    <row r="11" spans="1:25" ht="18" customHeight="1" thickBot="1" x14ac:dyDescent="0.35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8" customHeight="1" thickBot="1" x14ac:dyDescent="0.35">
      <c r="A12" s="8" t="s">
        <v>49</v>
      </c>
      <c r="B12" s="24"/>
      <c r="C12" s="223" t="s">
        <v>50</v>
      </c>
      <c r="D12" s="224"/>
      <c r="E12" s="224"/>
      <c r="F12" s="225"/>
      <c r="G12" s="24"/>
      <c r="H12" s="8" t="s">
        <v>52</v>
      </c>
      <c r="I12" s="8"/>
      <c r="J12" s="24"/>
      <c r="K12" s="241"/>
      <c r="L12" s="242"/>
      <c r="M12" s="8" t="s">
        <v>59</v>
      </c>
      <c r="N12" s="24"/>
      <c r="O12" s="26"/>
      <c r="P12" s="26"/>
      <c r="Q12" s="26"/>
      <c r="R12" s="26"/>
      <c r="S12" s="26"/>
      <c r="T12" s="26"/>
      <c r="U12" s="11"/>
    </row>
    <row r="13" spans="1:25" ht="18" customHeight="1" thickBot="1" x14ac:dyDescent="0.35">
      <c r="A13" s="8"/>
      <c r="B13" s="24"/>
      <c r="C13" s="24"/>
      <c r="D13" s="24"/>
      <c r="E13" s="24"/>
      <c r="F13" s="24"/>
      <c r="G13" s="24"/>
      <c r="H13" s="8" t="s">
        <v>51</v>
      </c>
      <c r="I13" s="8"/>
      <c r="J13" s="24"/>
      <c r="K13" s="260"/>
      <c r="L13" s="261"/>
      <c r="M13" s="32" t="s">
        <v>60</v>
      </c>
      <c r="N13" s="24"/>
      <c r="O13" s="26"/>
      <c r="P13" s="26"/>
      <c r="Q13" s="26"/>
      <c r="R13" s="26"/>
      <c r="S13" s="26"/>
      <c r="T13" s="26"/>
      <c r="U13" s="11"/>
    </row>
    <row r="14" spans="1:25" ht="13.5" customHeight="1" thickBot="1" x14ac:dyDescent="0.35">
      <c r="A14" s="8" t="s">
        <v>70</v>
      </c>
      <c r="B14" s="24"/>
      <c r="C14" s="24"/>
      <c r="D14" s="24"/>
      <c r="E14" s="24"/>
      <c r="F14" s="24"/>
      <c r="G14" s="9"/>
      <c r="H14" s="8"/>
      <c r="I14" s="8"/>
      <c r="J14" s="8"/>
      <c r="K14" s="8"/>
      <c r="L14" s="8"/>
      <c r="M14" s="8"/>
      <c r="N14" s="8"/>
      <c r="O14" s="26"/>
      <c r="P14" s="26"/>
      <c r="Q14" s="26"/>
      <c r="R14" s="26"/>
      <c r="S14" s="26"/>
      <c r="T14" s="26"/>
      <c r="U14" s="11"/>
    </row>
    <row r="15" spans="1:25" ht="22.5" customHeight="1" thickBot="1" x14ac:dyDescent="0.35">
      <c r="A15" s="8"/>
      <c r="B15" s="24"/>
      <c r="C15" s="10"/>
      <c r="D15" s="10"/>
      <c r="E15" s="10"/>
      <c r="F15" s="262" t="s">
        <v>28</v>
      </c>
      <c r="G15" s="263"/>
      <c r="H15" s="263"/>
      <c r="I15" s="263"/>
      <c r="J15" s="263"/>
      <c r="K15" s="263"/>
      <c r="L15" s="263"/>
      <c r="M15" s="263"/>
      <c r="N15" s="264"/>
      <c r="O15" s="26"/>
      <c r="P15" s="26"/>
      <c r="Q15" s="26"/>
      <c r="R15" s="26"/>
      <c r="S15" s="26"/>
      <c r="T15" s="26"/>
      <c r="U15" s="11"/>
    </row>
    <row r="16" spans="1:25" s="19" customFormat="1" ht="54.75" customHeight="1" x14ac:dyDescent="0.25">
      <c r="A16" s="200" t="s">
        <v>1</v>
      </c>
      <c r="B16" s="201"/>
      <c r="C16" s="202"/>
      <c r="D16" s="203" t="s">
        <v>58</v>
      </c>
      <c r="E16" s="204"/>
      <c r="F16" s="265" t="s">
        <v>29</v>
      </c>
      <c r="G16" s="265"/>
      <c r="H16" s="266" t="s">
        <v>61</v>
      </c>
      <c r="I16" s="267"/>
      <c r="J16" s="37" t="s">
        <v>63</v>
      </c>
      <c r="K16" s="268" t="s">
        <v>64</v>
      </c>
      <c r="L16" s="269"/>
      <c r="M16" s="266" t="s">
        <v>30</v>
      </c>
      <c r="N16" s="267"/>
      <c r="O16" s="26"/>
      <c r="P16" s="26"/>
      <c r="Q16" s="26"/>
      <c r="R16" s="26"/>
      <c r="S16" s="26"/>
      <c r="T16" s="26"/>
      <c r="U16" s="20"/>
      <c r="V16" s="20"/>
      <c r="W16" s="20"/>
      <c r="X16" s="21"/>
    </row>
    <row r="17" spans="1:24" s="3" customFormat="1" ht="15.75" x14ac:dyDescent="0.25">
      <c r="A17" s="305">
        <v>45411</v>
      </c>
      <c r="B17" s="306"/>
      <c r="C17" s="307"/>
      <c r="D17" s="243"/>
      <c r="E17" s="243"/>
      <c r="F17" s="244"/>
      <c r="G17" s="245"/>
      <c r="H17" s="246"/>
      <c r="I17" s="247"/>
      <c r="J17" s="100"/>
      <c r="K17" s="248"/>
      <c r="L17" s="248"/>
      <c r="M17" s="249">
        <f t="shared" ref="M17:M30" si="0">+K17-J17</f>
        <v>0</v>
      </c>
      <c r="N17" s="250"/>
      <c r="O17" s="26"/>
      <c r="P17" s="26"/>
      <c r="Q17" s="26"/>
      <c r="R17" s="26"/>
      <c r="S17" s="26"/>
      <c r="T17" s="26"/>
      <c r="U17" s="13"/>
      <c r="V17" s="13"/>
      <c r="W17" s="13"/>
      <c r="X17" s="1"/>
    </row>
    <row r="18" spans="1:24" s="3" customFormat="1" ht="15.75" x14ac:dyDescent="0.25">
      <c r="A18" s="305">
        <v>45412</v>
      </c>
      <c r="B18" s="306"/>
      <c r="C18" s="307"/>
      <c r="D18" s="243"/>
      <c r="E18" s="243"/>
      <c r="F18" s="244"/>
      <c r="G18" s="245"/>
      <c r="H18" s="246"/>
      <c r="I18" s="247"/>
      <c r="J18" s="100"/>
      <c r="K18" s="248"/>
      <c r="L18" s="248"/>
      <c r="M18" s="249">
        <f t="shared" si="0"/>
        <v>0</v>
      </c>
      <c r="N18" s="250"/>
      <c r="P18" s="26"/>
      <c r="Q18" s="26"/>
      <c r="R18" s="26"/>
      <c r="S18" s="26"/>
      <c r="T18" s="26"/>
      <c r="U18" s="13"/>
      <c r="V18" s="13"/>
      <c r="W18" s="13"/>
      <c r="X18" s="1"/>
    </row>
    <row r="19" spans="1:24" s="3" customFormat="1" ht="15.75" x14ac:dyDescent="0.25">
      <c r="A19" s="305">
        <v>45413</v>
      </c>
      <c r="B19" s="306"/>
      <c r="C19" s="307"/>
      <c r="D19" s="243"/>
      <c r="E19" s="243"/>
      <c r="F19" s="244"/>
      <c r="G19" s="245"/>
      <c r="H19" s="246"/>
      <c r="I19" s="247"/>
      <c r="J19" s="100"/>
      <c r="K19" s="248"/>
      <c r="L19" s="248"/>
      <c r="M19" s="249">
        <f t="shared" si="0"/>
        <v>0</v>
      </c>
      <c r="N19" s="250"/>
      <c r="P19" s="26"/>
      <c r="Q19" s="26"/>
      <c r="R19" s="26"/>
      <c r="S19" s="26"/>
      <c r="T19" s="26"/>
      <c r="U19" s="26"/>
      <c r="V19" s="13"/>
      <c r="W19" s="13"/>
      <c r="X19" s="1"/>
    </row>
    <row r="20" spans="1:24" s="3" customFormat="1" x14ac:dyDescent="0.25">
      <c r="A20" s="305">
        <v>45414</v>
      </c>
      <c r="B20" s="306"/>
      <c r="C20" s="307"/>
      <c r="D20" s="243"/>
      <c r="E20" s="243"/>
      <c r="F20" s="244"/>
      <c r="G20" s="245"/>
      <c r="H20" s="246"/>
      <c r="I20" s="247"/>
      <c r="J20" s="100"/>
      <c r="K20" s="248"/>
      <c r="L20" s="248"/>
      <c r="M20" s="249">
        <f t="shared" si="0"/>
        <v>0</v>
      </c>
      <c r="N20" s="250"/>
      <c r="P20" s="12"/>
      <c r="Q20" s="12"/>
      <c r="R20" s="12"/>
      <c r="S20" s="12"/>
      <c r="T20" s="13"/>
      <c r="U20" s="13"/>
      <c r="V20" s="13"/>
      <c r="W20" s="13"/>
      <c r="X20" s="1"/>
    </row>
    <row r="21" spans="1:24" s="3" customFormat="1" x14ac:dyDescent="0.25">
      <c r="A21" s="305">
        <v>45415</v>
      </c>
      <c r="B21" s="306"/>
      <c r="C21" s="307"/>
      <c r="D21" s="243"/>
      <c r="E21" s="243"/>
      <c r="F21" s="244"/>
      <c r="G21" s="245"/>
      <c r="H21" s="246"/>
      <c r="I21" s="247"/>
      <c r="J21" s="100"/>
      <c r="K21" s="248"/>
      <c r="L21" s="248"/>
      <c r="M21" s="249">
        <f t="shared" si="0"/>
        <v>0</v>
      </c>
      <c r="N21" s="250"/>
      <c r="P21" s="12"/>
      <c r="Q21" s="12"/>
      <c r="R21" s="12"/>
      <c r="S21" s="12"/>
      <c r="T21" s="13"/>
      <c r="U21" s="13"/>
      <c r="V21" s="13"/>
      <c r="W21" s="13"/>
      <c r="X21" s="1"/>
    </row>
    <row r="22" spans="1:24" s="3" customFormat="1" x14ac:dyDescent="0.25">
      <c r="A22" s="305">
        <v>45416</v>
      </c>
      <c r="B22" s="306"/>
      <c r="C22" s="307"/>
      <c r="D22" s="243"/>
      <c r="E22" s="243"/>
      <c r="F22" s="244"/>
      <c r="G22" s="245"/>
      <c r="H22" s="246"/>
      <c r="I22" s="247"/>
      <c r="J22" s="100"/>
      <c r="K22" s="248"/>
      <c r="L22" s="248"/>
      <c r="M22" s="249">
        <f t="shared" si="0"/>
        <v>0</v>
      </c>
      <c r="N22" s="250"/>
      <c r="P22" s="12"/>
      <c r="Q22" s="12"/>
      <c r="R22" s="12"/>
      <c r="S22" s="12"/>
      <c r="T22" s="13"/>
      <c r="U22" s="13"/>
      <c r="V22" s="13"/>
      <c r="W22" s="13"/>
      <c r="X22" s="1"/>
    </row>
    <row r="23" spans="1:24" s="3" customFormat="1" x14ac:dyDescent="0.25">
      <c r="A23" s="305">
        <v>45417</v>
      </c>
      <c r="B23" s="306"/>
      <c r="C23" s="307"/>
      <c r="D23" s="243"/>
      <c r="E23" s="243"/>
      <c r="F23" s="244"/>
      <c r="G23" s="245"/>
      <c r="H23" s="246"/>
      <c r="I23" s="247"/>
      <c r="J23" s="100"/>
      <c r="K23" s="248"/>
      <c r="L23" s="248"/>
      <c r="M23" s="249">
        <f t="shared" si="0"/>
        <v>0</v>
      </c>
      <c r="N23" s="250"/>
      <c r="P23" s="12"/>
      <c r="Q23" s="12"/>
      <c r="R23" s="12"/>
      <c r="S23" s="12"/>
      <c r="T23" s="13"/>
      <c r="U23" s="13"/>
      <c r="V23" s="13"/>
      <c r="W23" s="13"/>
      <c r="X23" s="1"/>
    </row>
    <row r="24" spans="1:24" s="3" customFormat="1" x14ac:dyDescent="0.25">
      <c r="A24" s="305">
        <v>45418</v>
      </c>
      <c r="B24" s="306"/>
      <c r="C24" s="307"/>
      <c r="D24" s="243"/>
      <c r="E24" s="243"/>
      <c r="F24" s="244"/>
      <c r="G24" s="245"/>
      <c r="H24" s="246"/>
      <c r="I24" s="247"/>
      <c r="J24" s="100"/>
      <c r="K24" s="248"/>
      <c r="L24" s="248"/>
      <c r="M24" s="249">
        <f t="shared" si="0"/>
        <v>0</v>
      </c>
      <c r="N24" s="250"/>
      <c r="P24" s="12"/>
      <c r="Q24" s="12"/>
      <c r="R24" s="12"/>
      <c r="S24" s="12"/>
      <c r="T24" s="13"/>
      <c r="U24" s="13"/>
      <c r="V24" s="13"/>
      <c r="W24" s="13"/>
      <c r="X24" s="1"/>
    </row>
    <row r="25" spans="1:24" s="3" customFormat="1" x14ac:dyDescent="0.25">
      <c r="A25" s="305">
        <v>45419</v>
      </c>
      <c r="B25" s="306"/>
      <c r="C25" s="307"/>
      <c r="D25" s="243"/>
      <c r="E25" s="243"/>
      <c r="F25" s="244"/>
      <c r="G25" s="245"/>
      <c r="H25" s="246"/>
      <c r="I25" s="247"/>
      <c r="J25" s="100"/>
      <c r="K25" s="248"/>
      <c r="L25" s="248"/>
      <c r="M25" s="249">
        <f t="shared" si="0"/>
        <v>0</v>
      </c>
      <c r="N25" s="250"/>
      <c r="P25" s="12"/>
      <c r="Q25" s="12"/>
      <c r="R25" s="12"/>
      <c r="S25" s="12"/>
      <c r="T25" s="13"/>
      <c r="U25" s="13"/>
      <c r="V25" s="13"/>
      <c r="W25" s="13"/>
      <c r="X25" s="1"/>
    </row>
    <row r="26" spans="1:24" s="3" customFormat="1" x14ac:dyDescent="0.25">
      <c r="A26" s="305">
        <v>45420</v>
      </c>
      <c r="B26" s="306"/>
      <c r="C26" s="307"/>
      <c r="D26" s="243"/>
      <c r="E26" s="243"/>
      <c r="F26" s="244"/>
      <c r="G26" s="245"/>
      <c r="H26" s="246"/>
      <c r="I26" s="247"/>
      <c r="J26" s="100"/>
      <c r="K26" s="248"/>
      <c r="L26" s="248"/>
      <c r="M26" s="249">
        <f t="shared" si="0"/>
        <v>0</v>
      </c>
      <c r="N26" s="250"/>
      <c r="P26" s="12"/>
      <c r="Q26" s="12"/>
      <c r="R26" s="12"/>
      <c r="S26" s="12"/>
      <c r="T26" s="13"/>
      <c r="U26" s="13"/>
      <c r="V26" s="13"/>
      <c r="W26" s="13"/>
      <c r="X26" s="1"/>
    </row>
    <row r="27" spans="1:24" s="3" customFormat="1" x14ac:dyDescent="0.25">
      <c r="A27" s="305">
        <v>45421</v>
      </c>
      <c r="B27" s="306"/>
      <c r="C27" s="307"/>
      <c r="D27" s="243"/>
      <c r="E27" s="243"/>
      <c r="F27" s="244"/>
      <c r="G27" s="245"/>
      <c r="H27" s="246"/>
      <c r="I27" s="247"/>
      <c r="J27" s="100"/>
      <c r="K27" s="248"/>
      <c r="L27" s="248"/>
      <c r="M27" s="249">
        <f t="shared" si="0"/>
        <v>0</v>
      </c>
      <c r="N27" s="250"/>
      <c r="P27" s="12"/>
      <c r="Q27" s="15"/>
      <c r="R27" s="15"/>
      <c r="S27" s="15"/>
      <c r="T27" s="13"/>
      <c r="U27" s="13"/>
      <c r="V27" s="13"/>
      <c r="W27" s="13"/>
      <c r="X27" s="1"/>
    </row>
    <row r="28" spans="1:24" s="3" customFormat="1" x14ac:dyDescent="0.25">
      <c r="A28" s="305">
        <v>45422</v>
      </c>
      <c r="B28" s="306"/>
      <c r="C28" s="307"/>
      <c r="D28" s="243"/>
      <c r="E28" s="243"/>
      <c r="F28" s="244"/>
      <c r="G28" s="245"/>
      <c r="H28" s="246"/>
      <c r="I28" s="247"/>
      <c r="J28" s="100"/>
      <c r="K28" s="248"/>
      <c r="L28" s="248"/>
      <c r="M28" s="249">
        <f t="shared" si="0"/>
        <v>0</v>
      </c>
      <c r="N28" s="250"/>
      <c r="P28" s="12"/>
      <c r="Q28" s="15"/>
      <c r="R28" s="15"/>
      <c r="S28" s="15"/>
      <c r="T28" s="13"/>
      <c r="U28" s="13"/>
      <c r="V28" s="13"/>
      <c r="W28" s="13"/>
      <c r="X28" s="1"/>
    </row>
    <row r="29" spans="1:24" s="3" customFormat="1" x14ac:dyDescent="0.25">
      <c r="A29" s="305">
        <v>45423</v>
      </c>
      <c r="B29" s="306"/>
      <c r="C29" s="307"/>
      <c r="D29" s="243"/>
      <c r="E29" s="243"/>
      <c r="F29" s="244"/>
      <c r="G29" s="245"/>
      <c r="H29" s="246"/>
      <c r="I29" s="247"/>
      <c r="J29" s="100"/>
      <c r="K29" s="248"/>
      <c r="L29" s="248"/>
      <c r="M29" s="249">
        <f t="shared" si="0"/>
        <v>0</v>
      </c>
      <c r="N29" s="250"/>
      <c r="P29" s="12"/>
      <c r="Q29" s="15"/>
      <c r="R29" s="15"/>
      <c r="S29" s="15"/>
      <c r="T29" s="13"/>
      <c r="U29" s="13"/>
      <c r="V29" s="13"/>
      <c r="W29" s="13"/>
      <c r="X29" s="1"/>
    </row>
    <row r="30" spans="1:24" s="3" customFormat="1" x14ac:dyDescent="0.25">
      <c r="A30" s="305">
        <v>45424</v>
      </c>
      <c r="B30" s="306"/>
      <c r="C30" s="307"/>
      <c r="D30" s="243"/>
      <c r="E30" s="243"/>
      <c r="F30" s="244"/>
      <c r="G30" s="245"/>
      <c r="H30" s="246"/>
      <c r="I30" s="247"/>
      <c r="J30" s="100"/>
      <c r="K30" s="248"/>
      <c r="L30" s="248"/>
      <c r="M30" s="249">
        <f t="shared" si="0"/>
        <v>0</v>
      </c>
      <c r="N30" s="250"/>
      <c r="O30" s="1"/>
      <c r="P30" s="12"/>
      <c r="Q30" s="15"/>
      <c r="R30" s="15"/>
      <c r="S30" s="15"/>
      <c r="T30" s="13"/>
      <c r="U30" s="13"/>
      <c r="V30" s="13"/>
      <c r="W30" s="13"/>
      <c r="X30" s="1"/>
    </row>
    <row r="31" spans="1:24" s="3" customFormat="1" x14ac:dyDescent="0.25">
      <c r="A31" s="305">
        <v>45425</v>
      </c>
      <c r="B31" s="306"/>
      <c r="C31" s="307"/>
      <c r="D31" s="270"/>
      <c r="E31" s="271"/>
      <c r="F31" s="101"/>
      <c r="G31" s="102"/>
      <c r="H31" s="103"/>
      <c r="I31" s="104"/>
      <c r="J31" s="100"/>
      <c r="K31" s="249"/>
      <c r="L31" s="250"/>
      <c r="M31" s="249">
        <f t="shared" ref="M31:M44" si="1">+K31-J31</f>
        <v>0</v>
      </c>
      <c r="N31" s="250"/>
      <c r="O31" s="1"/>
      <c r="P31" s="12"/>
      <c r="Q31" s="15"/>
      <c r="R31" s="15"/>
      <c r="S31" s="15"/>
      <c r="T31" s="13"/>
      <c r="U31" s="13"/>
      <c r="V31" s="13"/>
      <c r="W31" s="13"/>
      <c r="X31" s="1"/>
    </row>
    <row r="32" spans="1:24" s="3" customFormat="1" x14ac:dyDescent="0.25">
      <c r="A32" s="305">
        <v>45426</v>
      </c>
      <c r="B32" s="306"/>
      <c r="C32" s="307"/>
      <c r="D32" s="270"/>
      <c r="E32" s="271"/>
      <c r="F32" s="101"/>
      <c r="G32" s="102"/>
      <c r="H32" s="103"/>
      <c r="I32" s="104"/>
      <c r="J32" s="100"/>
      <c r="K32" s="249"/>
      <c r="L32" s="250"/>
      <c r="M32" s="249">
        <f t="shared" si="1"/>
        <v>0</v>
      </c>
      <c r="N32" s="250"/>
      <c r="O32" s="1"/>
      <c r="P32" s="12"/>
      <c r="Q32" s="15"/>
      <c r="R32" s="15"/>
      <c r="S32" s="15"/>
      <c r="T32" s="13"/>
      <c r="U32" s="13"/>
      <c r="V32" s="13"/>
      <c r="W32" s="13"/>
      <c r="X32" s="1"/>
    </row>
    <row r="33" spans="1:25" s="3" customFormat="1" x14ac:dyDescent="0.25">
      <c r="A33" s="305">
        <v>45427</v>
      </c>
      <c r="B33" s="306"/>
      <c r="C33" s="307"/>
      <c r="D33" s="270"/>
      <c r="E33" s="271"/>
      <c r="F33" s="101"/>
      <c r="G33" s="102"/>
      <c r="H33" s="103"/>
      <c r="I33" s="104"/>
      <c r="J33" s="100"/>
      <c r="K33" s="249"/>
      <c r="L33" s="250"/>
      <c r="M33" s="249">
        <f t="shared" si="1"/>
        <v>0</v>
      </c>
      <c r="N33" s="250"/>
      <c r="O33" s="1"/>
      <c r="P33" s="12"/>
      <c r="Q33" s="15"/>
      <c r="R33" s="15"/>
      <c r="S33" s="15"/>
      <c r="T33" s="13"/>
      <c r="U33" s="13"/>
      <c r="V33" s="13"/>
      <c r="W33" s="13"/>
      <c r="X33" s="1"/>
    </row>
    <row r="34" spans="1:25" s="3" customFormat="1" x14ac:dyDescent="0.25">
      <c r="A34" s="305">
        <v>45428</v>
      </c>
      <c r="B34" s="306"/>
      <c r="C34" s="307"/>
      <c r="D34" s="270"/>
      <c r="E34" s="271"/>
      <c r="F34" s="101"/>
      <c r="G34" s="102"/>
      <c r="H34" s="103"/>
      <c r="I34" s="104"/>
      <c r="J34" s="100"/>
      <c r="K34" s="249"/>
      <c r="L34" s="250"/>
      <c r="M34" s="249">
        <f t="shared" si="1"/>
        <v>0</v>
      </c>
      <c r="N34" s="250"/>
      <c r="O34" s="1"/>
      <c r="P34" s="12"/>
      <c r="Q34" s="15"/>
      <c r="R34" s="15"/>
      <c r="S34" s="15"/>
      <c r="T34" s="13"/>
      <c r="U34" s="13"/>
      <c r="V34" s="13"/>
      <c r="W34" s="13"/>
      <c r="X34" s="1"/>
    </row>
    <row r="35" spans="1:25" s="3" customFormat="1" x14ac:dyDescent="0.25">
      <c r="A35" s="305">
        <v>45429</v>
      </c>
      <c r="B35" s="306"/>
      <c r="C35" s="307"/>
      <c r="D35" s="270"/>
      <c r="E35" s="271"/>
      <c r="F35" s="101"/>
      <c r="G35" s="102"/>
      <c r="H35" s="103"/>
      <c r="I35" s="104"/>
      <c r="J35" s="100"/>
      <c r="K35" s="249"/>
      <c r="L35" s="250"/>
      <c r="M35" s="249">
        <f t="shared" si="1"/>
        <v>0</v>
      </c>
      <c r="N35" s="250"/>
      <c r="O35" s="1"/>
      <c r="P35" s="12"/>
      <c r="Q35" s="15"/>
      <c r="R35" s="15"/>
      <c r="S35" s="15"/>
      <c r="T35" s="13"/>
      <c r="U35" s="13"/>
      <c r="V35" s="13"/>
      <c r="W35" s="13"/>
      <c r="X35" s="1"/>
    </row>
    <row r="36" spans="1:25" s="3" customFormat="1" x14ac:dyDescent="0.25">
      <c r="A36" s="305">
        <v>45430</v>
      </c>
      <c r="B36" s="306"/>
      <c r="C36" s="307"/>
      <c r="D36" s="270"/>
      <c r="E36" s="271"/>
      <c r="F36" s="101"/>
      <c r="G36" s="102"/>
      <c r="H36" s="103"/>
      <c r="I36" s="104"/>
      <c r="J36" s="100"/>
      <c r="K36" s="249"/>
      <c r="L36" s="250"/>
      <c r="M36" s="249">
        <f t="shared" si="1"/>
        <v>0</v>
      </c>
      <c r="N36" s="250"/>
      <c r="O36" s="1"/>
      <c r="P36" s="12"/>
      <c r="Q36" s="15"/>
      <c r="R36" s="15"/>
      <c r="S36" s="15"/>
      <c r="T36" s="13"/>
      <c r="U36" s="13"/>
      <c r="V36" s="13"/>
      <c r="W36" s="13"/>
      <c r="X36" s="1"/>
    </row>
    <row r="37" spans="1:25" s="3" customFormat="1" x14ac:dyDescent="0.25">
      <c r="A37" s="305">
        <v>45431</v>
      </c>
      <c r="B37" s="306"/>
      <c r="C37" s="307"/>
      <c r="D37" s="270"/>
      <c r="E37" s="271"/>
      <c r="F37" s="101"/>
      <c r="G37" s="102"/>
      <c r="H37" s="103"/>
      <c r="I37" s="104"/>
      <c r="J37" s="100"/>
      <c r="K37" s="249"/>
      <c r="L37" s="250"/>
      <c r="M37" s="249">
        <f t="shared" si="1"/>
        <v>0</v>
      </c>
      <c r="N37" s="250"/>
      <c r="O37" s="1"/>
      <c r="P37" s="12"/>
      <c r="Q37" s="15"/>
      <c r="R37" s="15"/>
      <c r="S37" s="15"/>
      <c r="T37" s="13"/>
      <c r="U37" s="13"/>
      <c r="V37" s="13"/>
      <c r="W37" s="13"/>
      <c r="X37" s="1"/>
    </row>
    <row r="38" spans="1:25" s="3" customFormat="1" x14ac:dyDescent="0.25">
      <c r="A38" s="305">
        <v>45432</v>
      </c>
      <c r="B38" s="306"/>
      <c r="C38" s="307"/>
      <c r="D38" s="243"/>
      <c r="E38" s="243"/>
      <c r="F38" s="244"/>
      <c r="G38" s="245"/>
      <c r="H38" s="246"/>
      <c r="I38" s="247"/>
      <c r="J38" s="100"/>
      <c r="K38" s="248"/>
      <c r="L38" s="248"/>
      <c r="M38" s="249">
        <f t="shared" si="1"/>
        <v>0</v>
      </c>
      <c r="N38" s="250"/>
      <c r="P38" s="12"/>
      <c r="Q38" s="15"/>
      <c r="R38" s="15"/>
      <c r="S38" s="15"/>
      <c r="T38" s="13"/>
      <c r="U38" s="13"/>
      <c r="V38" s="13"/>
      <c r="W38" s="13"/>
      <c r="X38" s="1"/>
    </row>
    <row r="39" spans="1:25" s="3" customFormat="1" x14ac:dyDescent="0.25">
      <c r="A39" s="305">
        <v>45433</v>
      </c>
      <c r="B39" s="306"/>
      <c r="C39" s="307"/>
      <c r="D39" s="243"/>
      <c r="E39" s="243"/>
      <c r="F39" s="244"/>
      <c r="G39" s="245"/>
      <c r="H39" s="246"/>
      <c r="I39" s="247"/>
      <c r="J39" s="100"/>
      <c r="K39" s="248"/>
      <c r="L39" s="248"/>
      <c r="M39" s="249">
        <f t="shared" si="1"/>
        <v>0</v>
      </c>
      <c r="N39" s="250"/>
      <c r="P39" s="12"/>
      <c r="Q39" s="15"/>
      <c r="R39" s="15"/>
      <c r="S39" s="15"/>
      <c r="T39" s="13"/>
      <c r="U39" s="13"/>
      <c r="V39" s="13"/>
      <c r="W39" s="13"/>
      <c r="X39" s="1"/>
    </row>
    <row r="40" spans="1:25" s="3" customFormat="1" x14ac:dyDescent="0.25">
      <c r="A40" s="305">
        <v>45434</v>
      </c>
      <c r="B40" s="306"/>
      <c r="C40" s="307"/>
      <c r="D40" s="243"/>
      <c r="E40" s="243"/>
      <c r="F40" s="244"/>
      <c r="G40" s="245"/>
      <c r="H40" s="246"/>
      <c r="I40" s="247"/>
      <c r="J40" s="100"/>
      <c r="K40" s="248"/>
      <c r="L40" s="248"/>
      <c r="M40" s="249">
        <f t="shared" si="1"/>
        <v>0</v>
      </c>
      <c r="N40" s="250"/>
      <c r="P40" s="12"/>
      <c r="Q40" s="15"/>
      <c r="R40" s="15"/>
      <c r="S40" s="15"/>
      <c r="T40" s="13"/>
      <c r="U40" s="13"/>
      <c r="V40" s="13"/>
      <c r="W40" s="13"/>
      <c r="X40" s="1"/>
    </row>
    <row r="41" spans="1:25" s="3" customFormat="1" x14ac:dyDescent="0.25">
      <c r="A41" s="305">
        <v>45435</v>
      </c>
      <c r="B41" s="306"/>
      <c r="C41" s="307"/>
      <c r="D41" s="243"/>
      <c r="E41" s="243"/>
      <c r="F41" s="244"/>
      <c r="G41" s="245"/>
      <c r="H41" s="246"/>
      <c r="I41" s="247"/>
      <c r="J41" s="100"/>
      <c r="K41" s="248"/>
      <c r="L41" s="248"/>
      <c r="M41" s="249">
        <f t="shared" si="1"/>
        <v>0</v>
      </c>
      <c r="N41" s="250"/>
      <c r="P41" s="12"/>
      <c r="Q41" s="15"/>
      <c r="R41" s="15"/>
      <c r="S41" s="15"/>
      <c r="T41" s="13"/>
      <c r="U41" s="13"/>
      <c r="V41" s="13"/>
      <c r="W41" s="13"/>
      <c r="X41" s="1"/>
    </row>
    <row r="42" spans="1:25" s="3" customFormat="1" x14ac:dyDescent="0.25">
      <c r="A42" s="305">
        <v>45436</v>
      </c>
      <c r="B42" s="306"/>
      <c r="C42" s="307"/>
      <c r="D42" s="243"/>
      <c r="E42" s="243"/>
      <c r="F42" s="244"/>
      <c r="G42" s="245"/>
      <c r="H42" s="246"/>
      <c r="I42" s="247"/>
      <c r="J42" s="100"/>
      <c r="K42" s="248"/>
      <c r="L42" s="248"/>
      <c r="M42" s="249">
        <f t="shared" si="1"/>
        <v>0</v>
      </c>
      <c r="N42" s="250"/>
      <c r="P42" s="12"/>
      <c r="Q42" s="15"/>
      <c r="R42" s="15"/>
      <c r="S42" s="15"/>
      <c r="T42" s="13"/>
      <c r="U42" s="13"/>
      <c r="V42" s="13"/>
      <c r="W42" s="13"/>
      <c r="X42" s="1"/>
    </row>
    <row r="43" spans="1:25" s="3" customFormat="1" x14ac:dyDescent="0.25">
      <c r="A43" s="305">
        <v>45437</v>
      </c>
      <c r="B43" s="306"/>
      <c r="C43" s="307"/>
      <c r="D43" s="243"/>
      <c r="E43" s="243"/>
      <c r="F43" s="244"/>
      <c r="G43" s="245"/>
      <c r="H43" s="246"/>
      <c r="I43" s="247"/>
      <c r="J43" s="100"/>
      <c r="K43" s="248"/>
      <c r="L43" s="248"/>
      <c r="M43" s="249">
        <f t="shared" si="1"/>
        <v>0</v>
      </c>
      <c r="N43" s="250"/>
      <c r="P43" s="12"/>
      <c r="Q43" s="15"/>
      <c r="R43" s="15"/>
      <c r="S43" s="15"/>
      <c r="T43" s="13"/>
      <c r="U43" s="13"/>
      <c r="V43" s="13"/>
      <c r="W43" s="13"/>
      <c r="X43" s="1"/>
    </row>
    <row r="44" spans="1:25" s="3" customFormat="1" x14ac:dyDescent="0.25">
      <c r="A44" s="305">
        <v>45438</v>
      </c>
      <c r="B44" s="306"/>
      <c r="C44" s="307"/>
      <c r="D44" s="243"/>
      <c r="E44" s="243"/>
      <c r="F44" s="244"/>
      <c r="G44" s="245"/>
      <c r="H44" s="246"/>
      <c r="I44" s="247"/>
      <c r="J44" s="100"/>
      <c r="K44" s="248"/>
      <c r="L44" s="248"/>
      <c r="M44" s="249">
        <f t="shared" si="1"/>
        <v>0</v>
      </c>
      <c r="N44" s="250"/>
      <c r="P44" s="12"/>
      <c r="Q44" s="15"/>
      <c r="R44" s="15"/>
      <c r="S44" s="15"/>
      <c r="T44" s="13"/>
      <c r="U44" s="13"/>
      <c r="V44" s="13"/>
      <c r="W44" s="13"/>
      <c r="X44" s="1"/>
    </row>
    <row r="45" spans="1:25" s="3" customFormat="1" ht="15.75" x14ac:dyDescent="0.25">
      <c r="A45" s="231" t="s">
        <v>21</v>
      </c>
      <c r="B45" s="232"/>
      <c r="C45" s="233"/>
      <c r="D45" s="278">
        <f>+COUNTA(D17:E44)</f>
        <v>0</v>
      </c>
      <c r="E45" s="279"/>
      <c r="F45" s="280">
        <f>+COUNTA(F17:G44)</f>
        <v>0</v>
      </c>
      <c r="G45" s="281"/>
      <c r="H45" s="282">
        <f>SUM(H17:I44)</f>
        <v>0</v>
      </c>
      <c r="I45" s="282"/>
      <c r="J45" s="136"/>
      <c r="K45" s="283"/>
      <c r="L45" s="283"/>
      <c r="M45" s="284">
        <f>+SUM(M17:O44)</f>
        <v>0</v>
      </c>
      <c r="N45" s="285"/>
      <c r="U45" s="1"/>
      <c r="V45" s="1"/>
      <c r="W45" s="1"/>
      <c r="X45" s="1"/>
      <c r="Y45" s="1"/>
    </row>
    <row r="46" spans="1:25" s="3" customFormat="1" x14ac:dyDescent="0.25">
      <c r="A46" s="12"/>
      <c r="B46" s="12"/>
      <c r="C46" s="12"/>
      <c r="D46" s="272" t="s">
        <v>65</v>
      </c>
      <c r="E46" s="273"/>
      <c r="F46" s="274" t="s">
        <v>24</v>
      </c>
      <c r="G46" s="274"/>
      <c r="H46" s="275" t="s">
        <v>62</v>
      </c>
      <c r="I46" s="275"/>
      <c r="K46" s="12"/>
      <c r="L46" s="12"/>
      <c r="M46" s="276" t="s">
        <v>66</v>
      </c>
      <c r="N46" s="277"/>
      <c r="U46" s="1"/>
      <c r="V46" s="1"/>
      <c r="W46" s="1"/>
      <c r="X46" s="1"/>
      <c r="Y46" s="1"/>
    </row>
    <row r="47" spans="1:25" s="3" customFormat="1" x14ac:dyDescent="0.25">
      <c r="U47" s="1"/>
      <c r="V47" s="1"/>
      <c r="W47" s="1"/>
      <c r="X47" s="1"/>
      <c r="Y47" s="1"/>
    </row>
    <row r="48" spans="1:25" s="3" customFormat="1" x14ac:dyDescent="0.25">
      <c r="U48" s="1"/>
      <c r="V48" s="1"/>
      <c r="W48" s="1"/>
      <c r="X48" s="1"/>
      <c r="Y48" s="1"/>
    </row>
    <row r="49" spans="1:25" s="3" customFormat="1" x14ac:dyDescent="0.25">
      <c r="U49" s="1"/>
      <c r="V49" s="1"/>
      <c r="W49" s="1"/>
      <c r="X49" s="1"/>
      <c r="Y49" s="1"/>
    </row>
    <row r="50" spans="1:25" s="3" customFormat="1" x14ac:dyDescent="0.25">
      <c r="U50" s="1"/>
      <c r="V50" s="1"/>
      <c r="W50" s="1"/>
      <c r="X50" s="1"/>
      <c r="Y50" s="1"/>
    </row>
    <row r="51" spans="1:25" s="3" customFormat="1" x14ac:dyDescent="0.25">
      <c r="U51" s="1"/>
      <c r="V51" s="1"/>
      <c r="W51" s="1"/>
      <c r="X51" s="1"/>
      <c r="Y51" s="1"/>
    </row>
    <row r="52" spans="1:25" s="3" customFormat="1" x14ac:dyDescent="0.25">
      <c r="B52" s="23"/>
      <c r="U52" s="1"/>
      <c r="V52" s="1"/>
      <c r="W52" s="1"/>
      <c r="X52" s="1"/>
      <c r="Y52" s="1"/>
    </row>
    <row r="53" spans="1:25" s="3" customFormat="1" x14ac:dyDescent="0.25">
      <c r="A53" s="28" t="s">
        <v>23</v>
      </c>
      <c r="J53" s="28" t="s">
        <v>27</v>
      </c>
      <c r="N53" s="39"/>
      <c r="U53" s="1"/>
      <c r="V53" s="1"/>
      <c r="W53" s="1"/>
      <c r="X53" s="1"/>
      <c r="Y53" s="1"/>
    </row>
    <row r="54" spans="1:25" s="3" customFormat="1" x14ac:dyDescent="0.25">
      <c r="J54" s="28" t="s">
        <v>31</v>
      </c>
      <c r="N54" s="39"/>
      <c r="U54" s="1"/>
      <c r="V54" s="1"/>
      <c r="W54" s="1"/>
      <c r="X54" s="1"/>
      <c r="Y54" s="1"/>
    </row>
    <row r="55" spans="1:25" s="3" customFormat="1" x14ac:dyDescent="0.25">
      <c r="A55" s="29" t="s">
        <v>20</v>
      </c>
      <c r="B55" s="30"/>
      <c r="C55" s="29"/>
      <c r="D55" s="29"/>
      <c r="E55" s="16"/>
      <c r="H55" s="18"/>
      <c r="U55" s="1"/>
      <c r="V55" s="1"/>
      <c r="W55" s="1"/>
      <c r="X55" s="1"/>
      <c r="Y55" s="1"/>
    </row>
    <row r="56" spans="1:25" s="3" customFormat="1" x14ac:dyDescent="0.25">
      <c r="A56" s="29" t="s">
        <v>7</v>
      </c>
      <c r="B56" s="30"/>
      <c r="C56" s="31">
        <f ca="1">TODAY()</f>
        <v>45320</v>
      </c>
      <c r="D56" s="29"/>
      <c r="E56" s="16"/>
      <c r="J56" s="28" t="s">
        <v>22</v>
      </c>
      <c r="U56" s="1"/>
      <c r="V56" s="1"/>
      <c r="W56" s="1"/>
      <c r="X56" s="1"/>
      <c r="Y56" s="1"/>
    </row>
    <row r="57" spans="1:25" s="3" customFormat="1" x14ac:dyDescent="0.25">
      <c r="A57" s="28"/>
      <c r="B57" s="240" t="s">
        <v>47</v>
      </c>
      <c r="C57" s="240"/>
      <c r="D57" s="240"/>
      <c r="E57" s="240"/>
      <c r="F57" s="240"/>
      <c r="J57" s="240" t="s">
        <v>48</v>
      </c>
      <c r="K57" s="240"/>
      <c r="L57" s="240"/>
      <c r="M57" s="240"/>
      <c r="N57" s="240"/>
      <c r="U57" s="1"/>
      <c r="V57" s="1"/>
      <c r="W57" s="1"/>
      <c r="X57" s="1"/>
      <c r="Y57" s="1"/>
    </row>
    <row r="58" spans="1:25" s="3" customFormat="1" x14ac:dyDescent="0.25">
      <c r="B58" s="240"/>
      <c r="C58" s="240"/>
      <c r="D58" s="240"/>
      <c r="E58" s="240"/>
      <c r="F58" s="240"/>
      <c r="J58" s="240"/>
      <c r="K58" s="240"/>
      <c r="L58" s="240"/>
      <c r="M58" s="240"/>
      <c r="N58" s="240"/>
      <c r="U58" s="1"/>
      <c r="V58" s="1"/>
      <c r="W58" s="1"/>
      <c r="X58" s="1"/>
      <c r="Y58" s="1"/>
    </row>
    <row r="59" spans="1:25" s="3" customFormat="1" x14ac:dyDescent="0.25">
      <c r="B59" s="240"/>
      <c r="C59" s="240"/>
      <c r="D59" s="240"/>
      <c r="E59" s="240"/>
      <c r="F59" s="240"/>
      <c r="J59" s="240"/>
      <c r="K59" s="240"/>
      <c r="L59" s="240"/>
      <c r="M59" s="240"/>
      <c r="N59" s="240"/>
      <c r="U59" s="1"/>
      <c r="V59" s="1"/>
      <c r="W59" s="1"/>
      <c r="X59" s="1"/>
      <c r="Y59" s="1"/>
    </row>
    <row r="60" spans="1:25" s="3" customFormat="1" x14ac:dyDescent="0.25">
      <c r="B60" s="240"/>
      <c r="C60" s="240"/>
      <c r="D60" s="240"/>
      <c r="E60" s="240"/>
      <c r="F60" s="240"/>
      <c r="J60" s="240"/>
      <c r="K60" s="240"/>
      <c r="L60" s="240"/>
      <c r="M60" s="240"/>
      <c r="N60" s="240"/>
      <c r="U60" s="1"/>
      <c r="V60" s="1"/>
      <c r="W60" s="1"/>
      <c r="X60" s="1"/>
      <c r="Y60" s="1"/>
    </row>
    <row r="61" spans="1:25" s="3" customFormat="1" x14ac:dyDescent="0.25">
      <c r="B61" s="240"/>
      <c r="C61" s="240"/>
      <c r="D61" s="240"/>
      <c r="E61" s="240"/>
      <c r="F61" s="240"/>
      <c r="J61" s="240"/>
      <c r="K61" s="240"/>
      <c r="L61" s="240"/>
      <c r="M61" s="240"/>
      <c r="N61" s="240"/>
      <c r="U61" s="1"/>
      <c r="V61" s="1"/>
      <c r="W61" s="1"/>
      <c r="X61" s="1"/>
      <c r="Y61" s="1"/>
    </row>
    <row r="62" spans="1:25" s="3" customFormat="1" x14ac:dyDescent="0.25">
      <c r="B62" s="240"/>
      <c r="C62" s="240"/>
      <c r="D62" s="240"/>
      <c r="E62" s="240"/>
      <c r="F62" s="240"/>
      <c r="J62" s="240"/>
      <c r="K62" s="240"/>
      <c r="L62" s="240"/>
      <c r="M62" s="240"/>
      <c r="N62" s="240"/>
      <c r="U62" s="1"/>
      <c r="V62" s="1"/>
      <c r="W62" s="1"/>
      <c r="X62" s="1"/>
      <c r="Y62" s="1"/>
    </row>
    <row r="63" spans="1:25" s="3" customFormat="1" x14ac:dyDescent="0.25">
      <c r="A63" s="3" t="s">
        <v>46</v>
      </c>
      <c r="B63" s="23"/>
      <c r="J63" s="3" t="s">
        <v>39</v>
      </c>
      <c r="U63" s="1"/>
      <c r="V63" s="1"/>
      <c r="W63" s="1"/>
      <c r="X63" s="1"/>
      <c r="Y63" s="1"/>
    </row>
    <row r="64" spans="1:25" s="3" customFormat="1" x14ac:dyDescent="0.25">
      <c r="B64" s="23"/>
      <c r="U64" s="1"/>
      <c r="V64" s="1"/>
      <c r="W64" s="1"/>
      <c r="X64" s="1"/>
      <c r="Y64" s="1"/>
    </row>
    <row r="65" spans="2:25" s="3" customFormat="1" x14ac:dyDescent="0.25">
      <c r="B65" s="23"/>
      <c r="U65" s="1"/>
      <c r="V65" s="1"/>
      <c r="W65" s="1"/>
      <c r="X65" s="1"/>
      <c r="Y65" s="1"/>
    </row>
    <row r="66" spans="2:25" s="3" customFormat="1" x14ac:dyDescent="0.25">
      <c r="B66" s="23"/>
      <c r="U66" s="1"/>
      <c r="V66" s="1"/>
      <c r="W66" s="1"/>
      <c r="X66" s="1"/>
      <c r="Y66" s="1"/>
    </row>
    <row r="67" spans="2:25" s="3" customFormat="1" x14ac:dyDescent="0.25">
      <c r="B67" s="23"/>
      <c r="U67" s="1"/>
      <c r="V67" s="1"/>
      <c r="W67" s="1"/>
      <c r="X67" s="1"/>
      <c r="Y67" s="1"/>
    </row>
    <row r="68" spans="2:25" s="3" customFormat="1" x14ac:dyDescent="0.25">
      <c r="B68" s="23"/>
      <c r="U68" s="1"/>
      <c r="V68" s="1"/>
      <c r="W68" s="1"/>
      <c r="X68" s="1"/>
      <c r="Y68" s="1"/>
    </row>
    <row r="69" spans="2:25" s="3" customFormat="1" x14ac:dyDescent="0.25">
      <c r="B69" s="23"/>
      <c r="U69" s="1"/>
      <c r="V69" s="1"/>
      <c r="W69" s="1"/>
      <c r="X69" s="1"/>
      <c r="Y69" s="1"/>
    </row>
    <row r="70" spans="2:25" s="3" customFormat="1" x14ac:dyDescent="0.25">
      <c r="B70" s="23"/>
      <c r="U70" s="1"/>
      <c r="V70" s="1"/>
      <c r="W70" s="1"/>
      <c r="X70" s="1"/>
      <c r="Y70" s="1"/>
    </row>
    <row r="71" spans="2:25" s="3" customFormat="1" x14ac:dyDescent="0.25">
      <c r="B71" s="23"/>
      <c r="U71" s="1"/>
      <c r="V71" s="1"/>
      <c r="W71" s="1"/>
      <c r="X71" s="1"/>
      <c r="Y71" s="1"/>
    </row>
    <row r="72" spans="2:25" s="3" customFormat="1" x14ac:dyDescent="0.25">
      <c r="B72" s="23"/>
      <c r="U72" s="1"/>
      <c r="V72" s="1"/>
      <c r="W72" s="1"/>
      <c r="X72" s="1"/>
      <c r="Y72" s="1"/>
    </row>
    <row r="73" spans="2:25" s="3" customFormat="1" x14ac:dyDescent="0.25">
      <c r="B73" s="23"/>
      <c r="U73" s="1"/>
      <c r="V73" s="1"/>
      <c r="W73" s="1"/>
      <c r="X73" s="1"/>
      <c r="Y73" s="1"/>
    </row>
    <row r="74" spans="2:25" s="3" customFormat="1" x14ac:dyDescent="0.25">
      <c r="B74" s="23"/>
      <c r="U74" s="1"/>
      <c r="V74" s="1"/>
      <c r="W74" s="1"/>
      <c r="X74" s="1"/>
      <c r="Y74" s="1"/>
    </row>
    <row r="75" spans="2:25" s="3" customFormat="1" x14ac:dyDescent="0.25">
      <c r="B75" s="23"/>
      <c r="U75" s="1"/>
      <c r="V75" s="1"/>
      <c r="W75" s="1"/>
      <c r="X75" s="1"/>
      <c r="Y75" s="1"/>
    </row>
    <row r="76" spans="2:25" s="3" customFormat="1" x14ac:dyDescent="0.25">
      <c r="B76" s="23"/>
      <c r="U76" s="1"/>
      <c r="V76" s="1"/>
      <c r="W76" s="1"/>
      <c r="X76" s="1"/>
      <c r="Y76" s="1"/>
    </row>
    <row r="77" spans="2:25" s="3" customFormat="1" x14ac:dyDescent="0.25">
      <c r="B77" s="23"/>
      <c r="U77" s="1"/>
      <c r="V77" s="1"/>
      <c r="W77" s="1"/>
      <c r="X77" s="1"/>
      <c r="Y77" s="1"/>
    </row>
    <row r="78" spans="2:25" s="3" customFormat="1" x14ac:dyDescent="0.25">
      <c r="B78" s="23"/>
      <c r="U78" s="1"/>
      <c r="V78" s="1"/>
      <c r="W78" s="1"/>
      <c r="X78" s="1"/>
      <c r="Y78" s="1"/>
    </row>
    <row r="79" spans="2:25" s="3" customFormat="1" x14ac:dyDescent="0.25">
      <c r="B79" s="23"/>
      <c r="U79" s="1"/>
      <c r="V79" s="1"/>
      <c r="W79" s="1"/>
      <c r="X79" s="1"/>
      <c r="Y79" s="1"/>
    </row>
    <row r="80" spans="2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1:25" s="3" customFormat="1" x14ac:dyDescent="0.25">
      <c r="B225" s="23"/>
      <c r="U225" s="1"/>
      <c r="V225" s="1"/>
      <c r="W225" s="1"/>
      <c r="X225" s="1"/>
      <c r="Y225" s="1"/>
    </row>
    <row r="226" spans="1:25" s="3" customFormat="1" x14ac:dyDescent="0.25">
      <c r="B226" s="23"/>
      <c r="U226" s="1"/>
      <c r="V226" s="1"/>
      <c r="W226" s="1"/>
      <c r="X226" s="1"/>
      <c r="Y226" s="1"/>
    </row>
    <row r="227" spans="1:25" s="3" customFormat="1" x14ac:dyDescent="0.25">
      <c r="B227" s="23"/>
      <c r="U227" s="1"/>
      <c r="V227" s="1"/>
      <c r="W227" s="1"/>
      <c r="X227" s="1"/>
      <c r="Y227" s="1"/>
    </row>
    <row r="228" spans="1:25" s="3" customFormat="1" x14ac:dyDescent="0.25">
      <c r="B228" s="23"/>
      <c r="K228" s="6"/>
      <c r="L228" s="6"/>
      <c r="M228" s="6"/>
      <c r="N228" s="6"/>
      <c r="U228" s="1"/>
      <c r="V228" s="1"/>
      <c r="W228" s="1"/>
      <c r="X228" s="1"/>
      <c r="Y228" s="1"/>
    </row>
    <row r="229" spans="1:25" s="3" customFormat="1" x14ac:dyDescent="0.25">
      <c r="B229" s="23"/>
      <c r="K229" s="6"/>
      <c r="L229" s="6"/>
      <c r="M229" s="6"/>
      <c r="N229" s="6"/>
      <c r="U229" s="1"/>
      <c r="V229" s="1"/>
      <c r="W229" s="1"/>
      <c r="X229" s="1"/>
      <c r="Y229" s="1"/>
    </row>
    <row r="230" spans="1:25" s="3" customFormat="1" x14ac:dyDescent="0.25">
      <c r="B230" s="23"/>
      <c r="K230" s="6"/>
      <c r="L230" s="6"/>
      <c r="M230" s="6"/>
      <c r="N230" s="6"/>
      <c r="U230" s="1"/>
      <c r="V230" s="1"/>
      <c r="W230" s="1"/>
      <c r="X230" s="1"/>
      <c r="Y230" s="1"/>
    </row>
    <row r="231" spans="1:25" s="3" customFormat="1" x14ac:dyDescent="0.25">
      <c r="B231" s="23"/>
      <c r="J231" s="6"/>
      <c r="K231" s="6"/>
      <c r="L231" s="6"/>
      <c r="M231" s="6"/>
      <c r="N231" s="6"/>
      <c r="U231" s="1"/>
      <c r="V231" s="1"/>
      <c r="W231" s="1"/>
      <c r="X231" s="1"/>
      <c r="Y231" s="1"/>
    </row>
    <row r="232" spans="1:25" s="3" customFormat="1" x14ac:dyDescent="0.25">
      <c r="B232" s="23"/>
      <c r="J232" s="6"/>
      <c r="K232" s="6"/>
      <c r="L232" s="6"/>
      <c r="M232" s="6"/>
      <c r="N232" s="6"/>
      <c r="U232" s="1"/>
      <c r="V232" s="1"/>
      <c r="W232" s="1"/>
      <c r="X232" s="1"/>
      <c r="Y232" s="1"/>
    </row>
    <row r="233" spans="1:25" s="3" customFormat="1" x14ac:dyDescent="0.25">
      <c r="B233" s="23"/>
      <c r="J233" s="6"/>
      <c r="K233" s="6"/>
      <c r="L233" s="6"/>
      <c r="M233" s="6"/>
      <c r="N233" s="6"/>
      <c r="U233" s="1"/>
      <c r="V233" s="1"/>
      <c r="W233" s="1"/>
      <c r="X233" s="1"/>
      <c r="Y233" s="1"/>
    </row>
    <row r="234" spans="1:25" s="3" customFormat="1" x14ac:dyDescent="0.25">
      <c r="B234" s="23"/>
      <c r="J234" s="6"/>
      <c r="K234" s="6"/>
      <c r="L234" s="6"/>
      <c r="M234" s="6"/>
      <c r="N234" s="6"/>
      <c r="U234" s="1"/>
      <c r="V234" s="1"/>
      <c r="W234" s="1"/>
      <c r="X234" s="1"/>
      <c r="Y234" s="1"/>
    </row>
    <row r="235" spans="1:25" s="3" customFormat="1" x14ac:dyDescent="0.25">
      <c r="B235" s="23"/>
      <c r="J235" s="6"/>
      <c r="K235" s="6"/>
      <c r="L235" s="6"/>
      <c r="M235" s="6"/>
      <c r="N235" s="6"/>
      <c r="O235" s="6"/>
      <c r="U235" s="1"/>
      <c r="V235" s="1"/>
      <c r="W235" s="1"/>
      <c r="X235" s="1"/>
      <c r="Y235" s="1"/>
    </row>
    <row r="236" spans="1:25" s="3" customFormat="1" x14ac:dyDescent="0.25">
      <c r="B236" s="23"/>
      <c r="J236" s="6"/>
      <c r="K236" s="6"/>
      <c r="L236" s="6"/>
      <c r="M236" s="6"/>
      <c r="N236" s="6"/>
      <c r="O236" s="6"/>
      <c r="U236" s="1"/>
      <c r="V236" s="1"/>
      <c r="W236" s="1"/>
      <c r="X236" s="1"/>
      <c r="Y236" s="1"/>
    </row>
    <row r="237" spans="1:25" s="3" customFormat="1" x14ac:dyDescent="0.25">
      <c r="A237" s="6"/>
      <c r="B237" s="25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Q237" s="6"/>
      <c r="R237" s="6"/>
      <c r="S237" s="6"/>
      <c r="U237" s="1"/>
      <c r="V237" s="1"/>
      <c r="W237" s="1"/>
      <c r="X237" s="1"/>
      <c r="Y237" s="1"/>
    </row>
  </sheetData>
  <sheetProtection sheet="1" objects="1" scenarios="1"/>
  <mergeCells count="186">
    <mergeCell ref="M31:N31"/>
    <mergeCell ref="M32:N32"/>
    <mergeCell ref="M33:N33"/>
    <mergeCell ref="M34:N34"/>
    <mergeCell ref="M35:N35"/>
    <mergeCell ref="M36:N36"/>
    <mergeCell ref="M37:N37"/>
    <mergeCell ref="R3:T3"/>
    <mergeCell ref="B5:K5"/>
    <mergeCell ref="L5:N5"/>
    <mergeCell ref="R5:T5"/>
    <mergeCell ref="K13:L13"/>
    <mergeCell ref="F15:N15"/>
    <mergeCell ref="A16:C16"/>
    <mergeCell ref="D16:E16"/>
    <mergeCell ref="F16:G16"/>
    <mergeCell ref="H16:I16"/>
    <mergeCell ref="K16:L16"/>
    <mergeCell ref="M16:N16"/>
    <mergeCell ref="C8:F8"/>
    <mergeCell ref="K8:N8"/>
    <mergeCell ref="C10:F10"/>
    <mergeCell ref="K10:N10"/>
    <mergeCell ref="C12:F12"/>
    <mergeCell ref="K12:L12"/>
    <mergeCell ref="D17:E17"/>
    <mergeCell ref="F17:G17"/>
    <mergeCell ref="H17:I17"/>
    <mergeCell ref="K17:L17"/>
    <mergeCell ref="M17:N17"/>
    <mergeCell ref="A17:C17"/>
    <mergeCell ref="A18:C18"/>
    <mergeCell ref="D2:K4"/>
    <mergeCell ref="L2:N4"/>
    <mergeCell ref="D19:E19"/>
    <mergeCell ref="F19:G19"/>
    <mergeCell ref="H19:I19"/>
    <mergeCell ref="K19:L19"/>
    <mergeCell ref="M19:N19"/>
    <mergeCell ref="A19:C19"/>
    <mergeCell ref="A20:C20"/>
    <mergeCell ref="D18:E18"/>
    <mergeCell ref="F18:G18"/>
    <mergeCell ref="H18:I18"/>
    <mergeCell ref="K18:L18"/>
    <mergeCell ref="M18:N18"/>
    <mergeCell ref="D21:E21"/>
    <mergeCell ref="F21:G21"/>
    <mergeCell ref="H21:I21"/>
    <mergeCell ref="K21:L21"/>
    <mergeCell ref="M21:N21"/>
    <mergeCell ref="A21:C21"/>
    <mergeCell ref="A22:C22"/>
    <mergeCell ref="D20:E20"/>
    <mergeCell ref="F20:G20"/>
    <mergeCell ref="H20:I20"/>
    <mergeCell ref="K20:L20"/>
    <mergeCell ref="M20:N20"/>
    <mergeCell ref="D23:E23"/>
    <mergeCell ref="F23:G23"/>
    <mergeCell ref="H23:I23"/>
    <mergeCell ref="K23:L23"/>
    <mergeCell ref="M23:N23"/>
    <mergeCell ref="A23:C23"/>
    <mergeCell ref="A24:C24"/>
    <mergeCell ref="D22:E22"/>
    <mergeCell ref="F22:G22"/>
    <mergeCell ref="H22:I22"/>
    <mergeCell ref="K22:L22"/>
    <mergeCell ref="M22:N22"/>
    <mergeCell ref="D25:E25"/>
    <mergeCell ref="F25:G25"/>
    <mergeCell ref="H25:I25"/>
    <mergeCell ref="K25:L25"/>
    <mergeCell ref="M25:N25"/>
    <mergeCell ref="A25:C25"/>
    <mergeCell ref="A26:C26"/>
    <mergeCell ref="D24:E24"/>
    <mergeCell ref="F24:G24"/>
    <mergeCell ref="H24:I24"/>
    <mergeCell ref="K24:L24"/>
    <mergeCell ref="M24:N24"/>
    <mergeCell ref="D27:E27"/>
    <mergeCell ref="F27:G27"/>
    <mergeCell ref="H27:I27"/>
    <mergeCell ref="K27:L27"/>
    <mergeCell ref="M27:N27"/>
    <mergeCell ref="A27:C27"/>
    <mergeCell ref="A28:C28"/>
    <mergeCell ref="D26:E26"/>
    <mergeCell ref="F26:G26"/>
    <mergeCell ref="H26:I26"/>
    <mergeCell ref="K26:L26"/>
    <mergeCell ref="M26:N26"/>
    <mergeCell ref="M30:N30"/>
    <mergeCell ref="D29:E29"/>
    <mergeCell ref="F29:G29"/>
    <mergeCell ref="H29:I29"/>
    <mergeCell ref="K29:L29"/>
    <mergeCell ref="M29:N29"/>
    <mergeCell ref="A29:C29"/>
    <mergeCell ref="A30:C30"/>
    <mergeCell ref="D28:E28"/>
    <mergeCell ref="F28:G28"/>
    <mergeCell ref="H28:I28"/>
    <mergeCell ref="K28:L28"/>
    <mergeCell ref="M28:N28"/>
    <mergeCell ref="D31:E31"/>
    <mergeCell ref="K31:L31"/>
    <mergeCell ref="D32:E32"/>
    <mergeCell ref="K32:L32"/>
    <mergeCell ref="A31:C31"/>
    <mergeCell ref="A32:C32"/>
    <mergeCell ref="A33:C33"/>
    <mergeCell ref="A34:C34"/>
    <mergeCell ref="D30:E30"/>
    <mergeCell ref="F30:G30"/>
    <mergeCell ref="H30:I30"/>
    <mergeCell ref="K30:L30"/>
    <mergeCell ref="D35:E35"/>
    <mergeCell ref="K35:L35"/>
    <mergeCell ref="D36:E36"/>
    <mergeCell ref="K36:L36"/>
    <mergeCell ref="A35:C35"/>
    <mergeCell ref="A36:C36"/>
    <mergeCell ref="A37:C37"/>
    <mergeCell ref="D33:E33"/>
    <mergeCell ref="K33:L33"/>
    <mergeCell ref="D34:E34"/>
    <mergeCell ref="K34:L34"/>
    <mergeCell ref="A38:C38"/>
    <mergeCell ref="A39:C39"/>
    <mergeCell ref="A40:C40"/>
    <mergeCell ref="D37:E37"/>
    <mergeCell ref="K37:L37"/>
    <mergeCell ref="D38:E38"/>
    <mergeCell ref="F38:G38"/>
    <mergeCell ref="H38:I38"/>
    <mergeCell ref="K38:L38"/>
    <mergeCell ref="D40:E40"/>
    <mergeCell ref="F40:G40"/>
    <mergeCell ref="H40:I40"/>
    <mergeCell ref="K40:L40"/>
    <mergeCell ref="M40:N40"/>
    <mergeCell ref="M38:N38"/>
    <mergeCell ref="D39:E39"/>
    <mergeCell ref="F39:G39"/>
    <mergeCell ref="H39:I39"/>
    <mergeCell ref="K39:L39"/>
    <mergeCell ref="M39:N39"/>
    <mergeCell ref="A43:C43"/>
    <mergeCell ref="A44:C44"/>
    <mergeCell ref="D42:E42"/>
    <mergeCell ref="F42:G42"/>
    <mergeCell ref="H42:I42"/>
    <mergeCell ref="K42:L42"/>
    <mergeCell ref="M42:N42"/>
    <mergeCell ref="D41:E41"/>
    <mergeCell ref="F41:G41"/>
    <mergeCell ref="H41:I41"/>
    <mergeCell ref="K41:L41"/>
    <mergeCell ref="M41:N41"/>
    <mergeCell ref="A41:C41"/>
    <mergeCell ref="A42:C42"/>
    <mergeCell ref="D44:E44"/>
    <mergeCell ref="F44:G44"/>
    <mergeCell ref="H44:I44"/>
    <mergeCell ref="D43:E43"/>
    <mergeCell ref="F43:G43"/>
    <mergeCell ref="H43:I43"/>
    <mergeCell ref="K43:L43"/>
    <mergeCell ref="M43:N43"/>
    <mergeCell ref="B57:F62"/>
    <mergeCell ref="J57:N62"/>
    <mergeCell ref="K44:L44"/>
    <mergeCell ref="M44:N44"/>
    <mergeCell ref="A45:C45"/>
    <mergeCell ref="D45:E45"/>
    <mergeCell ref="F45:G45"/>
    <mergeCell ref="H45:I45"/>
    <mergeCell ref="K45:L45"/>
    <mergeCell ref="M45:N45"/>
    <mergeCell ref="D46:E46"/>
    <mergeCell ref="F46:G46"/>
    <mergeCell ref="H46:I46"/>
    <mergeCell ref="M46:N46"/>
  </mergeCells>
  <conditionalFormatting sqref="D17:D44">
    <cfRule type="expression" dxfId="67" priority="5">
      <formula>#REF!="Non"</formula>
    </cfRule>
    <cfRule type="expression" dxfId="66" priority="6">
      <formula>#REF!="Oui"</formula>
    </cfRule>
  </conditionalFormatting>
  <conditionalFormatting sqref="D45">
    <cfRule type="expression" dxfId="65" priority="3">
      <formula>#REF!="Non"</formula>
    </cfRule>
    <cfRule type="expression" dxfId="64" priority="4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0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BD246"/>
  <sheetViews>
    <sheetView topLeftCell="A10" zoomScale="90" zoomScaleNormal="90" workbookViewId="0">
      <selection activeCell="T39" sqref="T39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2.140625" style="6" customWidth="1"/>
    <col min="4" max="4" width="8.42578125" style="6" customWidth="1"/>
    <col min="5" max="5" width="10.42578125" style="6" customWidth="1"/>
    <col min="6" max="6" width="5.42578125" style="6" customWidth="1"/>
    <col min="7" max="7" width="9.85546875" style="6" customWidth="1"/>
    <col min="8" max="8" width="5.85546875" style="6" customWidth="1"/>
    <col min="9" max="9" width="1.85546875" style="6" customWidth="1"/>
    <col min="10" max="10" width="11.85546875" style="6" customWidth="1"/>
    <col min="11" max="12" width="8.140625" style="6" customWidth="1"/>
    <col min="13" max="13" width="6.5703125" style="6" customWidth="1"/>
    <col min="14" max="14" width="9.5703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68</v>
      </c>
      <c r="E2" s="195"/>
      <c r="F2" s="195"/>
      <c r="G2" s="195"/>
      <c r="H2" s="195"/>
      <c r="I2" s="195"/>
      <c r="J2" s="195"/>
      <c r="K2" s="195"/>
      <c r="L2" s="251">
        <v>45474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6"/>
      <c r="Q3" s="4"/>
      <c r="R3" s="220"/>
      <c r="S3" s="220"/>
      <c r="T3" s="220"/>
      <c r="U3" s="36"/>
      <c r="V3" s="36"/>
      <c r="W3" s="36"/>
      <c r="X3" s="36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6"/>
      <c r="Q4" s="4"/>
      <c r="R4" s="36"/>
      <c r="S4" s="36"/>
      <c r="T4" s="36"/>
      <c r="U4" s="36"/>
      <c r="V4" s="36"/>
      <c r="W4" s="36"/>
      <c r="X4" s="36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v>45475</v>
      </c>
      <c r="M5" s="222"/>
      <c r="N5" s="222"/>
      <c r="O5" s="3"/>
      <c r="P5" s="36"/>
      <c r="Q5" s="5"/>
      <c r="R5" s="220"/>
      <c r="S5" s="220"/>
      <c r="T5" s="220"/>
      <c r="U5" s="36"/>
      <c r="V5" s="36"/>
      <c r="W5" s="36"/>
      <c r="X5" s="36"/>
      <c r="Y5" s="5"/>
    </row>
    <row r="6" spans="1:25" ht="19.5" customHeight="1" x14ac:dyDescent="0.35">
      <c r="A6" s="27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40"/>
      <c r="V6" s="40"/>
      <c r="W6" s="40"/>
      <c r="X6" s="40"/>
      <c r="Y6" s="5"/>
    </row>
    <row r="7" spans="1:25" ht="19.5" customHeight="1" thickBot="1" x14ac:dyDescent="0.4">
      <c r="A7" s="111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40"/>
      <c r="V7" s="40"/>
      <c r="W7" s="40"/>
      <c r="X7" s="40"/>
      <c r="Y7" s="5"/>
    </row>
    <row r="8" spans="1:25" ht="18" customHeight="1" thickBot="1" x14ac:dyDescent="0.3">
      <c r="A8" s="8" t="s">
        <v>2</v>
      </c>
      <c r="B8" s="24"/>
      <c r="C8" s="223"/>
      <c r="D8" s="224"/>
      <c r="E8" s="224"/>
      <c r="F8" s="225"/>
      <c r="G8" s="9"/>
      <c r="H8" s="8" t="s">
        <v>26</v>
      </c>
      <c r="I8" s="8"/>
      <c r="J8" s="8"/>
      <c r="K8" s="223"/>
      <c r="L8" s="224"/>
      <c r="M8" s="224"/>
      <c r="N8" s="225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223"/>
      <c r="D10" s="224"/>
      <c r="E10" s="224"/>
      <c r="F10" s="225"/>
      <c r="G10" s="9"/>
      <c r="H10" s="8" t="s">
        <v>25</v>
      </c>
      <c r="I10" s="8"/>
      <c r="J10" s="8"/>
      <c r="K10" s="223"/>
      <c r="L10" s="224"/>
      <c r="M10" s="224"/>
      <c r="N10" s="225"/>
      <c r="O10" s="26"/>
      <c r="P10" s="26"/>
      <c r="Q10" s="26"/>
      <c r="R10" s="26"/>
      <c r="S10" s="26"/>
      <c r="T10" s="26"/>
      <c r="U10" s="11"/>
    </row>
    <row r="11" spans="1:25" ht="13.5" customHeight="1" x14ac:dyDescent="0.3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3.5" customHeight="1" x14ac:dyDescent="0.3">
      <c r="A12" s="8"/>
      <c r="B12" s="24"/>
      <c r="C12" s="24"/>
      <c r="D12" s="24"/>
      <c r="E12" s="24"/>
      <c r="F12" s="24"/>
      <c r="G12" s="9"/>
      <c r="H12" s="8"/>
      <c r="I12" s="8"/>
      <c r="J12" s="8"/>
      <c r="K12" s="8"/>
      <c r="L12" s="8"/>
      <c r="M12" s="8"/>
      <c r="N12" s="8"/>
      <c r="O12" s="26"/>
      <c r="P12" s="26"/>
      <c r="Q12" s="26"/>
      <c r="R12" s="26"/>
      <c r="S12" s="26"/>
      <c r="T12" s="26"/>
      <c r="U12" s="11"/>
    </row>
    <row r="13" spans="1:25" s="19" customFormat="1" ht="54.75" customHeight="1" x14ac:dyDescent="0.25">
      <c r="A13" s="200" t="s">
        <v>1</v>
      </c>
      <c r="B13" s="201"/>
      <c r="C13" s="202"/>
      <c r="D13" s="203" t="s">
        <v>55</v>
      </c>
      <c r="E13" s="204"/>
      <c r="F13" s="205" t="s">
        <v>54</v>
      </c>
      <c r="G13" s="205"/>
      <c r="H13" s="203" t="s">
        <v>56</v>
      </c>
      <c r="I13" s="206"/>
      <c r="J13" s="207"/>
      <c r="K13" s="203" t="s">
        <v>57</v>
      </c>
      <c r="L13" s="208"/>
      <c r="M13" s="205" t="s">
        <v>53</v>
      </c>
      <c r="N13" s="205"/>
      <c r="O13" s="26"/>
      <c r="P13" s="26"/>
      <c r="Q13" s="26"/>
      <c r="R13" s="26"/>
      <c r="S13" s="26"/>
      <c r="T13" s="26"/>
      <c r="U13" s="20"/>
      <c r="V13" s="20"/>
      <c r="W13" s="20"/>
      <c r="X13" s="21"/>
    </row>
    <row r="14" spans="1:25" s="3" customFormat="1" ht="15.75" x14ac:dyDescent="0.25">
      <c r="A14" s="191">
        <v>45439</v>
      </c>
      <c r="B14" s="286"/>
      <c r="C14" s="287"/>
      <c r="D14" s="295"/>
      <c r="E14" s="295"/>
      <c r="F14" s="296"/>
      <c r="G14" s="296"/>
      <c r="H14" s="296"/>
      <c r="I14" s="296"/>
      <c r="J14" s="296"/>
      <c r="K14" s="296"/>
      <c r="L14" s="296"/>
      <c r="M14" s="249"/>
      <c r="N14" s="250"/>
      <c r="O14" s="26"/>
      <c r="P14" s="26"/>
      <c r="Q14" s="26"/>
      <c r="R14" s="26"/>
      <c r="S14" s="26"/>
      <c r="T14" s="26"/>
      <c r="U14" s="13"/>
      <c r="V14" s="13"/>
      <c r="W14" s="13"/>
      <c r="X14" s="1"/>
    </row>
    <row r="15" spans="1:25" s="3" customFormat="1" ht="15.75" x14ac:dyDescent="0.25">
      <c r="A15" s="191">
        <v>45440</v>
      </c>
      <c r="B15" s="286"/>
      <c r="C15" s="287"/>
      <c r="D15" s="295"/>
      <c r="E15" s="295"/>
      <c r="F15" s="296"/>
      <c r="G15" s="296"/>
      <c r="H15" s="296"/>
      <c r="I15" s="296"/>
      <c r="J15" s="296"/>
      <c r="K15" s="296"/>
      <c r="L15" s="296"/>
      <c r="M15" s="249"/>
      <c r="N15" s="250"/>
      <c r="P15" s="26"/>
      <c r="Q15" s="26"/>
      <c r="R15" s="26"/>
      <c r="S15" s="26"/>
      <c r="T15" s="26"/>
      <c r="U15" s="13"/>
      <c r="V15" s="13"/>
      <c r="W15" s="13"/>
      <c r="X15" s="1"/>
    </row>
    <row r="16" spans="1:25" s="3" customFormat="1" ht="15.75" x14ac:dyDescent="0.25">
      <c r="A16" s="191">
        <v>45441</v>
      </c>
      <c r="B16" s="286"/>
      <c r="C16" s="287"/>
      <c r="D16" s="295"/>
      <c r="E16" s="295"/>
      <c r="F16" s="296"/>
      <c r="G16" s="296"/>
      <c r="H16" s="296"/>
      <c r="I16" s="296"/>
      <c r="J16" s="296"/>
      <c r="K16" s="296"/>
      <c r="L16" s="296"/>
      <c r="M16" s="249"/>
      <c r="N16" s="250"/>
      <c r="P16" s="26"/>
      <c r="Q16" s="26"/>
      <c r="R16" s="26"/>
      <c r="S16" s="26"/>
      <c r="T16" s="26"/>
      <c r="U16" s="26"/>
      <c r="V16" s="13"/>
      <c r="W16" s="13"/>
      <c r="X16" s="1"/>
    </row>
    <row r="17" spans="1:24" s="3" customFormat="1" x14ac:dyDescent="0.25">
      <c r="A17" s="191">
        <v>45442</v>
      </c>
      <c r="B17" s="286"/>
      <c r="C17" s="287"/>
      <c r="D17" s="295"/>
      <c r="E17" s="295"/>
      <c r="F17" s="296"/>
      <c r="G17" s="296"/>
      <c r="H17" s="296"/>
      <c r="I17" s="296"/>
      <c r="J17" s="296"/>
      <c r="K17" s="296"/>
      <c r="L17" s="296"/>
      <c r="M17" s="249"/>
      <c r="N17" s="250"/>
      <c r="P17" s="12"/>
      <c r="Q17" s="12"/>
      <c r="R17" s="12"/>
      <c r="S17" s="12"/>
      <c r="T17" s="13"/>
      <c r="U17" s="13"/>
      <c r="V17" s="13"/>
      <c r="W17" s="13"/>
      <c r="X17" s="1"/>
    </row>
    <row r="18" spans="1:24" s="3" customFormat="1" x14ac:dyDescent="0.25">
      <c r="A18" s="191">
        <v>45443</v>
      </c>
      <c r="B18" s="286"/>
      <c r="C18" s="287"/>
      <c r="D18" s="295"/>
      <c r="E18" s="295"/>
      <c r="F18" s="296"/>
      <c r="G18" s="296"/>
      <c r="H18" s="249"/>
      <c r="I18" s="297"/>
      <c r="J18" s="250"/>
      <c r="K18" s="296"/>
      <c r="L18" s="296"/>
      <c r="M18" s="249"/>
      <c r="N18" s="250"/>
      <c r="P18" s="12"/>
      <c r="Q18" s="12"/>
      <c r="R18" s="12"/>
      <c r="S18" s="12"/>
      <c r="T18" s="13"/>
      <c r="U18" s="13"/>
      <c r="V18" s="13"/>
      <c r="W18" s="13"/>
      <c r="X18" s="1"/>
    </row>
    <row r="19" spans="1:24" s="3" customFormat="1" x14ac:dyDescent="0.25">
      <c r="A19" s="191">
        <v>45444</v>
      </c>
      <c r="B19" s="286"/>
      <c r="C19" s="287"/>
      <c r="D19" s="295"/>
      <c r="E19" s="295"/>
      <c r="F19" s="296"/>
      <c r="G19" s="296"/>
      <c r="H19" s="296"/>
      <c r="I19" s="296"/>
      <c r="J19" s="296"/>
      <c r="K19" s="296"/>
      <c r="L19" s="296"/>
      <c r="M19" s="249"/>
      <c r="N19" s="250"/>
      <c r="P19" s="12"/>
      <c r="Q19" s="12"/>
      <c r="R19" s="12"/>
      <c r="S19" s="12"/>
      <c r="T19" s="13"/>
      <c r="U19" s="13"/>
      <c r="V19" s="13"/>
      <c r="W19" s="13"/>
      <c r="X19" s="1"/>
    </row>
    <row r="20" spans="1:24" s="3" customFormat="1" x14ac:dyDescent="0.25">
      <c r="A20" s="191">
        <v>45445</v>
      </c>
      <c r="B20" s="286"/>
      <c r="C20" s="287"/>
      <c r="D20" s="295"/>
      <c r="E20" s="295"/>
      <c r="F20" s="296"/>
      <c r="G20" s="296"/>
      <c r="H20" s="296"/>
      <c r="I20" s="296"/>
      <c r="J20" s="296"/>
      <c r="K20" s="296"/>
      <c r="L20" s="296"/>
      <c r="M20" s="249"/>
      <c r="N20" s="250"/>
      <c r="P20" s="12"/>
      <c r="Q20" s="12"/>
      <c r="R20" s="12"/>
      <c r="S20" s="12"/>
      <c r="T20" s="13"/>
      <c r="U20" s="13"/>
      <c r="V20" s="13"/>
      <c r="W20" s="13"/>
      <c r="X20" s="1"/>
    </row>
    <row r="21" spans="1:24" s="3" customFormat="1" x14ac:dyDescent="0.25">
      <c r="A21" s="191">
        <v>45446</v>
      </c>
      <c r="B21" s="286"/>
      <c r="C21" s="287"/>
      <c r="D21" s="295"/>
      <c r="E21" s="295"/>
      <c r="F21" s="296"/>
      <c r="G21" s="296"/>
      <c r="H21" s="296"/>
      <c r="I21" s="296"/>
      <c r="J21" s="296"/>
      <c r="K21" s="296"/>
      <c r="L21" s="296"/>
      <c r="M21" s="249"/>
      <c r="N21" s="250"/>
      <c r="P21" s="12"/>
      <c r="Q21" s="12"/>
      <c r="R21" s="12"/>
      <c r="S21" s="12"/>
      <c r="T21" s="13"/>
      <c r="U21" s="13"/>
      <c r="V21" s="13"/>
      <c r="W21" s="13"/>
      <c r="X21" s="1"/>
    </row>
    <row r="22" spans="1:24" s="3" customFormat="1" x14ac:dyDescent="0.25">
      <c r="A22" s="191">
        <v>45447</v>
      </c>
      <c r="B22" s="286"/>
      <c r="C22" s="287"/>
      <c r="D22" s="295"/>
      <c r="E22" s="295"/>
      <c r="F22" s="296"/>
      <c r="G22" s="296"/>
      <c r="H22" s="296"/>
      <c r="I22" s="296"/>
      <c r="J22" s="296"/>
      <c r="K22" s="296"/>
      <c r="L22" s="296"/>
      <c r="M22" s="249"/>
      <c r="N22" s="250"/>
      <c r="P22" s="12"/>
      <c r="Q22" s="12"/>
      <c r="R22" s="12"/>
      <c r="S22" s="12"/>
      <c r="T22" s="13"/>
      <c r="U22" s="13"/>
      <c r="V22" s="13"/>
      <c r="W22" s="13"/>
      <c r="X22" s="1"/>
    </row>
    <row r="23" spans="1:24" s="3" customFormat="1" x14ac:dyDescent="0.25">
      <c r="A23" s="191">
        <v>45448</v>
      </c>
      <c r="B23" s="286"/>
      <c r="C23" s="287"/>
      <c r="D23" s="295"/>
      <c r="E23" s="295"/>
      <c r="F23" s="296"/>
      <c r="G23" s="296"/>
      <c r="H23" s="296"/>
      <c r="I23" s="296"/>
      <c r="J23" s="296"/>
      <c r="K23" s="296"/>
      <c r="L23" s="296"/>
      <c r="M23" s="249"/>
      <c r="N23" s="250"/>
      <c r="P23" s="12"/>
      <c r="Q23" s="12"/>
      <c r="R23" s="12"/>
      <c r="S23" s="12"/>
      <c r="T23" s="13"/>
      <c r="U23" s="13"/>
      <c r="V23" s="13"/>
      <c r="W23" s="13"/>
      <c r="X23" s="1"/>
    </row>
    <row r="24" spans="1:24" s="3" customFormat="1" x14ac:dyDescent="0.25">
      <c r="A24" s="191">
        <v>45449</v>
      </c>
      <c r="B24" s="286"/>
      <c r="C24" s="287"/>
      <c r="D24" s="295"/>
      <c r="E24" s="295"/>
      <c r="F24" s="296"/>
      <c r="G24" s="296"/>
      <c r="H24" s="296"/>
      <c r="I24" s="296"/>
      <c r="J24" s="296"/>
      <c r="K24" s="296"/>
      <c r="L24" s="296"/>
      <c r="M24" s="249"/>
      <c r="N24" s="250"/>
      <c r="P24" s="12"/>
      <c r="Q24" s="15"/>
      <c r="R24" s="15"/>
      <c r="S24" s="15"/>
      <c r="T24" s="13"/>
      <c r="U24" s="13"/>
      <c r="V24" s="13"/>
      <c r="W24" s="13"/>
      <c r="X24" s="1"/>
    </row>
    <row r="25" spans="1:24" s="3" customFormat="1" x14ac:dyDescent="0.25">
      <c r="A25" s="191">
        <v>45450</v>
      </c>
      <c r="B25" s="286"/>
      <c r="C25" s="287"/>
      <c r="D25" s="295"/>
      <c r="E25" s="295"/>
      <c r="F25" s="296"/>
      <c r="G25" s="296"/>
      <c r="H25" s="296"/>
      <c r="I25" s="296"/>
      <c r="J25" s="296"/>
      <c r="K25" s="296"/>
      <c r="L25" s="296"/>
      <c r="M25" s="249"/>
      <c r="N25" s="250"/>
      <c r="P25" s="12"/>
      <c r="Q25" s="15"/>
      <c r="R25" s="15"/>
      <c r="S25" s="15"/>
      <c r="T25" s="13"/>
      <c r="U25" s="13"/>
      <c r="V25" s="13"/>
      <c r="W25" s="13"/>
      <c r="X25" s="1"/>
    </row>
    <row r="26" spans="1:24" s="3" customFormat="1" x14ac:dyDescent="0.25">
      <c r="A26" s="191">
        <v>45451</v>
      </c>
      <c r="B26" s="286"/>
      <c r="C26" s="287"/>
      <c r="D26" s="295"/>
      <c r="E26" s="295"/>
      <c r="F26" s="296"/>
      <c r="G26" s="296"/>
      <c r="H26" s="296"/>
      <c r="I26" s="296"/>
      <c r="J26" s="296"/>
      <c r="K26" s="296"/>
      <c r="L26" s="296"/>
      <c r="M26" s="249"/>
      <c r="N26" s="250"/>
      <c r="P26" s="12"/>
      <c r="Q26" s="15"/>
      <c r="R26" s="15"/>
      <c r="S26" s="15"/>
      <c r="T26" s="13"/>
      <c r="U26" s="13"/>
      <c r="V26" s="13"/>
      <c r="W26" s="13"/>
      <c r="X26" s="1"/>
    </row>
    <row r="27" spans="1:24" s="3" customFormat="1" x14ac:dyDescent="0.25">
      <c r="A27" s="191">
        <v>45452</v>
      </c>
      <c r="B27" s="286"/>
      <c r="C27" s="287"/>
      <c r="D27" s="295"/>
      <c r="E27" s="295"/>
      <c r="F27" s="296"/>
      <c r="G27" s="296"/>
      <c r="H27" s="296"/>
      <c r="I27" s="296"/>
      <c r="J27" s="296"/>
      <c r="K27" s="296"/>
      <c r="L27" s="296"/>
      <c r="M27" s="249"/>
      <c r="N27" s="250"/>
      <c r="O27" s="1"/>
      <c r="P27" s="12"/>
      <c r="Q27" s="15"/>
      <c r="R27" s="15"/>
      <c r="S27" s="15"/>
      <c r="T27" s="13"/>
      <c r="U27" s="13"/>
      <c r="V27" s="13"/>
      <c r="W27" s="13"/>
      <c r="X27" s="1"/>
    </row>
    <row r="28" spans="1:24" s="3" customFormat="1" x14ac:dyDescent="0.25">
      <c r="A28" s="191">
        <v>45453</v>
      </c>
      <c r="B28" s="286"/>
      <c r="C28" s="287"/>
      <c r="D28" s="295"/>
      <c r="E28" s="295"/>
      <c r="F28" s="296"/>
      <c r="G28" s="296"/>
      <c r="H28" s="296"/>
      <c r="I28" s="296"/>
      <c r="J28" s="296"/>
      <c r="K28" s="296"/>
      <c r="L28" s="296"/>
      <c r="M28" s="249"/>
      <c r="N28" s="250"/>
      <c r="P28" s="12"/>
      <c r="Q28" s="15"/>
      <c r="R28" s="15"/>
      <c r="S28" s="15"/>
      <c r="T28" s="13"/>
      <c r="U28" s="13"/>
      <c r="V28" s="13"/>
      <c r="W28" s="13"/>
      <c r="X28" s="1"/>
    </row>
    <row r="29" spans="1:24" s="3" customFormat="1" x14ac:dyDescent="0.25">
      <c r="A29" s="191">
        <v>45454</v>
      </c>
      <c r="B29" s="286"/>
      <c r="C29" s="287"/>
      <c r="D29" s="295"/>
      <c r="E29" s="295"/>
      <c r="F29" s="296"/>
      <c r="G29" s="296"/>
      <c r="H29" s="296"/>
      <c r="I29" s="296"/>
      <c r="J29" s="296"/>
      <c r="K29" s="296"/>
      <c r="L29" s="296"/>
      <c r="M29" s="249"/>
      <c r="N29" s="250"/>
      <c r="P29" s="12"/>
      <c r="Q29" s="15"/>
      <c r="R29" s="15"/>
      <c r="S29" s="15"/>
      <c r="T29" s="13"/>
      <c r="U29" s="13"/>
      <c r="V29" s="13"/>
      <c r="W29" s="13"/>
      <c r="X29" s="1"/>
    </row>
    <row r="30" spans="1:24" s="3" customFormat="1" x14ac:dyDescent="0.25">
      <c r="A30" s="191">
        <v>45455</v>
      </c>
      <c r="B30" s="286"/>
      <c r="C30" s="287"/>
      <c r="D30" s="295"/>
      <c r="E30" s="295"/>
      <c r="F30" s="296"/>
      <c r="G30" s="296"/>
      <c r="H30" s="296"/>
      <c r="I30" s="296"/>
      <c r="J30" s="296"/>
      <c r="K30" s="296"/>
      <c r="L30" s="296"/>
      <c r="M30" s="249"/>
      <c r="N30" s="250"/>
      <c r="P30" s="12"/>
      <c r="Q30" s="15"/>
      <c r="R30" s="15"/>
      <c r="S30" s="15"/>
      <c r="T30" s="13"/>
      <c r="U30" s="13"/>
      <c r="V30" s="13"/>
      <c r="W30" s="13"/>
      <c r="X30" s="1"/>
    </row>
    <row r="31" spans="1:24" s="3" customFormat="1" x14ac:dyDescent="0.25">
      <c r="A31" s="191">
        <v>45456</v>
      </c>
      <c r="B31" s="286"/>
      <c r="C31" s="287"/>
      <c r="D31" s="295"/>
      <c r="E31" s="295"/>
      <c r="F31" s="296"/>
      <c r="G31" s="296"/>
      <c r="H31" s="296"/>
      <c r="I31" s="296"/>
      <c r="J31" s="296"/>
      <c r="K31" s="296"/>
      <c r="L31" s="296"/>
      <c r="M31" s="249"/>
      <c r="N31" s="250"/>
      <c r="P31" s="12"/>
      <c r="Q31" s="15"/>
      <c r="R31" s="15"/>
      <c r="S31" s="15"/>
      <c r="T31" s="13"/>
      <c r="U31" s="13"/>
      <c r="V31" s="13"/>
      <c r="W31" s="13"/>
      <c r="X31" s="1"/>
    </row>
    <row r="32" spans="1:24" s="3" customFormat="1" x14ac:dyDescent="0.25">
      <c r="A32" s="191">
        <v>45457</v>
      </c>
      <c r="B32" s="286"/>
      <c r="C32" s="287"/>
      <c r="D32" s="295"/>
      <c r="E32" s="295"/>
      <c r="F32" s="296"/>
      <c r="G32" s="296"/>
      <c r="H32" s="296"/>
      <c r="I32" s="296"/>
      <c r="J32" s="296"/>
      <c r="K32" s="296"/>
      <c r="L32" s="296"/>
      <c r="M32" s="249"/>
      <c r="N32" s="250"/>
      <c r="P32" s="12"/>
      <c r="Q32" s="15"/>
      <c r="R32" s="15"/>
      <c r="S32" s="15"/>
      <c r="T32" s="13"/>
      <c r="U32" s="13"/>
      <c r="V32" s="13"/>
      <c r="W32" s="13"/>
      <c r="X32" s="1"/>
    </row>
    <row r="33" spans="1:24" s="3" customFormat="1" x14ac:dyDescent="0.25">
      <c r="A33" s="191">
        <v>45458</v>
      </c>
      <c r="B33" s="286"/>
      <c r="C33" s="287"/>
      <c r="D33" s="295"/>
      <c r="E33" s="295"/>
      <c r="F33" s="296"/>
      <c r="G33" s="296"/>
      <c r="H33" s="296"/>
      <c r="I33" s="296"/>
      <c r="J33" s="296"/>
      <c r="K33" s="296"/>
      <c r="L33" s="296"/>
      <c r="M33" s="249"/>
      <c r="N33" s="250"/>
      <c r="P33" s="12"/>
      <c r="Q33" s="15"/>
      <c r="R33" s="15"/>
      <c r="S33" s="15"/>
      <c r="T33" s="13"/>
      <c r="U33" s="13"/>
      <c r="V33" s="13"/>
      <c r="W33" s="13"/>
      <c r="X33" s="1"/>
    </row>
    <row r="34" spans="1:24" s="3" customFormat="1" x14ac:dyDescent="0.25">
      <c r="A34" s="191">
        <v>45459</v>
      </c>
      <c r="B34" s="286"/>
      <c r="C34" s="287"/>
      <c r="D34" s="295"/>
      <c r="E34" s="295"/>
      <c r="F34" s="296"/>
      <c r="G34" s="296"/>
      <c r="H34" s="296"/>
      <c r="I34" s="296"/>
      <c r="J34" s="296"/>
      <c r="K34" s="296"/>
      <c r="L34" s="296"/>
      <c r="M34" s="249"/>
      <c r="N34" s="250"/>
      <c r="P34" s="12"/>
      <c r="Q34" s="15"/>
      <c r="R34" s="15"/>
      <c r="S34" s="15"/>
      <c r="T34" s="13"/>
      <c r="U34" s="13"/>
      <c r="V34" s="13"/>
      <c r="W34" s="13"/>
      <c r="X34" s="1"/>
    </row>
    <row r="35" spans="1:24" s="3" customFormat="1" x14ac:dyDescent="0.25">
      <c r="A35" s="191">
        <v>45460</v>
      </c>
      <c r="B35" s="286"/>
      <c r="C35" s="287"/>
      <c r="D35" s="295"/>
      <c r="E35" s="295"/>
      <c r="F35" s="296"/>
      <c r="G35" s="296"/>
      <c r="H35" s="296"/>
      <c r="I35" s="296"/>
      <c r="J35" s="296"/>
      <c r="K35" s="296"/>
      <c r="L35" s="296"/>
      <c r="M35" s="249"/>
      <c r="N35" s="250"/>
      <c r="P35" s="12"/>
      <c r="Q35" s="15"/>
      <c r="R35" s="15"/>
      <c r="S35" s="15"/>
      <c r="T35" s="13"/>
      <c r="U35" s="13"/>
      <c r="V35" s="13"/>
      <c r="W35" s="13"/>
      <c r="X35" s="1"/>
    </row>
    <row r="36" spans="1:24" s="3" customFormat="1" x14ac:dyDescent="0.25">
      <c r="A36" s="191">
        <v>45461</v>
      </c>
      <c r="B36" s="286"/>
      <c r="C36" s="287"/>
      <c r="D36" s="295"/>
      <c r="E36" s="295"/>
      <c r="F36" s="296"/>
      <c r="G36" s="296"/>
      <c r="H36" s="296"/>
      <c r="I36" s="296"/>
      <c r="J36" s="296"/>
      <c r="K36" s="296"/>
      <c r="L36" s="296"/>
      <c r="M36" s="249"/>
      <c r="N36" s="250"/>
      <c r="P36" s="12"/>
      <c r="Q36" s="15"/>
      <c r="R36" s="15"/>
      <c r="S36" s="15"/>
      <c r="T36" s="13"/>
      <c r="U36" s="13"/>
      <c r="V36" s="13"/>
      <c r="W36" s="13"/>
      <c r="X36" s="1"/>
    </row>
    <row r="37" spans="1:24" s="3" customFormat="1" x14ac:dyDescent="0.25">
      <c r="A37" s="191">
        <v>45462</v>
      </c>
      <c r="B37" s="286"/>
      <c r="C37" s="287"/>
      <c r="D37" s="295"/>
      <c r="E37" s="295"/>
      <c r="F37" s="296"/>
      <c r="G37" s="296"/>
      <c r="H37" s="296"/>
      <c r="I37" s="296"/>
      <c r="J37" s="296"/>
      <c r="K37" s="296"/>
      <c r="L37" s="296"/>
      <c r="M37" s="249"/>
      <c r="N37" s="250"/>
      <c r="P37" s="12"/>
      <c r="Q37" s="15"/>
      <c r="R37" s="15"/>
      <c r="S37" s="15"/>
      <c r="T37" s="13"/>
      <c r="U37" s="13"/>
      <c r="V37" s="13"/>
      <c r="W37" s="13"/>
      <c r="X37" s="1"/>
    </row>
    <row r="38" spans="1:24" s="3" customFormat="1" x14ac:dyDescent="0.25">
      <c r="A38" s="191">
        <v>45463</v>
      </c>
      <c r="B38" s="286"/>
      <c r="C38" s="287"/>
      <c r="D38" s="295"/>
      <c r="E38" s="295"/>
      <c r="F38" s="296"/>
      <c r="G38" s="296"/>
      <c r="H38" s="296"/>
      <c r="I38" s="296"/>
      <c r="J38" s="296"/>
      <c r="K38" s="296"/>
      <c r="L38" s="296"/>
      <c r="M38" s="249"/>
      <c r="N38" s="250"/>
      <c r="P38" s="12"/>
      <c r="Q38" s="15"/>
      <c r="R38" s="15"/>
      <c r="S38" s="15"/>
      <c r="T38" s="13"/>
      <c r="U38" s="13"/>
      <c r="V38" s="13"/>
      <c r="W38" s="13"/>
      <c r="X38" s="1"/>
    </row>
    <row r="39" spans="1:24" s="3" customFormat="1" x14ac:dyDescent="0.25">
      <c r="A39" s="191">
        <v>45464</v>
      </c>
      <c r="B39" s="286"/>
      <c r="C39" s="287"/>
      <c r="D39" s="295"/>
      <c r="E39" s="295"/>
      <c r="F39" s="296"/>
      <c r="G39" s="296"/>
      <c r="H39" s="296"/>
      <c r="I39" s="296"/>
      <c r="J39" s="296"/>
      <c r="K39" s="296"/>
      <c r="L39" s="296"/>
      <c r="M39" s="249"/>
      <c r="N39" s="250"/>
      <c r="P39" s="12"/>
      <c r="Q39" s="15"/>
      <c r="R39" s="15"/>
      <c r="S39" s="15"/>
      <c r="T39" s="13"/>
      <c r="U39" s="13"/>
      <c r="V39" s="13"/>
      <c r="W39" s="13"/>
      <c r="X39" s="1"/>
    </row>
    <row r="40" spans="1:24" s="3" customFormat="1" x14ac:dyDescent="0.25">
      <c r="A40" s="191">
        <v>45465</v>
      </c>
      <c r="B40" s="286"/>
      <c r="C40" s="287"/>
      <c r="D40" s="295"/>
      <c r="E40" s="295"/>
      <c r="F40" s="296"/>
      <c r="G40" s="296"/>
      <c r="H40" s="296"/>
      <c r="I40" s="296"/>
      <c r="J40" s="296"/>
      <c r="K40" s="296"/>
      <c r="L40" s="296"/>
      <c r="M40" s="249"/>
      <c r="N40" s="250"/>
      <c r="P40" s="12"/>
      <c r="Q40" s="15"/>
      <c r="R40" s="15"/>
      <c r="S40" s="15"/>
      <c r="T40" s="13"/>
      <c r="U40" s="13"/>
      <c r="V40" s="13"/>
      <c r="W40" s="13"/>
      <c r="X40" s="1"/>
    </row>
    <row r="41" spans="1:24" s="3" customFormat="1" x14ac:dyDescent="0.25">
      <c r="A41" s="191">
        <v>45466</v>
      </c>
      <c r="B41" s="286"/>
      <c r="C41" s="287"/>
      <c r="D41" s="295"/>
      <c r="E41" s="295"/>
      <c r="F41" s="296"/>
      <c r="G41" s="296"/>
      <c r="H41" s="296"/>
      <c r="I41" s="296"/>
      <c r="J41" s="296"/>
      <c r="K41" s="296"/>
      <c r="L41" s="296"/>
      <c r="M41" s="249"/>
      <c r="N41" s="250"/>
      <c r="P41" s="12"/>
      <c r="Q41" s="15"/>
      <c r="R41" s="15"/>
      <c r="S41" s="15"/>
      <c r="T41" s="13"/>
      <c r="U41" s="13"/>
      <c r="V41" s="13"/>
      <c r="W41" s="13"/>
      <c r="X41" s="1"/>
    </row>
    <row r="42" spans="1:24" s="3" customFormat="1" x14ac:dyDescent="0.25">
      <c r="A42" s="191">
        <v>45467</v>
      </c>
      <c r="B42" s="286"/>
      <c r="C42" s="287"/>
      <c r="D42" s="295"/>
      <c r="E42" s="295"/>
      <c r="F42" s="150"/>
      <c r="G42" s="151"/>
      <c r="H42" s="168"/>
      <c r="I42" s="169"/>
      <c r="J42" s="151"/>
      <c r="K42" s="169"/>
      <c r="L42" s="151"/>
      <c r="M42" s="169"/>
      <c r="N42" s="170"/>
      <c r="P42" s="12"/>
      <c r="Q42" s="15"/>
      <c r="R42" s="15"/>
      <c r="S42" s="15"/>
      <c r="T42" s="13"/>
      <c r="U42" s="13"/>
      <c r="V42" s="13"/>
      <c r="W42" s="13"/>
      <c r="X42" s="1"/>
    </row>
    <row r="43" spans="1:24" s="3" customFormat="1" x14ac:dyDescent="0.25">
      <c r="A43" s="191">
        <v>45468</v>
      </c>
      <c r="B43" s="286"/>
      <c r="C43" s="287"/>
      <c r="D43" s="295"/>
      <c r="E43" s="295"/>
      <c r="F43" s="150"/>
      <c r="G43" s="151"/>
      <c r="H43" s="168"/>
      <c r="I43" s="169"/>
      <c r="J43" s="151"/>
      <c r="K43" s="169"/>
      <c r="L43" s="151"/>
      <c r="M43" s="169"/>
      <c r="N43" s="170"/>
      <c r="P43" s="12"/>
      <c r="Q43" s="15"/>
      <c r="R43" s="15"/>
      <c r="S43" s="15"/>
      <c r="T43" s="13"/>
      <c r="U43" s="13"/>
      <c r="V43" s="13"/>
      <c r="W43" s="13"/>
      <c r="X43" s="1"/>
    </row>
    <row r="44" spans="1:24" s="3" customFormat="1" x14ac:dyDescent="0.25">
      <c r="A44" s="191">
        <v>45469</v>
      </c>
      <c r="B44" s="286"/>
      <c r="C44" s="287"/>
      <c r="D44" s="295"/>
      <c r="E44" s="295"/>
      <c r="F44" s="150"/>
      <c r="G44" s="151"/>
      <c r="H44" s="168"/>
      <c r="I44" s="169"/>
      <c r="J44" s="151"/>
      <c r="K44" s="169"/>
      <c r="L44" s="151"/>
      <c r="M44" s="169"/>
      <c r="N44" s="170"/>
      <c r="P44" s="12"/>
      <c r="Q44" s="15"/>
      <c r="R44" s="15"/>
      <c r="S44" s="15"/>
      <c r="T44" s="13"/>
      <c r="U44" s="13"/>
      <c r="V44" s="13"/>
      <c r="W44" s="13"/>
      <c r="X44" s="1"/>
    </row>
    <row r="45" spans="1:24" s="3" customFormat="1" x14ac:dyDescent="0.25">
      <c r="A45" s="191">
        <v>45470</v>
      </c>
      <c r="B45" s="286"/>
      <c r="C45" s="287"/>
      <c r="D45" s="295"/>
      <c r="E45" s="295"/>
      <c r="F45" s="150"/>
      <c r="G45" s="151"/>
      <c r="H45" s="168"/>
      <c r="I45" s="169"/>
      <c r="J45" s="151"/>
      <c r="K45" s="169"/>
      <c r="L45" s="151"/>
      <c r="M45" s="169"/>
      <c r="N45" s="170"/>
      <c r="P45" s="12"/>
      <c r="Q45" s="15"/>
      <c r="R45" s="15"/>
      <c r="S45" s="15"/>
      <c r="T45" s="13"/>
      <c r="U45" s="13"/>
      <c r="V45" s="13"/>
      <c r="W45" s="13"/>
      <c r="X45" s="1"/>
    </row>
    <row r="46" spans="1:24" s="3" customFormat="1" x14ac:dyDescent="0.25">
      <c r="A46" s="191">
        <v>45471</v>
      </c>
      <c r="B46" s="286"/>
      <c r="C46" s="287"/>
      <c r="D46" s="295"/>
      <c r="E46" s="295"/>
      <c r="F46" s="150"/>
      <c r="G46" s="151"/>
      <c r="H46" s="168"/>
      <c r="I46" s="169"/>
      <c r="J46" s="151"/>
      <c r="K46" s="169"/>
      <c r="L46" s="151"/>
      <c r="M46" s="169"/>
      <c r="N46" s="170"/>
      <c r="P46" s="12"/>
      <c r="Q46" s="15"/>
      <c r="R46" s="15"/>
      <c r="S46" s="15"/>
      <c r="T46" s="13"/>
      <c r="U46" s="13"/>
      <c r="V46" s="13"/>
      <c r="W46" s="13"/>
      <c r="X46" s="1"/>
    </row>
    <row r="47" spans="1:24" s="3" customFormat="1" x14ac:dyDescent="0.25">
      <c r="A47" s="191">
        <v>45472</v>
      </c>
      <c r="B47" s="286"/>
      <c r="C47" s="287"/>
      <c r="D47" s="295"/>
      <c r="E47" s="295"/>
      <c r="F47" s="150"/>
      <c r="G47" s="151"/>
      <c r="H47" s="168"/>
      <c r="I47" s="169"/>
      <c r="J47" s="151"/>
      <c r="K47" s="169"/>
      <c r="L47" s="151"/>
      <c r="M47" s="169"/>
      <c r="N47" s="170"/>
      <c r="P47" s="12"/>
      <c r="Q47" s="15"/>
      <c r="R47" s="15"/>
      <c r="S47" s="15"/>
      <c r="T47" s="13"/>
      <c r="U47" s="13"/>
      <c r="V47" s="13"/>
      <c r="W47" s="13"/>
      <c r="X47" s="1"/>
    </row>
    <row r="48" spans="1:24" s="3" customFormat="1" x14ac:dyDescent="0.25">
      <c r="A48" s="191">
        <v>45473</v>
      </c>
      <c r="B48" s="286"/>
      <c r="C48" s="287"/>
      <c r="D48" s="295"/>
      <c r="E48" s="295"/>
      <c r="F48" s="150"/>
      <c r="G48" s="151"/>
      <c r="H48" s="168"/>
      <c r="I48" s="169"/>
      <c r="J48" s="151"/>
      <c r="K48" s="169"/>
      <c r="L48" s="151"/>
      <c r="M48" s="169"/>
      <c r="N48" s="170"/>
      <c r="P48" s="12"/>
      <c r="Q48" s="15"/>
      <c r="R48" s="15"/>
      <c r="S48" s="15"/>
      <c r="T48" s="13"/>
      <c r="U48" s="13"/>
      <c r="V48" s="13"/>
      <c r="W48" s="13"/>
      <c r="X48" s="1"/>
    </row>
    <row r="49" spans="1:25" s="3" customFormat="1" ht="15.75" x14ac:dyDescent="0.25">
      <c r="A49" s="231" t="s">
        <v>21</v>
      </c>
      <c r="B49" s="232"/>
      <c r="C49" s="233"/>
      <c r="D49" s="234">
        <f>+COUNTA(D14:E48)</f>
        <v>0</v>
      </c>
      <c r="E49" s="235"/>
      <c r="F49" s="236">
        <f>+COUNTA(F14:G48)</f>
        <v>0</v>
      </c>
      <c r="G49" s="237"/>
      <c r="H49" s="127"/>
      <c r="I49" s="128"/>
      <c r="J49" s="129"/>
      <c r="K49" s="128"/>
      <c r="L49" s="129"/>
      <c r="M49" s="128"/>
      <c r="N49" s="130"/>
      <c r="O49" s="12"/>
      <c r="P49" s="12"/>
      <c r="Q49" s="12"/>
      <c r="R49" s="12"/>
      <c r="S49" s="12"/>
      <c r="T49" s="13"/>
      <c r="U49" s="13"/>
      <c r="V49" s="13"/>
      <c r="W49" s="13"/>
      <c r="X49" s="1"/>
    </row>
    <row r="50" spans="1:25" s="3" customFormat="1" x14ac:dyDescent="0.25">
      <c r="A50" s="12"/>
      <c r="B50" s="12"/>
      <c r="C50" s="12"/>
      <c r="D50" s="238" t="s">
        <v>38</v>
      </c>
      <c r="E50" s="239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3"/>
      <c r="U50" s="13"/>
      <c r="V50" s="13"/>
      <c r="W50" s="13"/>
      <c r="X50" s="1"/>
    </row>
    <row r="51" spans="1:25" s="3" customFormat="1" x14ac:dyDescent="0.25">
      <c r="K51" s="12"/>
      <c r="L51" s="12"/>
      <c r="M51" s="12"/>
      <c r="N51" s="12"/>
      <c r="O51" s="12"/>
      <c r="P51" s="12"/>
      <c r="U51" s="1"/>
      <c r="V51" s="1"/>
      <c r="W51" s="1"/>
      <c r="X51" s="1"/>
      <c r="Y51" s="1"/>
    </row>
    <row r="52" spans="1:25" s="3" customFormat="1" x14ac:dyDescent="0.25">
      <c r="A52" s="29" t="s">
        <v>20</v>
      </c>
      <c r="B52" s="30"/>
      <c r="C52" s="29"/>
      <c r="D52" s="29"/>
      <c r="E52" s="16"/>
      <c r="H52" s="18"/>
      <c r="P52" s="12"/>
      <c r="U52" s="1"/>
      <c r="V52" s="1"/>
      <c r="W52" s="1"/>
      <c r="X52" s="1"/>
      <c r="Y52" s="1"/>
    </row>
    <row r="53" spans="1:25" s="3" customFormat="1" x14ac:dyDescent="0.25">
      <c r="A53" s="29" t="s">
        <v>7</v>
      </c>
      <c r="B53" s="30"/>
      <c r="C53" s="31">
        <f ca="1">TODAY()</f>
        <v>45320</v>
      </c>
      <c r="D53" s="29"/>
      <c r="E53" s="16"/>
      <c r="J53" s="28" t="s">
        <v>22</v>
      </c>
      <c r="P53" s="12"/>
      <c r="U53" s="1"/>
      <c r="V53" s="1"/>
      <c r="W53" s="1"/>
      <c r="X53" s="1"/>
      <c r="Y53" s="1"/>
    </row>
    <row r="54" spans="1:25" s="3" customFormat="1" x14ac:dyDescent="0.25">
      <c r="A54" s="28"/>
      <c r="B54" s="240" t="s">
        <v>47</v>
      </c>
      <c r="C54" s="240"/>
      <c r="D54" s="240"/>
      <c r="E54" s="240"/>
      <c r="F54" s="240"/>
      <c r="J54" s="240" t="s">
        <v>48</v>
      </c>
      <c r="K54" s="240"/>
      <c r="L54" s="240"/>
      <c r="M54" s="240"/>
      <c r="N54" s="240"/>
      <c r="U54" s="1"/>
      <c r="V54" s="1"/>
      <c r="W54" s="1"/>
      <c r="X54" s="1"/>
      <c r="Y54" s="1"/>
    </row>
    <row r="55" spans="1:25" s="3" customFormat="1" x14ac:dyDescent="0.25">
      <c r="B55" s="240"/>
      <c r="C55" s="240"/>
      <c r="D55" s="240"/>
      <c r="E55" s="240"/>
      <c r="F55" s="240"/>
      <c r="J55" s="240"/>
      <c r="K55" s="240"/>
      <c r="L55" s="240"/>
      <c r="M55" s="240"/>
      <c r="N55" s="240"/>
      <c r="U55" s="1"/>
      <c r="V55" s="1"/>
      <c r="W55" s="1"/>
      <c r="X55" s="1"/>
      <c r="Y55" s="1"/>
    </row>
    <row r="56" spans="1:25" s="3" customFormat="1" x14ac:dyDescent="0.25">
      <c r="B56" s="240"/>
      <c r="C56" s="240"/>
      <c r="D56" s="240"/>
      <c r="E56" s="240"/>
      <c r="F56" s="240"/>
      <c r="J56" s="240"/>
      <c r="K56" s="240"/>
      <c r="L56" s="240"/>
      <c r="M56" s="240"/>
      <c r="N56" s="240"/>
      <c r="U56" s="1"/>
      <c r="V56" s="1"/>
      <c r="W56" s="1"/>
      <c r="X56" s="1"/>
      <c r="Y56" s="1"/>
    </row>
    <row r="57" spans="1:25" s="3" customFormat="1" x14ac:dyDescent="0.25">
      <c r="B57" s="240"/>
      <c r="C57" s="240"/>
      <c r="D57" s="240"/>
      <c r="E57" s="240"/>
      <c r="F57" s="240"/>
      <c r="J57" s="240"/>
      <c r="K57" s="240"/>
      <c r="L57" s="240"/>
      <c r="M57" s="240"/>
      <c r="N57" s="240"/>
      <c r="U57" s="1"/>
      <c r="V57" s="1"/>
      <c r="W57" s="1"/>
      <c r="X57" s="1"/>
      <c r="Y57" s="1"/>
    </row>
    <row r="58" spans="1:25" s="3" customFormat="1" x14ac:dyDescent="0.25">
      <c r="B58" s="240"/>
      <c r="C58" s="240"/>
      <c r="D58" s="240"/>
      <c r="E58" s="240"/>
      <c r="F58" s="240"/>
      <c r="J58" s="240"/>
      <c r="K58" s="240"/>
      <c r="L58" s="240"/>
      <c r="M58" s="240"/>
      <c r="N58" s="240"/>
      <c r="U58" s="1"/>
      <c r="V58" s="1"/>
      <c r="W58" s="1"/>
      <c r="X58" s="1"/>
      <c r="Y58" s="1"/>
    </row>
    <row r="59" spans="1:25" s="3" customFormat="1" x14ac:dyDescent="0.25">
      <c r="B59" s="240"/>
      <c r="C59" s="240"/>
      <c r="D59" s="240"/>
      <c r="E59" s="240"/>
      <c r="F59" s="240"/>
      <c r="J59" s="240"/>
      <c r="K59" s="240"/>
      <c r="L59" s="240"/>
      <c r="M59" s="240"/>
      <c r="N59" s="240"/>
      <c r="U59" s="1"/>
      <c r="V59" s="1"/>
      <c r="W59" s="1"/>
      <c r="X59" s="1"/>
      <c r="Y59" s="1"/>
    </row>
    <row r="60" spans="1:25" s="3" customFormat="1" x14ac:dyDescent="0.25">
      <c r="A60" s="3" t="s">
        <v>46</v>
      </c>
      <c r="B60" s="23"/>
      <c r="J60" s="3" t="s">
        <v>39</v>
      </c>
      <c r="U60" s="1"/>
      <c r="V60" s="1"/>
      <c r="W60" s="1"/>
      <c r="X60" s="1"/>
      <c r="Y60" s="1"/>
    </row>
    <row r="61" spans="1:25" s="3" customFormat="1" x14ac:dyDescent="0.25">
      <c r="B61" s="23"/>
      <c r="U61" s="1"/>
      <c r="V61" s="1"/>
      <c r="W61" s="1"/>
      <c r="X61" s="1"/>
      <c r="Y61" s="1"/>
    </row>
    <row r="62" spans="1:25" s="3" customFormat="1" x14ac:dyDescent="0.25">
      <c r="B62" s="23"/>
      <c r="U62" s="1"/>
      <c r="V62" s="1"/>
      <c r="W62" s="1"/>
      <c r="X62" s="1"/>
      <c r="Y62" s="1"/>
    </row>
    <row r="63" spans="1:25" s="3" customFormat="1" x14ac:dyDescent="0.25">
      <c r="A63" s="29"/>
      <c r="B63" s="23"/>
      <c r="D63" s="29"/>
      <c r="U63" s="1"/>
      <c r="V63" s="1"/>
      <c r="W63" s="1"/>
      <c r="X63" s="1"/>
      <c r="Y63" s="1"/>
    </row>
    <row r="64" spans="1:25" s="3" customFormat="1" x14ac:dyDescent="0.25">
      <c r="U64" s="1"/>
      <c r="V64" s="1"/>
      <c r="W64" s="1"/>
      <c r="X64" s="1"/>
      <c r="Y64" s="1"/>
    </row>
    <row r="65" spans="2:25" s="3" customFormat="1" x14ac:dyDescent="0.25">
      <c r="B65" s="23"/>
      <c r="U65" s="1"/>
      <c r="V65" s="1"/>
      <c r="W65" s="1"/>
      <c r="X65" s="1"/>
      <c r="Y65" s="1"/>
    </row>
    <row r="66" spans="2:25" s="3" customFormat="1" x14ac:dyDescent="0.25">
      <c r="B66" s="23"/>
      <c r="U66" s="1"/>
      <c r="V66" s="1"/>
      <c r="W66" s="1"/>
      <c r="X66" s="1"/>
      <c r="Y66" s="1"/>
    </row>
    <row r="67" spans="2:25" s="3" customFormat="1" x14ac:dyDescent="0.25">
      <c r="B67" s="23"/>
      <c r="U67" s="1"/>
      <c r="V67" s="1"/>
      <c r="W67" s="1"/>
      <c r="X67" s="1"/>
      <c r="Y67" s="1"/>
    </row>
    <row r="68" spans="2:25" s="3" customFormat="1" x14ac:dyDescent="0.25">
      <c r="B68" s="23"/>
      <c r="U68" s="1"/>
      <c r="V68" s="1"/>
      <c r="W68" s="1"/>
      <c r="X68" s="1"/>
      <c r="Y68" s="1"/>
    </row>
    <row r="69" spans="2:25" s="3" customFormat="1" x14ac:dyDescent="0.25">
      <c r="B69" s="23"/>
      <c r="U69" s="1"/>
      <c r="V69" s="1"/>
      <c r="W69" s="1"/>
      <c r="X69" s="1"/>
      <c r="Y69" s="1"/>
    </row>
    <row r="70" spans="2:25" s="3" customFormat="1" x14ac:dyDescent="0.25">
      <c r="B70" s="23"/>
      <c r="U70" s="1"/>
      <c r="V70" s="1"/>
      <c r="W70" s="1"/>
      <c r="X70" s="1"/>
      <c r="Y70" s="1"/>
    </row>
    <row r="71" spans="2:25" s="3" customFormat="1" x14ac:dyDescent="0.25">
      <c r="B71" s="23"/>
      <c r="U71" s="1"/>
      <c r="V71" s="1"/>
      <c r="W71" s="1"/>
      <c r="X71" s="1"/>
      <c r="Y71" s="1"/>
    </row>
    <row r="72" spans="2:25" s="3" customFormat="1" x14ac:dyDescent="0.25">
      <c r="B72" s="23"/>
      <c r="U72" s="1"/>
      <c r="V72" s="1"/>
      <c r="W72" s="1"/>
      <c r="X72" s="1"/>
      <c r="Y72" s="1"/>
    </row>
    <row r="73" spans="2:25" s="3" customFormat="1" x14ac:dyDescent="0.25">
      <c r="B73" s="23"/>
      <c r="U73" s="1"/>
      <c r="V73" s="1"/>
      <c r="W73" s="1"/>
      <c r="X73" s="1"/>
      <c r="Y73" s="1"/>
    </row>
    <row r="74" spans="2:25" s="3" customFormat="1" x14ac:dyDescent="0.25">
      <c r="B74" s="23"/>
      <c r="U74" s="1"/>
      <c r="V74" s="1"/>
      <c r="W74" s="1"/>
      <c r="X74" s="1"/>
      <c r="Y74" s="1"/>
    </row>
    <row r="75" spans="2:25" s="3" customFormat="1" x14ac:dyDescent="0.25">
      <c r="B75" s="23"/>
      <c r="U75" s="1"/>
      <c r="V75" s="1"/>
      <c r="W75" s="1"/>
      <c r="X75" s="1"/>
      <c r="Y75" s="1"/>
    </row>
    <row r="76" spans="2:25" s="3" customFormat="1" x14ac:dyDescent="0.25">
      <c r="B76" s="23"/>
      <c r="U76" s="1"/>
      <c r="V76" s="1"/>
      <c r="W76" s="1"/>
      <c r="X76" s="1"/>
      <c r="Y76" s="1"/>
    </row>
    <row r="77" spans="2:25" s="3" customFormat="1" x14ac:dyDescent="0.25">
      <c r="B77" s="23"/>
      <c r="U77" s="1"/>
      <c r="V77" s="1"/>
      <c r="W77" s="1"/>
      <c r="X77" s="1"/>
      <c r="Y77" s="1"/>
    </row>
    <row r="78" spans="2:25" s="3" customFormat="1" x14ac:dyDescent="0.25">
      <c r="B78" s="23"/>
      <c r="U78" s="1"/>
      <c r="V78" s="1"/>
      <c r="W78" s="1"/>
      <c r="X78" s="1"/>
      <c r="Y78" s="1"/>
    </row>
    <row r="79" spans="2:25" s="3" customFormat="1" x14ac:dyDescent="0.25">
      <c r="B79" s="23"/>
      <c r="U79" s="1"/>
      <c r="V79" s="1"/>
      <c r="W79" s="1"/>
      <c r="X79" s="1"/>
      <c r="Y79" s="1"/>
    </row>
    <row r="80" spans="2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2:25" s="3" customFormat="1" x14ac:dyDescent="0.25">
      <c r="B225" s="23"/>
      <c r="U225" s="1"/>
      <c r="V225" s="1"/>
      <c r="W225" s="1"/>
      <c r="X225" s="1"/>
      <c r="Y225" s="1"/>
    </row>
    <row r="226" spans="2:25" s="3" customFormat="1" x14ac:dyDescent="0.25">
      <c r="B226" s="23"/>
      <c r="U226" s="1"/>
      <c r="V226" s="1"/>
      <c r="W226" s="1"/>
      <c r="X226" s="1"/>
      <c r="Y226" s="1"/>
    </row>
    <row r="227" spans="2:25" s="3" customFormat="1" x14ac:dyDescent="0.25">
      <c r="B227" s="23"/>
      <c r="U227" s="1"/>
      <c r="V227" s="1"/>
      <c r="W227" s="1"/>
      <c r="X227" s="1"/>
      <c r="Y227" s="1"/>
    </row>
    <row r="228" spans="2:25" s="3" customFormat="1" x14ac:dyDescent="0.25">
      <c r="B228" s="23"/>
      <c r="U228" s="1"/>
      <c r="V228" s="1"/>
      <c r="W228" s="1"/>
      <c r="X228" s="1"/>
      <c r="Y228" s="1"/>
    </row>
    <row r="229" spans="2:25" s="3" customFormat="1" x14ac:dyDescent="0.25">
      <c r="B229" s="23"/>
      <c r="U229" s="1"/>
      <c r="V229" s="1"/>
      <c r="W229" s="1"/>
      <c r="X229" s="1"/>
      <c r="Y229" s="1"/>
    </row>
    <row r="230" spans="2:25" s="3" customFormat="1" x14ac:dyDescent="0.25">
      <c r="B230" s="23"/>
      <c r="U230" s="1"/>
      <c r="V230" s="1"/>
      <c r="W230" s="1"/>
      <c r="X230" s="1"/>
      <c r="Y230" s="1"/>
    </row>
    <row r="231" spans="2:25" s="3" customFormat="1" x14ac:dyDescent="0.25">
      <c r="B231" s="23"/>
      <c r="U231" s="1"/>
      <c r="V231" s="1"/>
      <c r="W231" s="1"/>
      <c r="X231" s="1"/>
      <c r="Y231" s="1"/>
    </row>
    <row r="232" spans="2:25" s="3" customFormat="1" x14ac:dyDescent="0.25">
      <c r="B232" s="23"/>
      <c r="U232" s="1"/>
      <c r="V232" s="1"/>
      <c r="W232" s="1"/>
      <c r="X232" s="1"/>
      <c r="Y232" s="1"/>
    </row>
    <row r="233" spans="2:25" s="3" customFormat="1" x14ac:dyDescent="0.25">
      <c r="B233" s="23"/>
      <c r="U233" s="1"/>
      <c r="V233" s="1"/>
      <c r="W233" s="1"/>
      <c r="X233" s="1"/>
      <c r="Y233" s="1"/>
    </row>
    <row r="234" spans="2:25" s="3" customFormat="1" x14ac:dyDescent="0.25">
      <c r="B234" s="23"/>
      <c r="U234" s="1"/>
      <c r="V234" s="1"/>
      <c r="W234" s="1"/>
      <c r="X234" s="1"/>
      <c r="Y234" s="1"/>
    </row>
    <row r="235" spans="2:25" s="3" customFormat="1" x14ac:dyDescent="0.25">
      <c r="B235" s="23"/>
      <c r="U235" s="1"/>
      <c r="V235" s="1"/>
      <c r="W235" s="1"/>
      <c r="X235" s="1"/>
      <c r="Y235" s="1"/>
    </row>
    <row r="236" spans="2:25" s="3" customFormat="1" x14ac:dyDescent="0.25">
      <c r="B236" s="23"/>
      <c r="U236" s="1"/>
      <c r="V236" s="1"/>
      <c r="W236" s="1"/>
      <c r="X236" s="1"/>
      <c r="Y236" s="1"/>
    </row>
    <row r="237" spans="2:25" s="3" customFormat="1" x14ac:dyDescent="0.25">
      <c r="B237" s="23"/>
      <c r="K237" s="6"/>
      <c r="L237" s="6"/>
      <c r="M237" s="6"/>
      <c r="N237" s="6"/>
      <c r="U237" s="1"/>
      <c r="V237" s="1"/>
      <c r="W237" s="1"/>
      <c r="X237" s="1"/>
      <c r="Y237" s="1"/>
    </row>
    <row r="238" spans="2:25" s="3" customFormat="1" x14ac:dyDescent="0.25">
      <c r="B238" s="23"/>
      <c r="K238" s="6"/>
      <c r="L238" s="6"/>
      <c r="M238" s="6"/>
      <c r="N238" s="6"/>
      <c r="U238" s="1"/>
      <c r="V238" s="1"/>
      <c r="W238" s="1"/>
      <c r="X238" s="1"/>
      <c r="Y238" s="1"/>
    </row>
    <row r="239" spans="2:25" s="3" customFormat="1" x14ac:dyDescent="0.25">
      <c r="B239" s="23"/>
      <c r="K239" s="6"/>
      <c r="L239" s="6"/>
      <c r="M239" s="6"/>
      <c r="N239" s="6"/>
      <c r="U239" s="1"/>
      <c r="V239" s="1"/>
      <c r="W239" s="1"/>
      <c r="X239" s="1"/>
      <c r="Y239" s="1"/>
    </row>
    <row r="240" spans="2:25" s="3" customFormat="1" x14ac:dyDescent="0.25">
      <c r="B240" s="23"/>
      <c r="J240" s="6"/>
      <c r="K240" s="6"/>
      <c r="L240" s="6"/>
      <c r="M240" s="6"/>
      <c r="N240" s="6"/>
      <c r="U240" s="1"/>
      <c r="V240" s="1"/>
      <c r="W240" s="1"/>
      <c r="X240" s="1"/>
      <c r="Y240" s="1"/>
    </row>
    <row r="241" spans="1:25" s="3" customFormat="1" x14ac:dyDescent="0.25">
      <c r="B241" s="23"/>
      <c r="J241" s="6"/>
      <c r="K241" s="6"/>
      <c r="L241" s="6"/>
      <c r="M241" s="6"/>
      <c r="N241" s="6"/>
      <c r="U241" s="1"/>
      <c r="V241" s="1"/>
      <c r="W241" s="1"/>
      <c r="X241" s="1"/>
      <c r="Y241" s="1"/>
    </row>
    <row r="242" spans="1:25" s="3" customFormat="1" x14ac:dyDescent="0.25">
      <c r="B242" s="23"/>
      <c r="J242" s="6"/>
      <c r="K242" s="6"/>
      <c r="L242" s="6"/>
      <c r="M242" s="6"/>
      <c r="N242" s="6"/>
      <c r="U242" s="1"/>
      <c r="V242" s="1"/>
      <c r="W242" s="1"/>
      <c r="X242" s="1"/>
      <c r="Y242" s="1"/>
    </row>
    <row r="243" spans="1:25" s="3" customFormat="1" x14ac:dyDescent="0.25">
      <c r="B243" s="23"/>
      <c r="J243" s="6"/>
      <c r="K243" s="6"/>
      <c r="L243" s="6"/>
      <c r="M243" s="6"/>
      <c r="N243" s="6"/>
      <c r="U243" s="1"/>
      <c r="V243" s="1"/>
      <c r="W243" s="1"/>
      <c r="X243" s="1"/>
      <c r="Y243" s="1"/>
    </row>
    <row r="244" spans="1:25" s="3" customFormat="1" x14ac:dyDescent="0.25">
      <c r="B244" s="23"/>
      <c r="J244" s="6"/>
      <c r="K244" s="6"/>
      <c r="L244" s="6"/>
      <c r="M244" s="6"/>
      <c r="N244" s="6"/>
      <c r="O244" s="6"/>
      <c r="U244" s="1"/>
      <c r="V244" s="1"/>
      <c r="W244" s="1"/>
      <c r="X244" s="1"/>
      <c r="Y244" s="1"/>
    </row>
    <row r="245" spans="1:25" s="3" customFormat="1" x14ac:dyDescent="0.25">
      <c r="B245" s="23"/>
      <c r="J245" s="6"/>
      <c r="K245" s="6"/>
      <c r="L245" s="6"/>
      <c r="M245" s="6"/>
      <c r="N245" s="6"/>
      <c r="O245" s="6"/>
      <c r="U245" s="1"/>
      <c r="V245" s="1"/>
      <c r="W245" s="1"/>
      <c r="X245" s="1"/>
      <c r="Y245" s="1"/>
    </row>
    <row r="246" spans="1:25" s="3" customFormat="1" x14ac:dyDescent="0.25">
      <c r="A246" s="6"/>
      <c r="B246" s="25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Q246" s="6"/>
      <c r="R246" s="6"/>
      <c r="S246" s="6"/>
      <c r="U246" s="1"/>
      <c r="V246" s="1"/>
      <c r="W246" s="1"/>
      <c r="X246" s="1"/>
      <c r="Y246" s="1"/>
    </row>
  </sheetData>
  <sheetProtection sheet="1" objects="1" scenarios="1"/>
  <mergeCells count="204">
    <mergeCell ref="D42:E42"/>
    <mergeCell ref="D43:E43"/>
    <mergeCell ref="D44:E44"/>
    <mergeCell ref="D45:E45"/>
    <mergeCell ref="D46:E46"/>
    <mergeCell ref="D47:E47"/>
    <mergeCell ref="D48:E48"/>
    <mergeCell ref="A42:C42"/>
    <mergeCell ref="A43:C43"/>
    <mergeCell ref="A44:C44"/>
    <mergeCell ref="A45:C45"/>
    <mergeCell ref="A46:C46"/>
    <mergeCell ref="A47:C47"/>
    <mergeCell ref="A48:C48"/>
    <mergeCell ref="A38:C38"/>
    <mergeCell ref="D38:E38"/>
    <mergeCell ref="F38:G38"/>
    <mergeCell ref="H38:J38"/>
    <mergeCell ref="K38:L38"/>
    <mergeCell ref="M38:N38"/>
    <mergeCell ref="A41:C41"/>
    <mergeCell ref="D41:E41"/>
    <mergeCell ref="F41:G41"/>
    <mergeCell ref="H41:J41"/>
    <mergeCell ref="K41:L41"/>
    <mergeCell ref="M41:N41"/>
    <mergeCell ref="A39:C39"/>
    <mergeCell ref="D39:E39"/>
    <mergeCell ref="F39:G39"/>
    <mergeCell ref="H39:J39"/>
    <mergeCell ref="K39:L39"/>
    <mergeCell ref="M39:N39"/>
    <mergeCell ref="A40:C40"/>
    <mergeCell ref="D40:E40"/>
    <mergeCell ref="F40:G40"/>
    <mergeCell ref="H40:J40"/>
    <mergeCell ref="K40:L40"/>
    <mergeCell ref="M40:N40"/>
    <mergeCell ref="A15:C15"/>
    <mergeCell ref="D2:K4"/>
    <mergeCell ref="L2:N4"/>
    <mergeCell ref="R3:T3"/>
    <mergeCell ref="B5:K5"/>
    <mergeCell ref="L5:N5"/>
    <mergeCell ref="R5:T5"/>
    <mergeCell ref="C8:F8"/>
    <mergeCell ref="K8:N8"/>
    <mergeCell ref="C10:F10"/>
    <mergeCell ref="K10:N10"/>
    <mergeCell ref="D16:E16"/>
    <mergeCell ref="F16:G16"/>
    <mergeCell ref="H16:J16"/>
    <mergeCell ref="K16:L16"/>
    <mergeCell ref="M16:N16"/>
    <mergeCell ref="A16:C16"/>
    <mergeCell ref="A17:C17"/>
    <mergeCell ref="A13:C13"/>
    <mergeCell ref="D13:E13"/>
    <mergeCell ref="F13:G13"/>
    <mergeCell ref="H13:J13"/>
    <mergeCell ref="K13:L13"/>
    <mergeCell ref="M13:N13"/>
    <mergeCell ref="D15:E15"/>
    <mergeCell ref="F15:G15"/>
    <mergeCell ref="H15:J15"/>
    <mergeCell ref="K15:L15"/>
    <mergeCell ref="M15:N15"/>
    <mergeCell ref="D14:E14"/>
    <mergeCell ref="F14:G14"/>
    <mergeCell ref="H14:J14"/>
    <mergeCell ref="K14:L14"/>
    <mergeCell ref="M14:N14"/>
    <mergeCell ref="A14:C14"/>
    <mergeCell ref="D18:E18"/>
    <mergeCell ref="F18:G18"/>
    <mergeCell ref="H18:J18"/>
    <mergeCell ref="K18:L18"/>
    <mergeCell ref="M18:N18"/>
    <mergeCell ref="A18:C18"/>
    <mergeCell ref="A19:C19"/>
    <mergeCell ref="D17:E17"/>
    <mergeCell ref="F17:G17"/>
    <mergeCell ref="H17:J17"/>
    <mergeCell ref="K17:L17"/>
    <mergeCell ref="M17:N17"/>
    <mergeCell ref="D20:E20"/>
    <mergeCell ref="F20:G20"/>
    <mergeCell ref="H20:J20"/>
    <mergeCell ref="K20:L20"/>
    <mergeCell ref="M20:N20"/>
    <mergeCell ref="A20:C20"/>
    <mergeCell ref="A21:C21"/>
    <mergeCell ref="D19:E19"/>
    <mergeCell ref="F19:G19"/>
    <mergeCell ref="H19:J19"/>
    <mergeCell ref="K19:L19"/>
    <mergeCell ref="M19:N19"/>
    <mergeCell ref="D22:E22"/>
    <mergeCell ref="F22:G22"/>
    <mergeCell ref="H22:J22"/>
    <mergeCell ref="K22:L22"/>
    <mergeCell ref="M22:N22"/>
    <mergeCell ref="A22:C22"/>
    <mergeCell ref="A23:C23"/>
    <mergeCell ref="D21:E21"/>
    <mergeCell ref="F21:G21"/>
    <mergeCell ref="H21:J21"/>
    <mergeCell ref="K21:L21"/>
    <mergeCell ref="M21:N21"/>
    <mergeCell ref="D24:E24"/>
    <mergeCell ref="F24:G24"/>
    <mergeCell ref="H24:J24"/>
    <mergeCell ref="K24:L24"/>
    <mergeCell ref="M24:N24"/>
    <mergeCell ref="A24:C24"/>
    <mergeCell ref="A25:C25"/>
    <mergeCell ref="D23:E23"/>
    <mergeCell ref="F23:G23"/>
    <mergeCell ref="H23:J23"/>
    <mergeCell ref="K23:L23"/>
    <mergeCell ref="M23:N23"/>
    <mergeCell ref="D26:E26"/>
    <mergeCell ref="F26:G26"/>
    <mergeCell ref="H26:J26"/>
    <mergeCell ref="K26:L26"/>
    <mergeCell ref="M26:N26"/>
    <mergeCell ref="A26:C26"/>
    <mergeCell ref="A27:C27"/>
    <mergeCell ref="D25:E25"/>
    <mergeCell ref="F25:G25"/>
    <mergeCell ref="H25:J25"/>
    <mergeCell ref="K25:L25"/>
    <mergeCell ref="M25:N25"/>
    <mergeCell ref="D28:E28"/>
    <mergeCell ref="F28:G28"/>
    <mergeCell ref="H28:J28"/>
    <mergeCell ref="K28:L28"/>
    <mergeCell ref="M28:N28"/>
    <mergeCell ref="A28:C28"/>
    <mergeCell ref="A29:C29"/>
    <mergeCell ref="D27:E27"/>
    <mergeCell ref="F27:G27"/>
    <mergeCell ref="H27:J27"/>
    <mergeCell ref="K27:L27"/>
    <mergeCell ref="M27:N27"/>
    <mergeCell ref="D30:E30"/>
    <mergeCell ref="F30:G30"/>
    <mergeCell ref="H30:J30"/>
    <mergeCell ref="K30:L30"/>
    <mergeCell ref="M30:N30"/>
    <mergeCell ref="A30:C30"/>
    <mergeCell ref="A31:C31"/>
    <mergeCell ref="D29:E29"/>
    <mergeCell ref="F29:G29"/>
    <mergeCell ref="H29:J29"/>
    <mergeCell ref="K29:L29"/>
    <mergeCell ref="M29:N29"/>
    <mergeCell ref="D32:E32"/>
    <mergeCell ref="F32:G32"/>
    <mergeCell ref="H32:J32"/>
    <mergeCell ref="K32:L32"/>
    <mergeCell ref="M32:N32"/>
    <mergeCell ref="A32:C32"/>
    <mergeCell ref="A33:C33"/>
    <mergeCell ref="D31:E31"/>
    <mergeCell ref="F31:G31"/>
    <mergeCell ref="H31:J31"/>
    <mergeCell ref="K31:L31"/>
    <mergeCell ref="M31:N31"/>
    <mergeCell ref="D34:E34"/>
    <mergeCell ref="F34:G34"/>
    <mergeCell ref="H34:J34"/>
    <mergeCell ref="K34:L34"/>
    <mergeCell ref="A34:C34"/>
    <mergeCell ref="M34:N34"/>
    <mergeCell ref="D33:E33"/>
    <mergeCell ref="F33:G33"/>
    <mergeCell ref="H33:J33"/>
    <mergeCell ref="K33:L33"/>
    <mergeCell ref="M33:N33"/>
    <mergeCell ref="D50:E50"/>
    <mergeCell ref="B54:F59"/>
    <mergeCell ref="J54:N59"/>
    <mergeCell ref="A49:C49"/>
    <mergeCell ref="D49:E49"/>
    <mergeCell ref="F49:G49"/>
    <mergeCell ref="A35:C35"/>
    <mergeCell ref="A36:C36"/>
    <mergeCell ref="D35:E35"/>
    <mergeCell ref="F35:G35"/>
    <mergeCell ref="H35:J35"/>
    <mergeCell ref="K35:L35"/>
    <mergeCell ref="M35:N35"/>
    <mergeCell ref="D36:E36"/>
    <mergeCell ref="F36:G36"/>
    <mergeCell ref="H36:J36"/>
    <mergeCell ref="K36:L36"/>
    <mergeCell ref="M36:N36"/>
    <mergeCell ref="A37:C37"/>
    <mergeCell ref="D37:E37"/>
    <mergeCell ref="F37:G37"/>
    <mergeCell ref="H37:J37"/>
    <mergeCell ref="K37:L37"/>
    <mergeCell ref="M37:N37"/>
  </mergeCells>
  <conditionalFormatting sqref="D14:D33 D49">
    <cfRule type="expression" dxfId="63" priority="7">
      <formula>#REF!="Non"</formula>
    </cfRule>
    <cfRule type="expression" dxfId="62" priority="8">
      <formula>#REF!="Oui"</formula>
    </cfRule>
  </conditionalFormatting>
  <conditionalFormatting sqref="D34:D36">
    <cfRule type="expression" dxfId="61" priority="5">
      <formula>#REF!="Non"</formula>
    </cfRule>
    <cfRule type="expression" dxfId="60" priority="6">
      <formula>#REF!="Oui"</formula>
    </cfRule>
  </conditionalFormatting>
  <conditionalFormatting sqref="D37:D41">
    <cfRule type="expression" dxfId="59" priority="3">
      <formula>#REF!="Non"</formula>
    </cfRule>
    <cfRule type="expression" dxfId="58" priority="4">
      <formula>#REF!="Oui"</formula>
    </cfRule>
  </conditionalFormatting>
  <conditionalFormatting sqref="D42:D48">
    <cfRule type="expression" dxfId="57" priority="1">
      <formula>#REF!="Non"</formula>
    </cfRule>
    <cfRule type="expression" dxfId="56" priority="2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BD251"/>
  <sheetViews>
    <sheetView topLeftCell="A25" zoomScale="90" zoomScaleNormal="90" workbookViewId="0">
      <selection activeCell="T39" sqref="T39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2" style="6" customWidth="1"/>
    <col min="4" max="4" width="8.42578125" style="6" customWidth="1"/>
    <col min="5" max="5" width="6.42578125" style="6" customWidth="1"/>
    <col min="6" max="6" width="5.42578125" style="6" customWidth="1"/>
    <col min="7" max="7" width="8" style="6" customWidth="1"/>
    <col min="8" max="8" width="5.85546875" style="6" customWidth="1"/>
    <col min="9" max="9" width="9.42578125" style="6" customWidth="1"/>
    <col min="10" max="10" width="14.42578125" style="6" customWidth="1"/>
    <col min="11" max="12" width="8.140625" style="6" customWidth="1"/>
    <col min="13" max="13" width="8" style="6" customWidth="1"/>
    <col min="14" max="14" width="10.42578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67</v>
      </c>
      <c r="E2" s="195"/>
      <c r="F2" s="195"/>
      <c r="G2" s="195"/>
      <c r="H2" s="195"/>
      <c r="I2" s="195"/>
      <c r="J2" s="195"/>
      <c r="K2" s="195"/>
      <c r="L2" s="251">
        <f>'Niveau 1 Juillet'!L2:N4</f>
        <v>45474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6"/>
      <c r="Q3" s="4"/>
      <c r="R3" s="220"/>
      <c r="S3" s="220"/>
      <c r="T3" s="220"/>
      <c r="U3" s="36"/>
      <c r="V3" s="36"/>
      <c r="W3" s="36"/>
      <c r="X3" s="36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6"/>
      <c r="Q4" s="4"/>
      <c r="R4" s="36"/>
      <c r="S4" s="36"/>
      <c r="T4" s="36"/>
      <c r="U4" s="36"/>
      <c r="V4" s="36"/>
      <c r="W4" s="36"/>
      <c r="X4" s="36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f>+'Niveau 1 Juillet'!L5:N5</f>
        <v>45475</v>
      </c>
      <c r="M5" s="222"/>
      <c r="N5" s="222"/>
      <c r="O5" s="3"/>
      <c r="P5" s="36"/>
      <c r="Q5" s="5"/>
      <c r="R5" s="220"/>
      <c r="S5" s="220"/>
      <c r="T5" s="220"/>
      <c r="U5" s="36"/>
      <c r="V5" s="36"/>
      <c r="W5" s="36"/>
      <c r="X5" s="36"/>
      <c r="Y5" s="5"/>
    </row>
    <row r="6" spans="1:25" ht="19.5" customHeight="1" x14ac:dyDescent="0.35">
      <c r="A6" s="27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40"/>
      <c r="V6" s="40"/>
      <c r="W6" s="40"/>
      <c r="X6" s="40"/>
      <c r="Y6" s="5"/>
    </row>
    <row r="7" spans="1:25" ht="19.5" customHeight="1" thickBot="1" x14ac:dyDescent="0.4">
      <c r="A7" s="111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40"/>
      <c r="V7" s="40"/>
      <c r="W7" s="40"/>
      <c r="X7" s="40"/>
      <c r="Y7" s="5"/>
    </row>
    <row r="8" spans="1:25" ht="18" customHeight="1" thickBot="1" x14ac:dyDescent="0.3">
      <c r="A8" s="8" t="s">
        <v>2</v>
      </c>
      <c r="B8" s="24"/>
      <c r="C8" s="223"/>
      <c r="D8" s="224"/>
      <c r="E8" s="224"/>
      <c r="F8" s="225"/>
      <c r="G8" s="9"/>
      <c r="H8" s="8" t="s">
        <v>26</v>
      </c>
      <c r="I8" s="8"/>
      <c r="J8" s="8"/>
      <c r="K8" s="223"/>
      <c r="L8" s="224"/>
      <c r="M8" s="224"/>
      <c r="N8" s="225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223"/>
      <c r="D10" s="224"/>
      <c r="E10" s="224"/>
      <c r="F10" s="225"/>
      <c r="G10" s="9"/>
      <c r="H10" s="8" t="s">
        <v>25</v>
      </c>
      <c r="I10" s="8"/>
      <c r="J10" s="8"/>
      <c r="K10" s="223"/>
      <c r="L10" s="224"/>
      <c r="M10" s="224"/>
      <c r="N10" s="225"/>
      <c r="O10" s="26"/>
      <c r="P10" s="26"/>
      <c r="Q10" s="26"/>
      <c r="R10" s="26"/>
      <c r="S10" s="26"/>
      <c r="T10" s="26"/>
      <c r="U10" s="11"/>
    </row>
    <row r="11" spans="1:25" ht="18" customHeight="1" thickBot="1" x14ac:dyDescent="0.35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8" customHeight="1" thickBot="1" x14ac:dyDescent="0.35">
      <c r="A12" s="8" t="s">
        <v>49</v>
      </c>
      <c r="B12" s="24"/>
      <c r="C12" s="223"/>
      <c r="D12" s="224"/>
      <c r="E12" s="224"/>
      <c r="F12" s="225"/>
      <c r="G12" s="24"/>
      <c r="H12" s="8" t="s">
        <v>52</v>
      </c>
      <c r="I12" s="8"/>
      <c r="J12" s="24"/>
      <c r="K12" s="241"/>
      <c r="L12" s="242"/>
      <c r="M12" s="8" t="s">
        <v>59</v>
      </c>
      <c r="N12" s="24"/>
      <c r="O12" s="26"/>
      <c r="P12" s="26"/>
      <c r="Q12" s="26"/>
      <c r="R12" s="26"/>
      <c r="S12" s="26"/>
      <c r="T12" s="26"/>
      <c r="U12" s="11"/>
    </row>
    <row r="13" spans="1:25" ht="18" customHeight="1" thickBot="1" x14ac:dyDescent="0.35">
      <c r="A13" s="8"/>
      <c r="B13" s="24"/>
      <c r="C13" s="24"/>
      <c r="D13" s="24"/>
      <c r="E13" s="24"/>
      <c r="F13" s="24"/>
      <c r="G13" s="24"/>
      <c r="H13" s="8" t="s">
        <v>51</v>
      </c>
      <c r="I13" s="8"/>
      <c r="J13" s="24"/>
      <c r="K13" s="260"/>
      <c r="L13" s="261"/>
      <c r="M13" s="32" t="s">
        <v>60</v>
      </c>
      <c r="N13" s="24"/>
      <c r="O13" s="26"/>
      <c r="P13" s="26"/>
      <c r="Q13" s="26"/>
      <c r="R13" s="26"/>
      <c r="S13" s="26"/>
      <c r="T13" s="26"/>
      <c r="U13" s="11"/>
    </row>
    <row r="14" spans="1:25" ht="13.5" customHeight="1" thickBot="1" x14ac:dyDescent="0.35">
      <c r="A14" s="8"/>
      <c r="B14" s="24"/>
      <c r="C14" s="24"/>
      <c r="D14" s="24"/>
      <c r="E14" s="24"/>
      <c r="F14" s="24"/>
      <c r="G14" s="9"/>
      <c r="H14" s="8"/>
      <c r="I14" s="8"/>
      <c r="J14" s="8"/>
      <c r="K14" s="8"/>
      <c r="L14" s="8"/>
      <c r="M14" s="8"/>
      <c r="N14" s="8"/>
      <c r="O14" s="26"/>
      <c r="P14" s="26"/>
      <c r="Q14" s="26"/>
      <c r="R14" s="26"/>
      <c r="S14" s="26"/>
      <c r="T14" s="26"/>
      <c r="U14" s="11"/>
    </row>
    <row r="15" spans="1:25" ht="22.5" customHeight="1" thickBot="1" x14ac:dyDescent="0.35">
      <c r="A15" s="8"/>
      <c r="B15" s="24"/>
      <c r="C15" s="10"/>
      <c r="D15" s="10"/>
      <c r="E15" s="10"/>
      <c r="F15" s="262" t="s">
        <v>28</v>
      </c>
      <c r="G15" s="263"/>
      <c r="H15" s="263"/>
      <c r="I15" s="263"/>
      <c r="J15" s="263"/>
      <c r="K15" s="263"/>
      <c r="L15" s="263"/>
      <c r="M15" s="263"/>
      <c r="N15" s="264"/>
      <c r="O15" s="26"/>
      <c r="P15" s="26"/>
      <c r="Q15" s="26"/>
      <c r="R15" s="26"/>
      <c r="S15" s="26"/>
      <c r="T15" s="26"/>
      <c r="U15" s="11"/>
    </row>
    <row r="16" spans="1:25" s="19" customFormat="1" ht="54.75" customHeight="1" x14ac:dyDescent="0.25">
      <c r="A16" s="200" t="s">
        <v>1</v>
      </c>
      <c r="B16" s="201"/>
      <c r="C16" s="202"/>
      <c r="D16" s="203" t="s">
        <v>58</v>
      </c>
      <c r="E16" s="204"/>
      <c r="F16" s="265" t="s">
        <v>29</v>
      </c>
      <c r="G16" s="265"/>
      <c r="H16" s="266" t="s">
        <v>61</v>
      </c>
      <c r="I16" s="267"/>
      <c r="J16" s="37" t="s">
        <v>63</v>
      </c>
      <c r="K16" s="268" t="s">
        <v>64</v>
      </c>
      <c r="L16" s="269"/>
      <c r="M16" s="266" t="s">
        <v>30</v>
      </c>
      <c r="N16" s="267"/>
      <c r="O16" s="26"/>
      <c r="P16" s="26"/>
      <c r="Q16" s="26"/>
      <c r="R16" s="26"/>
      <c r="S16" s="26"/>
      <c r="T16" s="26"/>
      <c r="U16" s="20"/>
      <c r="V16" s="20"/>
      <c r="W16" s="20"/>
      <c r="X16" s="21"/>
    </row>
    <row r="17" spans="1:24" s="3" customFormat="1" ht="15.75" x14ac:dyDescent="0.25">
      <c r="A17" s="191">
        <v>45439</v>
      </c>
      <c r="B17" s="286"/>
      <c r="C17" s="287"/>
      <c r="D17" s="243"/>
      <c r="E17" s="243"/>
      <c r="F17" s="244"/>
      <c r="G17" s="245"/>
      <c r="H17" s="246"/>
      <c r="I17" s="247"/>
      <c r="J17" s="100"/>
      <c r="K17" s="248"/>
      <c r="L17" s="248"/>
      <c r="M17" s="249">
        <f t="shared" ref="M17" si="0">+K17-J17</f>
        <v>0</v>
      </c>
      <c r="N17" s="250"/>
      <c r="O17" s="26"/>
      <c r="P17" s="26"/>
      <c r="Q17" s="26"/>
      <c r="R17" s="26"/>
      <c r="S17" s="26"/>
      <c r="T17" s="26"/>
      <c r="U17" s="13"/>
      <c r="V17" s="13"/>
      <c r="W17" s="13"/>
      <c r="X17" s="1"/>
    </row>
    <row r="18" spans="1:24" s="3" customFormat="1" ht="15.75" x14ac:dyDescent="0.25">
      <c r="A18" s="191">
        <v>45440</v>
      </c>
      <c r="B18" s="286"/>
      <c r="C18" s="287"/>
      <c r="D18" s="243"/>
      <c r="E18" s="243"/>
      <c r="F18" s="244"/>
      <c r="G18" s="245"/>
      <c r="H18" s="246"/>
      <c r="I18" s="247"/>
      <c r="J18" s="100"/>
      <c r="K18" s="248"/>
      <c r="L18" s="248"/>
      <c r="M18" s="249">
        <f t="shared" ref="M18:M44" si="1">+K18-J18</f>
        <v>0</v>
      </c>
      <c r="N18" s="250"/>
      <c r="P18" s="26"/>
      <c r="Q18" s="26"/>
      <c r="R18" s="26"/>
      <c r="S18" s="26"/>
      <c r="T18" s="26"/>
      <c r="U18" s="13"/>
      <c r="V18" s="13"/>
      <c r="W18" s="13"/>
      <c r="X18" s="1"/>
    </row>
    <row r="19" spans="1:24" s="3" customFormat="1" ht="15.75" x14ac:dyDescent="0.25">
      <c r="A19" s="191">
        <v>45441</v>
      </c>
      <c r="B19" s="286"/>
      <c r="C19" s="287"/>
      <c r="D19" s="243"/>
      <c r="E19" s="243"/>
      <c r="F19" s="244"/>
      <c r="G19" s="245"/>
      <c r="H19" s="246"/>
      <c r="I19" s="247"/>
      <c r="J19" s="100"/>
      <c r="K19" s="248"/>
      <c r="L19" s="248"/>
      <c r="M19" s="249">
        <f t="shared" si="1"/>
        <v>0</v>
      </c>
      <c r="N19" s="250"/>
      <c r="P19" s="26"/>
      <c r="Q19" s="26"/>
      <c r="R19" s="26"/>
      <c r="S19" s="26"/>
      <c r="T19" s="26"/>
      <c r="U19" s="26"/>
      <c r="V19" s="13"/>
      <c r="W19" s="13"/>
      <c r="X19" s="1"/>
    </row>
    <row r="20" spans="1:24" s="3" customFormat="1" x14ac:dyDescent="0.25">
      <c r="A20" s="191">
        <v>45442</v>
      </c>
      <c r="B20" s="286"/>
      <c r="C20" s="287"/>
      <c r="D20" s="243"/>
      <c r="E20" s="243"/>
      <c r="F20" s="244"/>
      <c r="G20" s="245"/>
      <c r="H20" s="246"/>
      <c r="I20" s="247"/>
      <c r="J20" s="100"/>
      <c r="K20" s="248"/>
      <c r="L20" s="248"/>
      <c r="M20" s="249">
        <f t="shared" si="1"/>
        <v>0</v>
      </c>
      <c r="N20" s="250"/>
      <c r="P20" s="12"/>
      <c r="Q20" s="12"/>
      <c r="R20" s="12"/>
      <c r="S20" s="12"/>
      <c r="T20" s="13"/>
      <c r="U20" s="13"/>
      <c r="V20" s="13"/>
      <c r="W20" s="13"/>
      <c r="X20" s="1"/>
    </row>
    <row r="21" spans="1:24" s="3" customFormat="1" x14ac:dyDescent="0.25">
      <c r="A21" s="191">
        <v>45443</v>
      </c>
      <c r="B21" s="286"/>
      <c r="C21" s="287"/>
      <c r="D21" s="243"/>
      <c r="E21" s="243"/>
      <c r="F21" s="244"/>
      <c r="G21" s="245"/>
      <c r="H21" s="246"/>
      <c r="I21" s="247"/>
      <c r="J21" s="100"/>
      <c r="K21" s="248"/>
      <c r="L21" s="248"/>
      <c r="M21" s="249">
        <f t="shared" si="1"/>
        <v>0</v>
      </c>
      <c r="N21" s="250"/>
      <c r="P21" s="12"/>
      <c r="Q21" s="12"/>
      <c r="R21" s="12"/>
      <c r="S21" s="12"/>
      <c r="T21" s="13"/>
      <c r="U21" s="13"/>
      <c r="V21" s="13"/>
      <c r="W21" s="13"/>
      <c r="X21" s="1"/>
    </row>
    <row r="22" spans="1:24" s="3" customFormat="1" x14ac:dyDescent="0.25">
      <c r="A22" s="191">
        <v>45444</v>
      </c>
      <c r="B22" s="286"/>
      <c r="C22" s="287"/>
      <c r="D22" s="243"/>
      <c r="E22" s="243"/>
      <c r="F22" s="244"/>
      <c r="G22" s="245"/>
      <c r="H22" s="246"/>
      <c r="I22" s="247"/>
      <c r="J22" s="100"/>
      <c r="K22" s="248"/>
      <c r="L22" s="248"/>
      <c r="M22" s="249">
        <f t="shared" si="1"/>
        <v>0</v>
      </c>
      <c r="N22" s="250"/>
      <c r="P22" s="12"/>
      <c r="Q22" s="12"/>
      <c r="R22" s="12"/>
      <c r="S22" s="12"/>
      <c r="T22" s="13"/>
      <c r="U22" s="13"/>
      <c r="V22" s="13"/>
      <c r="W22" s="13"/>
      <c r="X22" s="1"/>
    </row>
    <row r="23" spans="1:24" s="3" customFormat="1" x14ac:dyDescent="0.25">
      <c r="A23" s="191">
        <v>45445</v>
      </c>
      <c r="B23" s="286"/>
      <c r="C23" s="287"/>
      <c r="D23" s="243"/>
      <c r="E23" s="243"/>
      <c r="F23" s="244"/>
      <c r="G23" s="245"/>
      <c r="H23" s="246"/>
      <c r="I23" s="247"/>
      <c r="J23" s="100"/>
      <c r="K23" s="248"/>
      <c r="L23" s="248"/>
      <c r="M23" s="249">
        <f t="shared" si="1"/>
        <v>0</v>
      </c>
      <c r="N23" s="250"/>
      <c r="P23" s="12"/>
      <c r="Q23" s="12"/>
      <c r="R23" s="12"/>
      <c r="S23" s="12"/>
      <c r="T23" s="13"/>
      <c r="U23" s="13"/>
      <c r="V23" s="13"/>
      <c r="W23" s="13"/>
      <c r="X23" s="1"/>
    </row>
    <row r="24" spans="1:24" s="3" customFormat="1" x14ac:dyDescent="0.25">
      <c r="A24" s="191">
        <v>45446</v>
      </c>
      <c r="B24" s="286"/>
      <c r="C24" s="287"/>
      <c r="D24" s="243"/>
      <c r="E24" s="243"/>
      <c r="F24" s="244"/>
      <c r="G24" s="245"/>
      <c r="H24" s="246"/>
      <c r="I24" s="247"/>
      <c r="J24" s="100"/>
      <c r="K24" s="248"/>
      <c r="L24" s="248"/>
      <c r="M24" s="249">
        <f t="shared" si="1"/>
        <v>0</v>
      </c>
      <c r="N24" s="250"/>
      <c r="P24" s="12"/>
      <c r="Q24" s="12"/>
      <c r="R24" s="12"/>
      <c r="S24" s="12"/>
      <c r="T24" s="13"/>
      <c r="U24" s="13"/>
      <c r="V24" s="13"/>
      <c r="W24" s="13"/>
      <c r="X24" s="1"/>
    </row>
    <row r="25" spans="1:24" s="3" customFormat="1" x14ac:dyDescent="0.25">
      <c r="A25" s="191">
        <v>45447</v>
      </c>
      <c r="B25" s="286"/>
      <c r="C25" s="287"/>
      <c r="D25" s="243"/>
      <c r="E25" s="243"/>
      <c r="F25" s="244"/>
      <c r="G25" s="245"/>
      <c r="H25" s="246"/>
      <c r="I25" s="247"/>
      <c r="J25" s="100"/>
      <c r="K25" s="248"/>
      <c r="L25" s="248"/>
      <c r="M25" s="249">
        <f t="shared" si="1"/>
        <v>0</v>
      </c>
      <c r="N25" s="250"/>
      <c r="P25" s="12"/>
      <c r="Q25" s="12"/>
      <c r="R25" s="12"/>
      <c r="S25" s="12"/>
      <c r="T25" s="13"/>
      <c r="U25" s="13"/>
      <c r="V25" s="13"/>
      <c r="W25" s="13"/>
      <c r="X25" s="1"/>
    </row>
    <row r="26" spans="1:24" s="3" customFormat="1" x14ac:dyDescent="0.25">
      <c r="A26" s="191">
        <v>45448</v>
      </c>
      <c r="B26" s="286"/>
      <c r="C26" s="287"/>
      <c r="D26" s="243"/>
      <c r="E26" s="243"/>
      <c r="F26" s="244"/>
      <c r="G26" s="245"/>
      <c r="H26" s="246"/>
      <c r="I26" s="247"/>
      <c r="J26" s="100"/>
      <c r="K26" s="248"/>
      <c r="L26" s="248"/>
      <c r="M26" s="249">
        <f t="shared" si="1"/>
        <v>0</v>
      </c>
      <c r="N26" s="250"/>
      <c r="P26" s="12"/>
      <c r="Q26" s="12"/>
      <c r="R26" s="12"/>
      <c r="S26" s="12"/>
      <c r="T26" s="13"/>
      <c r="U26" s="13"/>
      <c r="V26" s="13"/>
      <c r="W26" s="13"/>
      <c r="X26" s="1"/>
    </row>
    <row r="27" spans="1:24" s="3" customFormat="1" x14ac:dyDescent="0.25">
      <c r="A27" s="191">
        <v>45449</v>
      </c>
      <c r="B27" s="286"/>
      <c r="C27" s="287"/>
      <c r="D27" s="243"/>
      <c r="E27" s="243"/>
      <c r="F27" s="244"/>
      <c r="G27" s="245"/>
      <c r="H27" s="246"/>
      <c r="I27" s="247"/>
      <c r="J27" s="100"/>
      <c r="K27" s="248"/>
      <c r="L27" s="248"/>
      <c r="M27" s="249">
        <f t="shared" si="1"/>
        <v>0</v>
      </c>
      <c r="N27" s="250"/>
      <c r="P27" s="12"/>
      <c r="Q27" s="15"/>
      <c r="R27" s="15"/>
      <c r="S27" s="15"/>
      <c r="T27" s="13"/>
      <c r="U27" s="13"/>
      <c r="V27" s="13"/>
      <c r="W27" s="13"/>
      <c r="X27" s="1"/>
    </row>
    <row r="28" spans="1:24" s="3" customFormat="1" x14ac:dyDescent="0.25">
      <c r="A28" s="191">
        <v>45450</v>
      </c>
      <c r="B28" s="286"/>
      <c r="C28" s="287"/>
      <c r="D28" s="243"/>
      <c r="E28" s="243"/>
      <c r="F28" s="244"/>
      <c r="G28" s="245"/>
      <c r="H28" s="246"/>
      <c r="I28" s="247"/>
      <c r="J28" s="100"/>
      <c r="K28" s="248"/>
      <c r="L28" s="248"/>
      <c r="M28" s="249">
        <f t="shared" si="1"/>
        <v>0</v>
      </c>
      <c r="N28" s="250"/>
      <c r="P28" s="12"/>
      <c r="Q28" s="15"/>
      <c r="R28" s="15"/>
      <c r="S28" s="15"/>
      <c r="T28" s="13"/>
      <c r="U28" s="13"/>
      <c r="V28" s="13"/>
      <c r="W28" s="13"/>
      <c r="X28" s="1"/>
    </row>
    <row r="29" spans="1:24" s="3" customFormat="1" x14ac:dyDescent="0.25">
      <c r="A29" s="191">
        <v>45451</v>
      </c>
      <c r="B29" s="286"/>
      <c r="C29" s="287"/>
      <c r="D29" s="243"/>
      <c r="E29" s="243"/>
      <c r="F29" s="244"/>
      <c r="G29" s="245"/>
      <c r="H29" s="246"/>
      <c r="I29" s="247"/>
      <c r="J29" s="100"/>
      <c r="K29" s="248"/>
      <c r="L29" s="248"/>
      <c r="M29" s="249">
        <f t="shared" si="1"/>
        <v>0</v>
      </c>
      <c r="N29" s="250"/>
      <c r="P29" s="12"/>
      <c r="Q29" s="15"/>
      <c r="R29" s="15"/>
      <c r="S29" s="15"/>
      <c r="T29" s="13"/>
      <c r="U29" s="13"/>
      <c r="V29" s="13"/>
      <c r="W29" s="13"/>
      <c r="X29" s="1"/>
    </row>
    <row r="30" spans="1:24" s="3" customFormat="1" x14ac:dyDescent="0.25">
      <c r="A30" s="191">
        <v>45452</v>
      </c>
      <c r="B30" s="286"/>
      <c r="C30" s="287"/>
      <c r="D30" s="243"/>
      <c r="E30" s="243"/>
      <c r="F30" s="244"/>
      <c r="G30" s="245"/>
      <c r="H30" s="246"/>
      <c r="I30" s="247"/>
      <c r="J30" s="100"/>
      <c r="K30" s="248"/>
      <c r="L30" s="248"/>
      <c r="M30" s="249">
        <f t="shared" si="1"/>
        <v>0</v>
      </c>
      <c r="N30" s="250"/>
      <c r="O30" s="1"/>
      <c r="P30" s="12"/>
      <c r="Q30" s="15"/>
      <c r="R30" s="15"/>
      <c r="S30" s="15"/>
      <c r="T30" s="13"/>
      <c r="U30" s="13"/>
      <c r="V30" s="13"/>
      <c r="W30" s="13"/>
      <c r="X30" s="1"/>
    </row>
    <row r="31" spans="1:24" s="3" customFormat="1" x14ac:dyDescent="0.25">
      <c r="A31" s="191">
        <v>45453</v>
      </c>
      <c r="B31" s="286"/>
      <c r="C31" s="287"/>
      <c r="D31" s="270"/>
      <c r="E31" s="271"/>
      <c r="F31" s="101"/>
      <c r="G31" s="102"/>
      <c r="H31" s="103"/>
      <c r="I31" s="104"/>
      <c r="J31" s="100"/>
      <c r="K31" s="249"/>
      <c r="L31" s="250"/>
      <c r="M31" s="249">
        <f t="shared" si="1"/>
        <v>0</v>
      </c>
      <c r="N31" s="250"/>
      <c r="O31" s="1"/>
      <c r="P31" s="12"/>
      <c r="Q31" s="15"/>
      <c r="R31" s="15"/>
      <c r="S31" s="15"/>
      <c r="T31" s="13"/>
      <c r="U31" s="13"/>
      <c r="V31" s="13"/>
      <c r="W31" s="13"/>
      <c r="X31" s="1"/>
    </row>
    <row r="32" spans="1:24" s="3" customFormat="1" x14ac:dyDescent="0.25">
      <c r="A32" s="191">
        <v>45454</v>
      </c>
      <c r="B32" s="286"/>
      <c r="C32" s="287"/>
      <c r="D32" s="270"/>
      <c r="E32" s="271"/>
      <c r="F32" s="101"/>
      <c r="G32" s="102"/>
      <c r="H32" s="103"/>
      <c r="I32" s="104"/>
      <c r="J32" s="100"/>
      <c r="K32" s="249"/>
      <c r="L32" s="250"/>
      <c r="M32" s="249">
        <f t="shared" si="1"/>
        <v>0</v>
      </c>
      <c r="N32" s="250"/>
      <c r="O32" s="1"/>
      <c r="P32" s="12"/>
      <c r="Q32" s="15"/>
      <c r="R32" s="15"/>
      <c r="S32" s="15"/>
      <c r="T32" s="13"/>
      <c r="U32" s="13"/>
      <c r="V32" s="13"/>
      <c r="W32" s="13"/>
      <c r="X32" s="1"/>
    </row>
    <row r="33" spans="1:24" s="3" customFormat="1" x14ac:dyDescent="0.25">
      <c r="A33" s="191">
        <v>45455</v>
      </c>
      <c r="B33" s="286"/>
      <c r="C33" s="287"/>
      <c r="D33" s="270"/>
      <c r="E33" s="271"/>
      <c r="F33" s="101"/>
      <c r="G33" s="102"/>
      <c r="H33" s="103"/>
      <c r="I33" s="104"/>
      <c r="J33" s="100"/>
      <c r="K33" s="249"/>
      <c r="L33" s="250"/>
      <c r="M33" s="249">
        <f t="shared" si="1"/>
        <v>0</v>
      </c>
      <c r="N33" s="250"/>
      <c r="O33" s="1"/>
      <c r="P33" s="12"/>
      <c r="Q33" s="15"/>
      <c r="R33" s="15"/>
      <c r="S33" s="15"/>
      <c r="T33" s="13"/>
      <c r="U33" s="13"/>
      <c r="V33" s="13"/>
      <c r="W33" s="13"/>
      <c r="X33" s="1"/>
    </row>
    <row r="34" spans="1:24" s="3" customFormat="1" x14ac:dyDescent="0.25">
      <c r="A34" s="191">
        <v>45456</v>
      </c>
      <c r="B34" s="286"/>
      <c r="C34" s="287"/>
      <c r="D34" s="270"/>
      <c r="E34" s="271"/>
      <c r="F34" s="101"/>
      <c r="G34" s="102"/>
      <c r="H34" s="103"/>
      <c r="I34" s="104"/>
      <c r="J34" s="100"/>
      <c r="K34" s="249"/>
      <c r="L34" s="250"/>
      <c r="M34" s="249">
        <f t="shared" si="1"/>
        <v>0</v>
      </c>
      <c r="N34" s="250"/>
      <c r="O34" s="1"/>
      <c r="P34" s="12"/>
      <c r="Q34" s="15"/>
      <c r="R34" s="15"/>
      <c r="S34" s="15"/>
      <c r="T34" s="13"/>
      <c r="U34" s="13"/>
      <c r="V34" s="13"/>
      <c r="W34" s="13"/>
      <c r="X34" s="1"/>
    </row>
    <row r="35" spans="1:24" s="3" customFormat="1" x14ac:dyDescent="0.25">
      <c r="A35" s="191">
        <v>45457</v>
      </c>
      <c r="B35" s="286"/>
      <c r="C35" s="287"/>
      <c r="D35" s="270"/>
      <c r="E35" s="271"/>
      <c r="F35" s="101"/>
      <c r="G35" s="102"/>
      <c r="H35" s="103"/>
      <c r="I35" s="104"/>
      <c r="J35" s="100"/>
      <c r="K35" s="249"/>
      <c r="L35" s="250"/>
      <c r="M35" s="249">
        <f t="shared" si="1"/>
        <v>0</v>
      </c>
      <c r="N35" s="250"/>
      <c r="O35" s="1"/>
      <c r="P35" s="12"/>
      <c r="Q35" s="15"/>
      <c r="R35" s="15"/>
      <c r="S35" s="15"/>
      <c r="T35" s="13"/>
      <c r="U35" s="13"/>
      <c r="V35" s="13"/>
      <c r="W35" s="13"/>
      <c r="X35" s="1"/>
    </row>
    <row r="36" spans="1:24" s="3" customFormat="1" x14ac:dyDescent="0.25">
      <c r="A36" s="191">
        <v>45458</v>
      </c>
      <c r="B36" s="286"/>
      <c r="C36" s="287"/>
      <c r="D36" s="270"/>
      <c r="E36" s="271"/>
      <c r="F36" s="101"/>
      <c r="G36" s="102"/>
      <c r="H36" s="103"/>
      <c r="I36" s="104"/>
      <c r="J36" s="100"/>
      <c r="K36" s="249"/>
      <c r="L36" s="250"/>
      <c r="M36" s="249">
        <f t="shared" si="1"/>
        <v>0</v>
      </c>
      <c r="N36" s="250"/>
      <c r="O36" s="1"/>
      <c r="P36" s="12"/>
      <c r="Q36" s="15"/>
      <c r="R36" s="15"/>
      <c r="S36" s="15"/>
      <c r="T36" s="13"/>
      <c r="U36" s="13"/>
      <c r="V36" s="13"/>
      <c r="W36" s="13"/>
      <c r="X36" s="1"/>
    </row>
    <row r="37" spans="1:24" s="3" customFormat="1" x14ac:dyDescent="0.25">
      <c r="A37" s="191">
        <v>45459</v>
      </c>
      <c r="B37" s="286"/>
      <c r="C37" s="287"/>
      <c r="D37" s="270"/>
      <c r="E37" s="271"/>
      <c r="F37" s="101"/>
      <c r="G37" s="102"/>
      <c r="H37" s="103"/>
      <c r="I37" s="104"/>
      <c r="J37" s="100"/>
      <c r="K37" s="249"/>
      <c r="L37" s="250"/>
      <c r="M37" s="249">
        <f t="shared" si="1"/>
        <v>0</v>
      </c>
      <c r="N37" s="250"/>
      <c r="O37" s="1"/>
      <c r="P37" s="12"/>
      <c r="Q37" s="15"/>
      <c r="R37" s="15"/>
      <c r="S37" s="15"/>
      <c r="T37" s="13"/>
      <c r="U37" s="13"/>
      <c r="V37" s="13"/>
      <c r="W37" s="13"/>
      <c r="X37" s="1"/>
    </row>
    <row r="38" spans="1:24" s="3" customFormat="1" x14ac:dyDescent="0.25">
      <c r="A38" s="191">
        <v>45460</v>
      </c>
      <c r="B38" s="286"/>
      <c r="C38" s="287"/>
      <c r="D38" s="270"/>
      <c r="E38" s="271"/>
      <c r="F38" s="101"/>
      <c r="G38" s="102"/>
      <c r="H38" s="103"/>
      <c r="I38" s="104"/>
      <c r="J38" s="100"/>
      <c r="K38" s="249"/>
      <c r="L38" s="250"/>
      <c r="M38" s="249">
        <f t="shared" si="1"/>
        <v>0</v>
      </c>
      <c r="N38" s="250"/>
      <c r="O38" s="1"/>
      <c r="P38" s="12"/>
      <c r="Q38" s="15"/>
      <c r="R38" s="15"/>
      <c r="S38" s="15"/>
      <c r="T38" s="13"/>
      <c r="U38" s="13"/>
      <c r="V38" s="13"/>
      <c r="W38" s="13"/>
      <c r="X38" s="1"/>
    </row>
    <row r="39" spans="1:24" s="3" customFormat="1" x14ac:dyDescent="0.25">
      <c r="A39" s="191">
        <v>45461</v>
      </c>
      <c r="B39" s="286"/>
      <c r="C39" s="287"/>
      <c r="D39" s="270"/>
      <c r="E39" s="271"/>
      <c r="F39" s="101"/>
      <c r="G39" s="102"/>
      <c r="H39" s="103"/>
      <c r="I39" s="104"/>
      <c r="J39" s="100"/>
      <c r="K39" s="249"/>
      <c r="L39" s="250"/>
      <c r="M39" s="249">
        <f t="shared" si="1"/>
        <v>0</v>
      </c>
      <c r="N39" s="250"/>
      <c r="O39" s="1"/>
      <c r="P39" s="12"/>
      <c r="Q39" s="15"/>
      <c r="R39" s="15"/>
      <c r="S39" s="15"/>
      <c r="T39" s="13"/>
      <c r="U39" s="13"/>
      <c r="V39" s="13"/>
      <c r="W39" s="13"/>
      <c r="X39" s="1"/>
    </row>
    <row r="40" spans="1:24" s="3" customFormat="1" x14ac:dyDescent="0.25">
      <c r="A40" s="191">
        <v>45462</v>
      </c>
      <c r="B40" s="286"/>
      <c r="C40" s="287"/>
      <c r="D40" s="270"/>
      <c r="E40" s="271"/>
      <c r="F40" s="101"/>
      <c r="G40" s="102"/>
      <c r="H40" s="103"/>
      <c r="I40" s="104"/>
      <c r="J40" s="100"/>
      <c r="K40" s="249"/>
      <c r="L40" s="250"/>
      <c r="M40" s="249">
        <f t="shared" si="1"/>
        <v>0</v>
      </c>
      <c r="N40" s="250"/>
      <c r="O40" s="1"/>
      <c r="P40" s="12"/>
      <c r="Q40" s="15"/>
      <c r="R40" s="15"/>
      <c r="S40" s="15"/>
      <c r="T40" s="13"/>
      <c r="U40" s="13"/>
      <c r="V40" s="13"/>
      <c r="W40" s="13"/>
      <c r="X40" s="1"/>
    </row>
    <row r="41" spans="1:24" s="3" customFormat="1" x14ac:dyDescent="0.25">
      <c r="A41" s="191">
        <v>45463</v>
      </c>
      <c r="B41" s="286"/>
      <c r="C41" s="287"/>
      <c r="D41" s="270"/>
      <c r="E41" s="271"/>
      <c r="F41" s="101"/>
      <c r="G41" s="102"/>
      <c r="H41" s="103"/>
      <c r="I41" s="104"/>
      <c r="J41" s="100"/>
      <c r="K41" s="249"/>
      <c r="L41" s="250"/>
      <c r="M41" s="249">
        <f t="shared" si="1"/>
        <v>0</v>
      </c>
      <c r="N41" s="250"/>
      <c r="O41" s="1"/>
      <c r="P41" s="12"/>
      <c r="Q41" s="15"/>
      <c r="R41" s="15"/>
      <c r="S41" s="15"/>
      <c r="T41" s="13"/>
      <c r="U41" s="13"/>
      <c r="V41" s="13"/>
      <c r="W41" s="13"/>
      <c r="X41" s="1"/>
    </row>
    <row r="42" spans="1:24" s="3" customFormat="1" x14ac:dyDescent="0.25">
      <c r="A42" s="191">
        <v>45464</v>
      </c>
      <c r="B42" s="286"/>
      <c r="C42" s="287"/>
      <c r="D42" s="270"/>
      <c r="E42" s="271"/>
      <c r="F42" s="101"/>
      <c r="G42" s="102"/>
      <c r="H42" s="103"/>
      <c r="I42" s="104"/>
      <c r="J42" s="100"/>
      <c r="K42" s="249"/>
      <c r="L42" s="250"/>
      <c r="M42" s="249">
        <f t="shared" si="1"/>
        <v>0</v>
      </c>
      <c r="N42" s="250"/>
      <c r="O42" s="1"/>
      <c r="P42" s="12"/>
      <c r="Q42" s="15"/>
      <c r="R42" s="15"/>
      <c r="S42" s="15"/>
      <c r="T42" s="13"/>
      <c r="U42" s="13"/>
      <c r="V42" s="13"/>
      <c r="W42" s="13"/>
      <c r="X42" s="1"/>
    </row>
    <row r="43" spans="1:24" s="3" customFormat="1" x14ac:dyDescent="0.25">
      <c r="A43" s="191">
        <v>45465</v>
      </c>
      <c r="B43" s="286"/>
      <c r="C43" s="287"/>
      <c r="D43" s="270"/>
      <c r="E43" s="271"/>
      <c r="F43" s="101"/>
      <c r="G43" s="102"/>
      <c r="H43" s="103"/>
      <c r="I43" s="104"/>
      <c r="J43" s="100"/>
      <c r="K43" s="249"/>
      <c r="L43" s="250"/>
      <c r="M43" s="249">
        <f t="shared" si="1"/>
        <v>0</v>
      </c>
      <c r="N43" s="250"/>
      <c r="O43" s="1"/>
      <c r="P43" s="12"/>
      <c r="Q43" s="15"/>
      <c r="R43" s="15"/>
      <c r="S43" s="15"/>
      <c r="T43" s="13"/>
      <c r="U43" s="13"/>
      <c r="V43" s="13"/>
      <c r="W43" s="13"/>
      <c r="X43" s="1"/>
    </row>
    <row r="44" spans="1:24" s="3" customFormat="1" x14ac:dyDescent="0.25">
      <c r="A44" s="191">
        <v>45466</v>
      </c>
      <c r="B44" s="286"/>
      <c r="C44" s="287"/>
      <c r="D44" s="270"/>
      <c r="E44" s="271"/>
      <c r="F44" s="101"/>
      <c r="G44" s="102"/>
      <c r="H44" s="103"/>
      <c r="I44" s="104"/>
      <c r="J44" s="100"/>
      <c r="K44" s="249"/>
      <c r="L44" s="250"/>
      <c r="M44" s="249">
        <f t="shared" si="1"/>
        <v>0</v>
      </c>
      <c r="N44" s="250"/>
      <c r="O44" s="1"/>
      <c r="P44" s="12"/>
      <c r="Q44" s="15"/>
      <c r="R44" s="15"/>
      <c r="S44" s="15"/>
      <c r="T44" s="13"/>
      <c r="U44" s="13"/>
      <c r="V44" s="13"/>
      <c r="W44" s="13"/>
      <c r="X44" s="1"/>
    </row>
    <row r="45" spans="1:24" s="3" customFormat="1" x14ac:dyDescent="0.25">
      <c r="A45" s="191">
        <v>45467</v>
      </c>
      <c r="B45" s="286"/>
      <c r="C45" s="287"/>
      <c r="D45" s="156"/>
      <c r="E45" s="157"/>
      <c r="F45" s="152"/>
      <c r="G45" s="153"/>
      <c r="H45" s="154"/>
      <c r="I45" s="155"/>
      <c r="J45" s="100"/>
      <c r="K45" s="150"/>
      <c r="L45" s="151"/>
      <c r="M45" s="171"/>
      <c r="N45" s="172"/>
      <c r="O45" s="1"/>
      <c r="P45" s="12"/>
      <c r="Q45" s="15"/>
      <c r="R45" s="15"/>
      <c r="S45" s="15"/>
      <c r="T45" s="13"/>
      <c r="U45" s="13"/>
      <c r="V45" s="13"/>
      <c r="W45" s="13"/>
      <c r="X45" s="1"/>
    </row>
    <row r="46" spans="1:24" s="3" customFormat="1" x14ac:dyDescent="0.25">
      <c r="A46" s="191">
        <v>45468</v>
      </c>
      <c r="B46" s="286"/>
      <c r="C46" s="287"/>
      <c r="D46" s="156"/>
      <c r="E46" s="157"/>
      <c r="F46" s="152"/>
      <c r="G46" s="153"/>
      <c r="H46" s="154"/>
      <c r="I46" s="155"/>
      <c r="J46" s="100"/>
      <c r="K46" s="150"/>
      <c r="L46" s="151"/>
      <c r="M46" s="171"/>
      <c r="N46" s="172"/>
      <c r="O46" s="1"/>
      <c r="P46" s="12"/>
      <c r="Q46" s="15"/>
      <c r="R46" s="15"/>
      <c r="S46" s="15"/>
      <c r="T46" s="13"/>
      <c r="U46" s="13"/>
      <c r="V46" s="13"/>
      <c r="W46" s="13"/>
      <c r="X46" s="1"/>
    </row>
    <row r="47" spans="1:24" s="3" customFormat="1" x14ac:dyDescent="0.25">
      <c r="A47" s="191">
        <v>45469</v>
      </c>
      <c r="B47" s="286"/>
      <c r="C47" s="287"/>
      <c r="D47" s="156"/>
      <c r="E47" s="157"/>
      <c r="F47" s="152"/>
      <c r="G47" s="153"/>
      <c r="H47" s="154"/>
      <c r="I47" s="155"/>
      <c r="J47" s="100"/>
      <c r="K47" s="150"/>
      <c r="L47" s="151"/>
      <c r="M47" s="171"/>
      <c r="N47" s="172"/>
      <c r="O47" s="1"/>
      <c r="P47" s="12"/>
      <c r="Q47" s="15"/>
      <c r="R47" s="15"/>
      <c r="S47" s="15"/>
      <c r="T47" s="13"/>
      <c r="U47" s="13"/>
      <c r="V47" s="13"/>
      <c r="W47" s="13"/>
      <c r="X47" s="1"/>
    </row>
    <row r="48" spans="1:24" s="3" customFormat="1" x14ac:dyDescent="0.25">
      <c r="A48" s="191">
        <v>45470</v>
      </c>
      <c r="B48" s="286"/>
      <c r="C48" s="287"/>
      <c r="D48" s="156"/>
      <c r="E48" s="157"/>
      <c r="F48" s="152"/>
      <c r="G48" s="153"/>
      <c r="H48" s="154"/>
      <c r="I48" s="155"/>
      <c r="J48" s="100"/>
      <c r="K48" s="150"/>
      <c r="L48" s="151"/>
      <c r="M48" s="171"/>
      <c r="N48" s="172"/>
      <c r="O48" s="1"/>
      <c r="P48" s="12"/>
      <c r="Q48" s="15"/>
      <c r="R48" s="15"/>
      <c r="S48" s="15"/>
      <c r="T48" s="13"/>
      <c r="U48" s="13"/>
      <c r="V48" s="13"/>
      <c r="W48" s="13"/>
      <c r="X48" s="1"/>
    </row>
    <row r="49" spans="1:25" s="3" customFormat="1" x14ac:dyDescent="0.25">
      <c r="A49" s="191">
        <v>45471</v>
      </c>
      <c r="B49" s="286"/>
      <c r="C49" s="287"/>
      <c r="D49" s="156"/>
      <c r="E49" s="157"/>
      <c r="F49" s="152"/>
      <c r="G49" s="153"/>
      <c r="H49" s="154"/>
      <c r="I49" s="155"/>
      <c r="J49" s="100"/>
      <c r="K49" s="150"/>
      <c r="L49" s="151"/>
      <c r="M49" s="171"/>
      <c r="N49" s="172"/>
      <c r="O49" s="1"/>
      <c r="P49" s="12"/>
      <c r="Q49" s="15"/>
      <c r="R49" s="15"/>
      <c r="S49" s="15"/>
      <c r="T49" s="13"/>
      <c r="U49" s="13"/>
      <c r="V49" s="13"/>
      <c r="W49" s="13"/>
      <c r="X49" s="1"/>
    </row>
    <row r="50" spans="1:25" s="3" customFormat="1" x14ac:dyDescent="0.25">
      <c r="A50" s="191">
        <v>45472</v>
      </c>
      <c r="B50" s="286"/>
      <c r="C50" s="287"/>
      <c r="D50" s="156"/>
      <c r="E50" s="157"/>
      <c r="F50" s="152"/>
      <c r="G50" s="153"/>
      <c r="H50" s="154"/>
      <c r="I50" s="155"/>
      <c r="J50" s="100"/>
      <c r="K50" s="150"/>
      <c r="L50" s="151"/>
      <c r="M50" s="171"/>
      <c r="N50" s="172"/>
      <c r="O50" s="1"/>
      <c r="P50" s="12"/>
      <c r="Q50" s="15"/>
      <c r="R50" s="15"/>
      <c r="S50" s="15"/>
      <c r="T50" s="13"/>
      <c r="U50" s="13"/>
      <c r="V50" s="13"/>
      <c r="W50" s="13"/>
      <c r="X50" s="1"/>
    </row>
    <row r="51" spans="1:25" s="3" customFormat="1" x14ac:dyDescent="0.25">
      <c r="A51" s="191">
        <v>45473</v>
      </c>
      <c r="B51" s="286"/>
      <c r="C51" s="287"/>
      <c r="D51" s="156"/>
      <c r="E51" s="157"/>
      <c r="F51" s="152"/>
      <c r="G51" s="153"/>
      <c r="H51" s="154"/>
      <c r="I51" s="155"/>
      <c r="J51" s="100"/>
      <c r="K51" s="150"/>
      <c r="L51" s="151"/>
      <c r="M51" s="171"/>
      <c r="N51" s="172"/>
      <c r="O51" s="1"/>
      <c r="P51" s="12"/>
      <c r="Q51" s="15"/>
      <c r="R51" s="15"/>
      <c r="S51" s="15"/>
      <c r="T51" s="13"/>
      <c r="U51" s="13"/>
      <c r="V51" s="13"/>
      <c r="W51" s="13"/>
      <c r="X51" s="1"/>
    </row>
    <row r="52" spans="1:25" s="3" customFormat="1" ht="15.75" x14ac:dyDescent="0.25">
      <c r="A52" s="231" t="s">
        <v>21</v>
      </c>
      <c r="B52" s="232"/>
      <c r="C52" s="233"/>
      <c r="D52" s="278">
        <f>+COUNTA(D17:E51)</f>
        <v>0</v>
      </c>
      <c r="E52" s="279"/>
      <c r="F52" s="280">
        <f>+COUNTA(F17:G51)</f>
        <v>0</v>
      </c>
      <c r="G52" s="281"/>
      <c r="H52" s="282">
        <f>SUM(H17:I51)</f>
        <v>0</v>
      </c>
      <c r="I52" s="282"/>
      <c r="J52" s="107"/>
      <c r="K52" s="283"/>
      <c r="L52" s="283"/>
      <c r="M52" s="284">
        <f>+SUM(M17:O51)</f>
        <v>0</v>
      </c>
      <c r="N52" s="285"/>
      <c r="P52" s="12"/>
      <c r="Q52" s="12"/>
      <c r="R52" s="12"/>
      <c r="S52" s="12"/>
      <c r="T52" s="13"/>
      <c r="U52" s="13"/>
      <c r="V52" s="13"/>
      <c r="W52" s="13"/>
      <c r="X52" s="1"/>
    </row>
    <row r="53" spans="1:25" s="3" customFormat="1" x14ac:dyDescent="0.25">
      <c r="A53" s="12"/>
      <c r="B53" s="12"/>
      <c r="C53" s="12"/>
      <c r="D53" s="272" t="s">
        <v>65</v>
      </c>
      <c r="E53" s="273"/>
      <c r="F53" s="274" t="s">
        <v>24</v>
      </c>
      <c r="G53" s="274"/>
      <c r="H53" s="275" t="s">
        <v>62</v>
      </c>
      <c r="I53" s="275"/>
      <c r="K53" s="12"/>
      <c r="L53" s="12"/>
      <c r="M53" s="276" t="s">
        <v>66</v>
      </c>
      <c r="N53" s="277"/>
      <c r="O53" s="12"/>
      <c r="P53" s="12"/>
      <c r="Q53" s="12"/>
      <c r="R53" s="12"/>
      <c r="S53" s="12"/>
      <c r="T53" s="13"/>
      <c r="U53" s="13"/>
      <c r="V53" s="13"/>
      <c r="W53" s="13"/>
      <c r="X53" s="1"/>
    </row>
    <row r="54" spans="1:25" s="3" customFormat="1" x14ac:dyDescent="0.25">
      <c r="K54" s="12"/>
      <c r="L54" s="12"/>
      <c r="M54" s="12"/>
      <c r="N54" s="12"/>
      <c r="O54" s="12"/>
      <c r="P54" s="12"/>
      <c r="U54" s="1"/>
      <c r="V54" s="1"/>
      <c r="W54" s="1"/>
      <c r="X54" s="1"/>
      <c r="Y54" s="1"/>
    </row>
    <row r="55" spans="1:25" s="3" customFormat="1" x14ac:dyDescent="0.25">
      <c r="A55" s="28" t="s">
        <v>23</v>
      </c>
      <c r="J55" s="28" t="s">
        <v>27</v>
      </c>
      <c r="N55" s="39"/>
      <c r="P55" s="12"/>
      <c r="U55" s="1"/>
      <c r="V55" s="1"/>
      <c r="W55" s="1"/>
      <c r="X55" s="1"/>
      <c r="Y55" s="1"/>
    </row>
    <row r="56" spans="1:25" s="3" customFormat="1" x14ac:dyDescent="0.25">
      <c r="J56" s="28" t="s">
        <v>31</v>
      </c>
      <c r="N56" s="39"/>
      <c r="P56" s="12"/>
      <c r="U56" s="1"/>
      <c r="V56" s="1"/>
      <c r="W56" s="1"/>
      <c r="X56" s="1"/>
      <c r="Y56" s="1"/>
    </row>
    <row r="57" spans="1:25" s="3" customFormat="1" x14ac:dyDescent="0.25">
      <c r="A57" s="29" t="s">
        <v>20</v>
      </c>
      <c r="B57" s="30"/>
      <c r="C57" s="29"/>
      <c r="D57" s="29"/>
      <c r="E57" s="16"/>
      <c r="H57" s="18"/>
      <c r="P57" s="12"/>
      <c r="U57" s="1"/>
      <c r="V57" s="1"/>
      <c r="W57" s="1"/>
      <c r="X57" s="1"/>
      <c r="Y57" s="1"/>
    </row>
    <row r="58" spans="1:25" s="3" customFormat="1" x14ac:dyDescent="0.25">
      <c r="A58" s="29" t="s">
        <v>7</v>
      </c>
      <c r="B58" s="30"/>
      <c r="C58" s="31">
        <f ca="1">TODAY()</f>
        <v>45320</v>
      </c>
      <c r="D58" s="29"/>
      <c r="E58" s="16"/>
      <c r="J58" s="28" t="s">
        <v>22</v>
      </c>
      <c r="P58" s="12"/>
      <c r="U58" s="1"/>
      <c r="V58" s="1"/>
      <c r="W58" s="1"/>
      <c r="X58" s="1"/>
      <c r="Y58" s="1"/>
    </row>
    <row r="59" spans="1:25" s="3" customFormat="1" x14ac:dyDescent="0.25">
      <c r="A59" s="28"/>
      <c r="B59" s="240"/>
      <c r="C59" s="240"/>
      <c r="D59" s="240"/>
      <c r="E59" s="240"/>
      <c r="F59" s="240"/>
      <c r="J59" s="240" t="s">
        <v>48</v>
      </c>
      <c r="K59" s="240"/>
      <c r="L59" s="240"/>
      <c r="M59" s="240"/>
      <c r="N59" s="240"/>
      <c r="U59" s="1"/>
      <c r="V59" s="1"/>
      <c r="W59" s="1"/>
      <c r="X59" s="1"/>
      <c r="Y59" s="1"/>
    </row>
    <row r="60" spans="1:25" s="3" customFormat="1" x14ac:dyDescent="0.25">
      <c r="B60" s="240"/>
      <c r="C60" s="240"/>
      <c r="D60" s="240"/>
      <c r="E60" s="240"/>
      <c r="F60" s="240"/>
      <c r="J60" s="240"/>
      <c r="K60" s="240"/>
      <c r="L60" s="240"/>
      <c r="M60" s="240"/>
      <c r="N60" s="240"/>
      <c r="U60" s="1"/>
      <c r="V60" s="1"/>
      <c r="W60" s="1"/>
      <c r="X60" s="1"/>
      <c r="Y60" s="1"/>
    </row>
    <row r="61" spans="1:25" s="3" customFormat="1" x14ac:dyDescent="0.25">
      <c r="B61" s="240"/>
      <c r="C61" s="240"/>
      <c r="D61" s="240"/>
      <c r="E61" s="240"/>
      <c r="F61" s="240"/>
      <c r="J61" s="240"/>
      <c r="K61" s="240"/>
      <c r="L61" s="240"/>
      <c r="M61" s="240"/>
      <c r="N61" s="240"/>
      <c r="U61" s="1"/>
      <c r="V61" s="1"/>
      <c r="W61" s="1"/>
      <c r="X61" s="1"/>
      <c r="Y61" s="1"/>
    </row>
    <row r="62" spans="1:25" s="3" customFormat="1" x14ac:dyDescent="0.25">
      <c r="B62" s="240"/>
      <c r="C62" s="240"/>
      <c r="D62" s="240"/>
      <c r="E62" s="240"/>
      <c r="F62" s="240"/>
      <c r="J62" s="240"/>
      <c r="K62" s="240"/>
      <c r="L62" s="240"/>
      <c r="M62" s="240"/>
      <c r="N62" s="240"/>
      <c r="U62" s="1"/>
      <c r="V62" s="1"/>
      <c r="W62" s="1"/>
      <c r="X62" s="1"/>
      <c r="Y62" s="1"/>
    </row>
    <row r="63" spans="1:25" s="3" customFormat="1" x14ac:dyDescent="0.25">
      <c r="B63" s="240"/>
      <c r="C63" s="240"/>
      <c r="D63" s="240"/>
      <c r="E63" s="240"/>
      <c r="F63" s="240"/>
      <c r="J63" s="240"/>
      <c r="K63" s="240"/>
      <c r="L63" s="240"/>
      <c r="M63" s="240"/>
      <c r="N63" s="240"/>
      <c r="U63" s="1"/>
      <c r="V63" s="1"/>
      <c r="W63" s="1"/>
      <c r="X63" s="1"/>
      <c r="Y63" s="1"/>
    </row>
    <row r="64" spans="1:25" s="3" customFormat="1" x14ac:dyDescent="0.25">
      <c r="B64" s="240"/>
      <c r="C64" s="240"/>
      <c r="D64" s="240"/>
      <c r="E64" s="240"/>
      <c r="F64" s="240"/>
      <c r="J64" s="240"/>
      <c r="K64" s="240"/>
      <c r="L64" s="240"/>
      <c r="M64" s="240"/>
      <c r="N64" s="240"/>
      <c r="U64" s="1"/>
      <c r="V64" s="1"/>
      <c r="W64" s="1"/>
      <c r="X64" s="1"/>
      <c r="Y64" s="1"/>
    </row>
    <row r="65" spans="1:25" s="3" customFormat="1" x14ac:dyDescent="0.25">
      <c r="A65" s="3" t="s">
        <v>46</v>
      </c>
      <c r="B65" s="23"/>
      <c r="J65" s="3" t="s">
        <v>39</v>
      </c>
      <c r="U65" s="1"/>
      <c r="V65" s="1"/>
      <c r="W65" s="1"/>
      <c r="X65" s="1"/>
      <c r="Y65" s="1"/>
    </row>
    <row r="66" spans="1:25" s="3" customFormat="1" x14ac:dyDescent="0.25">
      <c r="B66" s="23"/>
      <c r="U66" s="1"/>
      <c r="V66" s="1"/>
      <c r="W66" s="1"/>
      <c r="X66" s="1"/>
      <c r="Y66" s="1"/>
    </row>
    <row r="67" spans="1:25" s="3" customFormat="1" x14ac:dyDescent="0.25">
      <c r="B67" s="23"/>
      <c r="U67" s="1"/>
      <c r="V67" s="1"/>
      <c r="W67" s="1"/>
      <c r="X67" s="1"/>
      <c r="Y67" s="1"/>
    </row>
    <row r="68" spans="1:25" s="3" customFormat="1" x14ac:dyDescent="0.25">
      <c r="A68" s="29"/>
      <c r="B68" s="23"/>
      <c r="D68" s="29"/>
      <c r="U68" s="1"/>
      <c r="V68" s="1"/>
      <c r="W68" s="1"/>
      <c r="X68" s="1"/>
      <c r="Y68" s="1"/>
    </row>
    <row r="69" spans="1:25" s="3" customFormat="1" x14ac:dyDescent="0.25">
      <c r="U69" s="1"/>
      <c r="V69" s="1"/>
      <c r="W69" s="1"/>
      <c r="X69" s="1"/>
      <c r="Y69" s="1"/>
    </row>
    <row r="70" spans="1:25" s="3" customFormat="1" x14ac:dyDescent="0.25">
      <c r="B70" s="23"/>
      <c r="U70" s="1"/>
      <c r="V70" s="1"/>
      <c r="W70" s="1"/>
      <c r="X70" s="1"/>
      <c r="Y70" s="1"/>
    </row>
    <row r="71" spans="1:25" s="3" customFormat="1" x14ac:dyDescent="0.25">
      <c r="B71" s="23"/>
      <c r="U71" s="1"/>
      <c r="V71" s="1"/>
      <c r="W71" s="1"/>
      <c r="X71" s="1"/>
      <c r="Y71" s="1"/>
    </row>
    <row r="72" spans="1:25" s="3" customFormat="1" x14ac:dyDescent="0.25">
      <c r="B72" s="23"/>
      <c r="U72" s="1"/>
      <c r="V72" s="1"/>
      <c r="W72" s="1"/>
      <c r="X72" s="1"/>
      <c r="Y72" s="1"/>
    </row>
    <row r="73" spans="1:25" s="3" customFormat="1" x14ac:dyDescent="0.25">
      <c r="B73" s="23"/>
      <c r="U73" s="1"/>
      <c r="V73" s="1"/>
      <c r="W73" s="1"/>
      <c r="X73" s="1"/>
      <c r="Y73" s="1"/>
    </row>
    <row r="74" spans="1:25" s="3" customFormat="1" x14ac:dyDescent="0.25">
      <c r="B74" s="23"/>
      <c r="U74" s="1"/>
      <c r="V74" s="1"/>
      <c r="W74" s="1"/>
      <c r="X74" s="1"/>
      <c r="Y74" s="1"/>
    </row>
    <row r="75" spans="1:25" s="3" customFormat="1" x14ac:dyDescent="0.25">
      <c r="B75" s="23"/>
      <c r="U75" s="1"/>
      <c r="V75" s="1"/>
      <c r="W75" s="1"/>
      <c r="X75" s="1"/>
      <c r="Y75" s="1"/>
    </row>
    <row r="76" spans="1:25" s="3" customFormat="1" x14ac:dyDescent="0.25">
      <c r="B76" s="23"/>
      <c r="U76" s="1"/>
      <c r="V76" s="1"/>
      <c r="W76" s="1"/>
      <c r="X76" s="1"/>
      <c r="Y76" s="1"/>
    </row>
    <row r="77" spans="1:25" s="3" customFormat="1" x14ac:dyDescent="0.25">
      <c r="B77" s="23"/>
      <c r="U77" s="1"/>
      <c r="V77" s="1"/>
      <c r="W77" s="1"/>
      <c r="X77" s="1"/>
      <c r="Y77" s="1"/>
    </row>
    <row r="78" spans="1:25" s="3" customFormat="1" x14ac:dyDescent="0.25">
      <c r="B78" s="23"/>
      <c r="U78" s="1"/>
      <c r="V78" s="1"/>
      <c r="W78" s="1"/>
      <c r="X78" s="1"/>
      <c r="Y78" s="1"/>
    </row>
    <row r="79" spans="1:25" s="3" customFormat="1" x14ac:dyDescent="0.25">
      <c r="B79" s="23"/>
      <c r="U79" s="1"/>
      <c r="V79" s="1"/>
      <c r="W79" s="1"/>
      <c r="X79" s="1"/>
      <c r="Y79" s="1"/>
    </row>
    <row r="80" spans="1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2:25" s="3" customFormat="1" x14ac:dyDescent="0.25">
      <c r="B225" s="23"/>
      <c r="U225" s="1"/>
      <c r="V225" s="1"/>
      <c r="W225" s="1"/>
      <c r="X225" s="1"/>
      <c r="Y225" s="1"/>
    </row>
    <row r="226" spans="2:25" s="3" customFormat="1" x14ac:dyDescent="0.25">
      <c r="B226" s="23"/>
      <c r="U226" s="1"/>
      <c r="V226" s="1"/>
      <c r="W226" s="1"/>
      <c r="X226" s="1"/>
      <c r="Y226" s="1"/>
    </row>
    <row r="227" spans="2:25" s="3" customFormat="1" x14ac:dyDescent="0.25">
      <c r="B227" s="23"/>
      <c r="U227" s="1"/>
      <c r="V227" s="1"/>
      <c r="W227" s="1"/>
      <c r="X227" s="1"/>
      <c r="Y227" s="1"/>
    </row>
    <row r="228" spans="2:25" s="3" customFormat="1" x14ac:dyDescent="0.25">
      <c r="B228" s="23"/>
      <c r="U228" s="1"/>
      <c r="V228" s="1"/>
      <c r="W228" s="1"/>
      <c r="X228" s="1"/>
      <c r="Y228" s="1"/>
    </row>
    <row r="229" spans="2:25" s="3" customFormat="1" x14ac:dyDescent="0.25">
      <c r="B229" s="23"/>
      <c r="U229" s="1"/>
      <c r="V229" s="1"/>
      <c r="W229" s="1"/>
      <c r="X229" s="1"/>
      <c r="Y229" s="1"/>
    </row>
    <row r="230" spans="2:25" s="3" customFormat="1" x14ac:dyDescent="0.25">
      <c r="B230" s="23"/>
      <c r="U230" s="1"/>
      <c r="V230" s="1"/>
      <c r="W230" s="1"/>
      <c r="X230" s="1"/>
      <c r="Y230" s="1"/>
    </row>
    <row r="231" spans="2:25" s="3" customFormat="1" x14ac:dyDescent="0.25">
      <c r="B231" s="23"/>
      <c r="U231" s="1"/>
      <c r="V231" s="1"/>
      <c r="W231" s="1"/>
      <c r="X231" s="1"/>
      <c r="Y231" s="1"/>
    </row>
    <row r="232" spans="2:25" s="3" customFormat="1" x14ac:dyDescent="0.25">
      <c r="B232" s="23"/>
      <c r="U232" s="1"/>
      <c r="V232" s="1"/>
      <c r="W232" s="1"/>
      <c r="X232" s="1"/>
      <c r="Y232" s="1"/>
    </row>
    <row r="233" spans="2:25" s="3" customFormat="1" x14ac:dyDescent="0.25">
      <c r="B233" s="23"/>
      <c r="U233" s="1"/>
      <c r="V233" s="1"/>
      <c r="W233" s="1"/>
      <c r="X233" s="1"/>
      <c r="Y233" s="1"/>
    </row>
    <row r="234" spans="2:25" s="3" customFormat="1" x14ac:dyDescent="0.25">
      <c r="B234" s="23"/>
      <c r="U234" s="1"/>
      <c r="V234" s="1"/>
      <c r="W234" s="1"/>
      <c r="X234" s="1"/>
      <c r="Y234" s="1"/>
    </row>
    <row r="235" spans="2:25" s="3" customFormat="1" x14ac:dyDescent="0.25">
      <c r="B235" s="23"/>
      <c r="U235" s="1"/>
      <c r="V235" s="1"/>
      <c r="W235" s="1"/>
      <c r="X235" s="1"/>
      <c r="Y235" s="1"/>
    </row>
    <row r="236" spans="2:25" s="3" customFormat="1" x14ac:dyDescent="0.25">
      <c r="B236" s="23"/>
      <c r="U236" s="1"/>
      <c r="V236" s="1"/>
      <c r="W236" s="1"/>
      <c r="X236" s="1"/>
      <c r="Y236" s="1"/>
    </row>
    <row r="237" spans="2:25" s="3" customFormat="1" x14ac:dyDescent="0.25">
      <c r="B237" s="23"/>
      <c r="U237" s="1"/>
      <c r="V237" s="1"/>
      <c r="W237" s="1"/>
      <c r="X237" s="1"/>
      <c r="Y237" s="1"/>
    </row>
    <row r="238" spans="2:25" s="3" customFormat="1" x14ac:dyDescent="0.25">
      <c r="B238" s="23"/>
      <c r="U238" s="1"/>
      <c r="V238" s="1"/>
      <c r="W238" s="1"/>
      <c r="X238" s="1"/>
      <c r="Y238" s="1"/>
    </row>
    <row r="239" spans="2:25" s="3" customFormat="1" x14ac:dyDescent="0.25">
      <c r="B239" s="23"/>
      <c r="U239" s="1"/>
      <c r="V239" s="1"/>
      <c r="W239" s="1"/>
      <c r="X239" s="1"/>
      <c r="Y239" s="1"/>
    </row>
    <row r="240" spans="2:25" s="3" customFormat="1" x14ac:dyDescent="0.25">
      <c r="B240" s="23"/>
      <c r="U240" s="1"/>
      <c r="V240" s="1"/>
      <c r="W240" s="1"/>
      <c r="X240" s="1"/>
      <c r="Y240" s="1"/>
    </row>
    <row r="241" spans="1:25" s="3" customFormat="1" x14ac:dyDescent="0.25">
      <c r="B241" s="23"/>
      <c r="U241" s="1"/>
      <c r="V241" s="1"/>
      <c r="W241" s="1"/>
      <c r="X241" s="1"/>
      <c r="Y241" s="1"/>
    </row>
    <row r="242" spans="1:25" s="3" customFormat="1" x14ac:dyDescent="0.25">
      <c r="B242" s="23"/>
      <c r="K242" s="6"/>
      <c r="L242" s="6"/>
      <c r="M242" s="6"/>
      <c r="N242" s="6"/>
      <c r="U242" s="1"/>
      <c r="V242" s="1"/>
      <c r="W242" s="1"/>
      <c r="X242" s="1"/>
      <c r="Y242" s="1"/>
    </row>
    <row r="243" spans="1:25" s="3" customFormat="1" x14ac:dyDescent="0.25">
      <c r="B243" s="23"/>
      <c r="K243" s="6"/>
      <c r="L243" s="6"/>
      <c r="M243" s="6"/>
      <c r="N243" s="6"/>
      <c r="U243" s="1"/>
      <c r="V243" s="1"/>
      <c r="W243" s="1"/>
      <c r="X243" s="1"/>
      <c r="Y243" s="1"/>
    </row>
    <row r="244" spans="1:25" s="3" customFormat="1" x14ac:dyDescent="0.25">
      <c r="B244" s="23"/>
      <c r="K244" s="6"/>
      <c r="L244" s="6"/>
      <c r="M244" s="6"/>
      <c r="N244" s="6"/>
      <c r="U244" s="1"/>
      <c r="V244" s="1"/>
      <c r="W244" s="1"/>
      <c r="X244" s="1"/>
      <c r="Y244" s="1"/>
    </row>
    <row r="245" spans="1:25" s="3" customFormat="1" x14ac:dyDescent="0.25">
      <c r="B245" s="23"/>
      <c r="J245" s="6"/>
      <c r="K245" s="6"/>
      <c r="L245" s="6"/>
      <c r="M245" s="6"/>
      <c r="N245" s="6"/>
      <c r="U245" s="1"/>
      <c r="V245" s="1"/>
      <c r="W245" s="1"/>
      <c r="X245" s="1"/>
      <c r="Y245" s="1"/>
    </row>
    <row r="246" spans="1:25" s="3" customFormat="1" x14ac:dyDescent="0.25">
      <c r="B246" s="23"/>
      <c r="J246" s="6"/>
      <c r="K246" s="6"/>
      <c r="L246" s="6"/>
      <c r="M246" s="6"/>
      <c r="N246" s="6"/>
      <c r="U246" s="1"/>
      <c r="V246" s="1"/>
      <c r="W246" s="1"/>
      <c r="X246" s="1"/>
      <c r="Y246" s="1"/>
    </row>
    <row r="247" spans="1:25" s="3" customFormat="1" x14ac:dyDescent="0.25">
      <c r="B247" s="23"/>
      <c r="J247" s="6"/>
      <c r="K247" s="6"/>
      <c r="L247" s="6"/>
      <c r="M247" s="6"/>
      <c r="N247" s="6"/>
      <c r="U247" s="1"/>
      <c r="V247" s="1"/>
      <c r="W247" s="1"/>
      <c r="X247" s="1"/>
      <c r="Y247" s="1"/>
    </row>
    <row r="248" spans="1:25" s="3" customFormat="1" x14ac:dyDescent="0.25">
      <c r="B248" s="23"/>
      <c r="J248" s="6"/>
      <c r="K248" s="6"/>
      <c r="L248" s="6"/>
      <c r="M248" s="6"/>
      <c r="N248" s="6"/>
      <c r="U248" s="1"/>
      <c r="V248" s="1"/>
      <c r="W248" s="1"/>
      <c r="X248" s="1"/>
      <c r="Y248" s="1"/>
    </row>
    <row r="249" spans="1:25" s="3" customFormat="1" x14ac:dyDescent="0.25">
      <c r="B249" s="23"/>
      <c r="J249" s="6"/>
      <c r="K249" s="6"/>
      <c r="L249" s="6"/>
      <c r="M249" s="6"/>
      <c r="N249" s="6"/>
      <c r="O249" s="6"/>
      <c r="U249" s="1"/>
      <c r="V249" s="1"/>
      <c r="W249" s="1"/>
      <c r="X249" s="1"/>
      <c r="Y249" s="1"/>
    </row>
    <row r="250" spans="1:25" s="3" customFormat="1" x14ac:dyDescent="0.25">
      <c r="B250" s="23"/>
      <c r="J250" s="6"/>
      <c r="K250" s="6"/>
      <c r="L250" s="6"/>
      <c r="M250" s="6"/>
      <c r="N250" s="6"/>
      <c r="O250" s="6"/>
      <c r="U250" s="1"/>
      <c r="V250" s="1"/>
      <c r="W250" s="1"/>
      <c r="X250" s="1"/>
      <c r="Y250" s="1"/>
    </row>
    <row r="251" spans="1:25" s="3" customFormat="1" x14ac:dyDescent="0.25">
      <c r="A251" s="6"/>
      <c r="B251" s="25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Q251" s="6"/>
      <c r="R251" s="6"/>
      <c r="S251" s="6"/>
      <c r="U251" s="1"/>
      <c r="V251" s="1"/>
      <c r="W251" s="1"/>
      <c r="X251" s="1"/>
      <c r="Y251" s="1"/>
    </row>
  </sheetData>
  <sheetProtection sheet="1" objects="1" scenarios="1"/>
  <mergeCells count="179">
    <mergeCell ref="A45:C45"/>
    <mergeCell ref="A46:C46"/>
    <mergeCell ref="A47:C47"/>
    <mergeCell ref="A48:C48"/>
    <mergeCell ref="A49:C49"/>
    <mergeCell ref="A50:C50"/>
    <mergeCell ref="A51:C51"/>
    <mergeCell ref="M40:N40"/>
    <mergeCell ref="M41:N41"/>
    <mergeCell ref="M42:N42"/>
    <mergeCell ref="M43:N43"/>
    <mergeCell ref="M44:N44"/>
    <mergeCell ref="K41:L41"/>
    <mergeCell ref="A42:C42"/>
    <mergeCell ref="D42:E42"/>
    <mergeCell ref="K42:L42"/>
    <mergeCell ref="A43:C43"/>
    <mergeCell ref="D43:E43"/>
    <mergeCell ref="K43:L43"/>
    <mergeCell ref="A44:C44"/>
    <mergeCell ref="D44:E44"/>
    <mergeCell ref="K44:L44"/>
    <mergeCell ref="A41:C41"/>
    <mergeCell ref="D41:E41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K18:L18"/>
    <mergeCell ref="M18:N18"/>
    <mergeCell ref="D17:E17"/>
    <mergeCell ref="F17:G17"/>
    <mergeCell ref="H17:I17"/>
    <mergeCell ref="K17:L17"/>
    <mergeCell ref="M17:N17"/>
    <mergeCell ref="A17:C17"/>
    <mergeCell ref="A18:C18"/>
    <mergeCell ref="M20:N20"/>
    <mergeCell ref="R3:T3"/>
    <mergeCell ref="B5:K5"/>
    <mergeCell ref="L5:N5"/>
    <mergeCell ref="R5:T5"/>
    <mergeCell ref="K13:L13"/>
    <mergeCell ref="F15:N15"/>
    <mergeCell ref="A16:C16"/>
    <mergeCell ref="D16:E16"/>
    <mergeCell ref="F16:G16"/>
    <mergeCell ref="H16:I16"/>
    <mergeCell ref="K16:L16"/>
    <mergeCell ref="M16:N16"/>
    <mergeCell ref="C8:F8"/>
    <mergeCell ref="K8:N8"/>
    <mergeCell ref="C10:F10"/>
    <mergeCell ref="K10:N10"/>
    <mergeCell ref="C12:F12"/>
    <mergeCell ref="K12:L12"/>
    <mergeCell ref="D2:K4"/>
    <mergeCell ref="L2:N4"/>
    <mergeCell ref="D18:E18"/>
    <mergeCell ref="F18:G18"/>
    <mergeCell ref="H18:I18"/>
    <mergeCell ref="D23:E23"/>
    <mergeCell ref="F23:G23"/>
    <mergeCell ref="H23:I23"/>
    <mergeCell ref="K23:L23"/>
    <mergeCell ref="M23:N23"/>
    <mergeCell ref="D19:E19"/>
    <mergeCell ref="F19:G19"/>
    <mergeCell ref="H19:I19"/>
    <mergeCell ref="K19:L19"/>
    <mergeCell ref="M19:N19"/>
    <mergeCell ref="D22:E22"/>
    <mergeCell ref="F22:G22"/>
    <mergeCell ref="H22:I22"/>
    <mergeCell ref="K22:L22"/>
    <mergeCell ref="M22:N22"/>
    <mergeCell ref="D21:E21"/>
    <mergeCell ref="F21:G21"/>
    <mergeCell ref="H21:I21"/>
    <mergeCell ref="K21:L21"/>
    <mergeCell ref="M21:N21"/>
    <mergeCell ref="D20:E20"/>
    <mergeCell ref="F20:G20"/>
    <mergeCell ref="H20:I20"/>
    <mergeCell ref="K20:L20"/>
    <mergeCell ref="D25:E25"/>
    <mergeCell ref="F25:G25"/>
    <mergeCell ref="H25:I25"/>
    <mergeCell ref="K25:L25"/>
    <mergeCell ref="M25:N25"/>
    <mergeCell ref="D24:E24"/>
    <mergeCell ref="F24:G24"/>
    <mergeCell ref="H24:I24"/>
    <mergeCell ref="K24:L24"/>
    <mergeCell ref="M24:N24"/>
    <mergeCell ref="D27:E27"/>
    <mergeCell ref="F27:G27"/>
    <mergeCell ref="H27:I27"/>
    <mergeCell ref="K27:L27"/>
    <mergeCell ref="M27:N27"/>
    <mergeCell ref="A28:C28"/>
    <mergeCell ref="D26:E26"/>
    <mergeCell ref="F26:G26"/>
    <mergeCell ref="H26:I26"/>
    <mergeCell ref="K26:L26"/>
    <mergeCell ref="M26:N26"/>
    <mergeCell ref="M30:N30"/>
    <mergeCell ref="D29:E29"/>
    <mergeCell ref="F29:G29"/>
    <mergeCell ref="H29:I29"/>
    <mergeCell ref="K29:L29"/>
    <mergeCell ref="M29:N29"/>
    <mergeCell ref="A29:C29"/>
    <mergeCell ref="A30:C30"/>
    <mergeCell ref="D28:E28"/>
    <mergeCell ref="F28:G28"/>
    <mergeCell ref="H28:I28"/>
    <mergeCell ref="K28:L28"/>
    <mergeCell ref="M28:N28"/>
    <mergeCell ref="D31:E31"/>
    <mergeCell ref="K31:L31"/>
    <mergeCell ref="D32:E32"/>
    <mergeCell ref="K32:L32"/>
    <mergeCell ref="A31:C31"/>
    <mergeCell ref="A32:C32"/>
    <mergeCell ref="A33:C33"/>
    <mergeCell ref="A34:C34"/>
    <mergeCell ref="D30:E30"/>
    <mergeCell ref="F30:G30"/>
    <mergeCell ref="H30:I30"/>
    <mergeCell ref="K30:L30"/>
    <mergeCell ref="D35:E35"/>
    <mergeCell ref="K35:L35"/>
    <mergeCell ref="D36:E36"/>
    <mergeCell ref="K36:L36"/>
    <mergeCell ref="A35:C35"/>
    <mergeCell ref="A36:C36"/>
    <mergeCell ref="A37:C37"/>
    <mergeCell ref="D33:E33"/>
    <mergeCell ref="K33:L33"/>
    <mergeCell ref="D34:E34"/>
    <mergeCell ref="K34:L34"/>
    <mergeCell ref="D37:E37"/>
    <mergeCell ref="K37:L37"/>
    <mergeCell ref="A38:C38"/>
    <mergeCell ref="D38:E38"/>
    <mergeCell ref="K38:L38"/>
    <mergeCell ref="A39:C39"/>
    <mergeCell ref="D39:E39"/>
    <mergeCell ref="K39:L39"/>
    <mergeCell ref="A40:C40"/>
    <mergeCell ref="D40:E40"/>
    <mergeCell ref="K40:L40"/>
    <mergeCell ref="D53:E53"/>
    <mergeCell ref="F53:G53"/>
    <mergeCell ref="H53:I53"/>
    <mergeCell ref="M53:N53"/>
    <mergeCell ref="B59:F64"/>
    <mergeCell ref="J59:N64"/>
    <mergeCell ref="A52:C52"/>
    <mergeCell ref="D52:E52"/>
    <mergeCell ref="F52:G52"/>
    <mergeCell ref="H52:I52"/>
    <mergeCell ref="K52:L52"/>
    <mergeCell ref="M52:N52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</mergeCells>
  <conditionalFormatting sqref="D17:D37 D52">
    <cfRule type="expression" dxfId="55" priority="5">
      <formula>#REF!="Non"</formula>
    </cfRule>
    <cfRule type="expression" dxfId="54" priority="6">
      <formula>#REF!="Oui"</formula>
    </cfRule>
  </conditionalFormatting>
  <conditionalFormatting sqref="D38:D51">
    <cfRule type="expression" dxfId="53" priority="1">
      <formula>#REF!="Non"</formula>
    </cfRule>
    <cfRule type="expression" dxfId="52" priority="2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3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BD251"/>
  <sheetViews>
    <sheetView topLeftCell="A13" zoomScale="90" zoomScaleNormal="90" workbookViewId="0">
      <selection activeCell="T39" sqref="T39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2" style="6" customWidth="1"/>
    <col min="4" max="4" width="8.42578125" style="6" customWidth="1"/>
    <col min="5" max="5" width="6.42578125" style="6" customWidth="1"/>
    <col min="6" max="6" width="5.42578125" style="6" customWidth="1"/>
    <col min="7" max="7" width="8" style="6" customWidth="1"/>
    <col min="8" max="8" width="5.85546875" style="6" customWidth="1"/>
    <col min="9" max="9" width="10" style="6" customWidth="1"/>
    <col min="10" max="10" width="14.42578125" style="6" customWidth="1"/>
    <col min="11" max="12" width="8.140625" style="6" customWidth="1"/>
    <col min="13" max="13" width="8" style="6" customWidth="1"/>
    <col min="14" max="14" width="10.42578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69</v>
      </c>
      <c r="E2" s="195"/>
      <c r="F2" s="195"/>
      <c r="G2" s="195"/>
      <c r="H2" s="195"/>
      <c r="I2" s="195"/>
      <c r="J2" s="195"/>
      <c r="K2" s="195"/>
      <c r="L2" s="251">
        <f>'Niveau 1 Juillet'!L2:N4</f>
        <v>45474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6"/>
      <c r="Q3" s="4"/>
      <c r="R3" s="220"/>
      <c r="S3" s="220"/>
      <c r="T3" s="220"/>
      <c r="U3" s="36"/>
      <c r="V3" s="36"/>
      <c r="W3" s="36"/>
      <c r="X3" s="36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6"/>
      <c r="Q4" s="4"/>
      <c r="R4" s="36"/>
      <c r="S4" s="36"/>
      <c r="T4" s="36"/>
      <c r="U4" s="36"/>
      <c r="V4" s="36"/>
      <c r="W4" s="36"/>
      <c r="X4" s="36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f>+'Niveau 1 Juillet'!L5:N5</f>
        <v>45475</v>
      </c>
      <c r="M5" s="222"/>
      <c r="N5" s="222"/>
      <c r="O5" s="3"/>
      <c r="P5" s="36"/>
      <c r="Q5" s="5"/>
      <c r="R5" s="220"/>
      <c r="S5" s="220"/>
      <c r="T5" s="220"/>
      <c r="U5" s="36"/>
      <c r="V5" s="36"/>
      <c r="W5" s="36"/>
      <c r="X5" s="36"/>
      <c r="Y5" s="5"/>
    </row>
    <row r="6" spans="1:25" ht="19.5" customHeight="1" x14ac:dyDescent="0.35">
      <c r="A6" s="27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40"/>
      <c r="V6" s="40"/>
      <c r="W6" s="40"/>
      <c r="X6" s="40"/>
      <c r="Y6" s="5"/>
    </row>
    <row r="7" spans="1:25" ht="19.5" customHeight="1" thickBot="1" x14ac:dyDescent="0.4">
      <c r="A7" s="111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40"/>
      <c r="V7" s="40"/>
      <c r="W7" s="40"/>
      <c r="X7" s="40"/>
      <c r="Y7" s="5"/>
    </row>
    <row r="8" spans="1:25" ht="18" customHeight="1" thickBot="1" x14ac:dyDescent="0.3">
      <c r="A8" s="8" t="s">
        <v>2</v>
      </c>
      <c r="B8" s="24"/>
      <c r="C8" s="223"/>
      <c r="D8" s="224"/>
      <c r="E8" s="224"/>
      <c r="F8" s="225"/>
      <c r="G8" s="9"/>
      <c r="H8" s="8" t="s">
        <v>26</v>
      </c>
      <c r="I8" s="8"/>
      <c r="J8" s="8"/>
      <c r="K8" s="223"/>
      <c r="L8" s="224"/>
      <c r="M8" s="224"/>
      <c r="N8" s="225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223"/>
      <c r="D10" s="224"/>
      <c r="E10" s="224"/>
      <c r="F10" s="225"/>
      <c r="G10" s="9"/>
      <c r="H10" s="8" t="s">
        <v>25</v>
      </c>
      <c r="I10" s="8"/>
      <c r="J10" s="8"/>
      <c r="K10" s="223"/>
      <c r="L10" s="224"/>
      <c r="M10" s="224"/>
      <c r="N10" s="225"/>
      <c r="O10" s="26"/>
      <c r="P10" s="26"/>
      <c r="Q10" s="26"/>
      <c r="R10" s="26"/>
      <c r="S10" s="26"/>
      <c r="T10" s="26"/>
      <c r="U10" s="11"/>
    </row>
    <row r="11" spans="1:25" ht="18" customHeight="1" thickBot="1" x14ac:dyDescent="0.35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8" customHeight="1" thickBot="1" x14ac:dyDescent="0.35">
      <c r="A12" s="8" t="s">
        <v>49</v>
      </c>
      <c r="B12" s="24"/>
      <c r="C12" s="223" t="s">
        <v>50</v>
      </c>
      <c r="D12" s="224"/>
      <c r="E12" s="224"/>
      <c r="F12" s="225"/>
      <c r="G12" s="24"/>
      <c r="H12" s="8" t="s">
        <v>52</v>
      </c>
      <c r="I12" s="8"/>
      <c r="J12" s="24"/>
      <c r="K12" s="241"/>
      <c r="L12" s="242"/>
      <c r="M12" s="8" t="s">
        <v>59</v>
      </c>
      <c r="N12" s="24"/>
      <c r="O12" s="26"/>
      <c r="P12" s="26"/>
      <c r="Q12" s="26"/>
      <c r="R12" s="26"/>
      <c r="S12" s="26"/>
      <c r="T12" s="26"/>
      <c r="U12" s="11"/>
    </row>
    <row r="13" spans="1:25" ht="18" customHeight="1" thickBot="1" x14ac:dyDescent="0.35">
      <c r="A13" s="8"/>
      <c r="B13" s="24"/>
      <c r="C13" s="24"/>
      <c r="D13" s="24"/>
      <c r="E13" s="24"/>
      <c r="F13" s="24"/>
      <c r="G13" s="24"/>
      <c r="H13" s="8" t="s">
        <v>51</v>
      </c>
      <c r="I13" s="8"/>
      <c r="J13" s="24"/>
      <c r="K13" s="260"/>
      <c r="L13" s="261"/>
      <c r="M13" s="32" t="s">
        <v>60</v>
      </c>
      <c r="N13" s="24"/>
      <c r="O13" s="26"/>
      <c r="P13" s="26"/>
      <c r="Q13" s="26"/>
      <c r="R13" s="26"/>
      <c r="S13" s="26"/>
      <c r="T13" s="26"/>
      <c r="U13" s="11"/>
    </row>
    <row r="14" spans="1:25" ht="13.5" customHeight="1" thickBot="1" x14ac:dyDescent="0.35">
      <c r="A14" s="8" t="s">
        <v>70</v>
      </c>
      <c r="B14" s="24"/>
      <c r="C14" s="24"/>
      <c r="D14" s="24"/>
      <c r="E14" s="24"/>
      <c r="F14" s="24"/>
      <c r="G14" s="9"/>
      <c r="H14" s="8"/>
      <c r="I14" s="8"/>
      <c r="J14" s="8"/>
      <c r="K14" s="8"/>
      <c r="L14" s="8"/>
      <c r="M14" s="8"/>
      <c r="N14" s="8"/>
      <c r="O14" s="26"/>
      <c r="P14" s="26"/>
      <c r="Q14" s="26"/>
      <c r="R14" s="26"/>
      <c r="S14" s="26"/>
      <c r="T14" s="26"/>
      <c r="U14" s="11"/>
    </row>
    <row r="15" spans="1:25" ht="22.5" customHeight="1" thickBot="1" x14ac:dyDescent="0.35">
      <c r="A15" s="8"/>
      <c r="B15" s="24"/>
      <c r="C15" s="10"/>
      <c r="D15" s="10"/>
      <c r="E15" s="10"/>
      <c r="F15" s="262" t="s">
        <v>28</v>
      </c>
      <c r="G15" s="263"/>
      <c r="H15" s="263"/>
      <c r="I15" s="263"/>
      <c r="J15" s="263"/>
      <c r="K15" s="263"/>
      <c r="L15" s="263"/>
      <c r="M15" s="263"/>
      <c r="N15" s="264"/>
      <c r="O15" s="26"/>
      <c r="P15" s="26"/>
      <c r="Q15" s="26"/>
      <c r="R15" s="26"/>
      <c r="S15" s="26"/>
      <c r="T15" s="26"/>
      <c r="U15" s="11"/>
    </row>
    <row r="16" spans="1:25" s="19" customFormat="1" ht="54.75" customHeight="1" x14ac:dyDescent="0.25">
      <c r="A16" s="200" t="s">
        <v>1</v>
      </c>
      <c r="B16" s="201"/>
      <c r="C16" s="202"/>
      <c r="D16" s="203" t="s">
        <v>58</v>
      </c>
      <c r="E16" s="204"/>
      <c r="F16" s="265" t="s">
        <v>29</v>
      </c>
      <c r="G16" s="265"/>
      <c r="H16" s="266" t="s">
        <v>61</v>
      </c>
      <c r="I16" s="267"/>
      <c r="J16" s="37" t="s">
        <v>63</v>
      </c>
      <c r="K16" s="268" t="s">
        <v>64</v>
      </c>
      <c r="L16" s="269"/>
      <c r="M16" s="266" t="s">
        <v>30</v>
      </c>
      <c r="N16" s="267"/>
      <c r="O16" s="26"/>
      <c r="P16" s="26"/>
      <c r="Q16" s="26"/>
      <c r="R16" s="26"/>
      <c r="S16" s="26"/>
      <c r="T16" s="26"/>
      <c r="U16" s="20"/>
      <c r="V16" s="20"/>
      <c r="W16" s="20"/>
      <c r="X16" s="21"/>
    </row>
    <row r="17" spans="1:24" s="3" customFormat="1" ht="15.75" x14ac:dyDescent="0.25">
      <c r="A17" s="191">
        <v>45439</v>
      </c>
      <c r="B17" s="286"/>
      <c r="C17" s="287"/>
      <c r="D17" s="243"/>
      <c r="E17" s="243"/>
      <c r="F17" s="244"/>
      <c r="G17" s="245"/>
      <c r="H17" s="246"/>
      <c r="I17" s="247"/>
      <c r="J17" s="100"/>
      <c r="K17" s="248"/>
      <c r="L17" s="248"/>
      <c r="M17" s="249">
        <f t="shared" ref="M17" si="0">+K17-J17</f>
        <v>0</v>
      </c>
      <c r="N17" s="250"/>
      <c r="O17" s="26"/>
      <c r="P17" s="26"/>
      <c r="Q17" s="26"/>
      <c r="R17" s="26"/>
      <c r="S17" s="26"/>
      <c r="T17" s="26"/>
      <c r="U17" s="13"/>
      <c r="V17" s="13"/>
      <c r="W17" s="13"/>
      <c r="X17" s="1"/>
    </row>
    <row r="18" spans="1:24" s="3" customFormat="1" ht="15.75" x14ac:dyDescent="0.25">
      <c r="A18" s="191">
        <v>45440</v>
      </c>
      <c r="B18" s="286"/>
      <c r="C18" s="287"/>
      <c r="D18" s="243"/>
      <c r="E18" s="243"/>
      <c r="F18" s="244"/>
      <c r="G18" s="245"/>
      <c r="H18" s="246"/>
      <c r="I18" s="247"/>
      <c r="J18" s="100"/>
      <c r="K18" s="248"/>
      <c r="L18" s="248"/>
      <c r="M18" s="249">
        <f t="shared" ref="M18:M44" si="1">+K18-J18</f>
        <v>0</v>
      </c>
      <c r="N18" s="250"/>
      <c r="P18" s="26"/>
      <c r="Q18" s="26"/>
      <c r="R18" s="26"/>
      <c r="S18" s="26"/>
      <c r="T18" s="26"/>
      <c r="U18" s="13"/>
      <c r="V18" s="13"/>
      <c r="W18" s="13"/>
      <c r="X18" s="1"/>
    </row>
    <row r="19" spans="1:24" s="3" customFormat="1" ht="15.75" x14ac:dyDescent="0.25">
      <c r="A19" s="191">
        <v>45441</v>
      </c>
      <c r="B19" s="286"/>
      <c r="C19" s="287"/>
      <c r="D19" s="243"/>
      <c r="E19" s="243"/>
      <c r="F19" s="244"/>
      <c r="G19" s="245"/>
      <c r="H19" s="246"/>
      <c r="I19" s="247"/>
      <c r="J19" s="100"/>
      <c r="K19" s="248"/>
      <c r="L19" s="248"/>
      <c r="M19" s="249">
        <f t="shared" si="1"/>
        <v>0</v>
      </c>
      <c r="N19" s="250"/>
      <c r="P19" s="26"/>
      <c r="Q19" s="26"/>
      <c r="R19" s="26"/>
      <c r="S19" s="26"/>
      <c r="T19" s="26"/>
      <c r="U19" s="26"/>
      <c r="V19" s="13"/>
      <c r="W19" s="13"/>
      <c r="X19" s="1"/>
    </row>
    <row r="20" spans="1:24" s="3" customFormat="1" x14ac:dyDescent="0.25">
      <c r="A20" s="191">
        <v>45442</v>
      </c>
      <c r="B20" s="286"/>
      <c r="C20" s="287"/>
      <c r="D20" s="243"/>
      <c r="E20" s="243"/>
      <c r="F20" s="244"/>
      <c r="G20" s="245"/>
      <c r="H20" s="246"/>
      <c r="I20" s="247"/>
      <c r="J20" s="100"/>
      <c r="K20" s="248"/>
      <c r="L20" s="248"/>
      <c r="M20" s="249">
        <f t="shared" si="1"/>
        <v>0</v>
      </c>
      <c r="N20" s="250"/>
      <c r="P20" s="12"/>
      <c r="Q20" s="12"/>
      <c r="R20" s="12"/>
      <c r="S20" s="12"/>
      <c r="T20" s="13"/>
      <c r="U20" s="13"/>
      <c r="V20" s="13"/>
      <c r="W20" s="13"/>
      <c r="X20" s="1"/>
    </row>
    <row r="21" spans="1:24" s="3" customFormat="1" x14ac:dyDescent="0.25">
      <c r="A21" s="191">
        <v>45443</v>
      </c>
      <c r="B21" s="286"/>
      <c r="C21" s="287"/>
      <c r="D21" s="243"/>
      <c r="E21" s="243"/>
      <c r="F21" s="244"/>
      <c r="G21" s="245"/>
      <c r="H21" s="246"/>
      <c r="I21" s="247"/>
      <c r="J21" s="100"/>
      <c r="K21" s="248"/>
      <c r="L21" s="248"/>
      <c r="M21" s="249">
        <f t="shared" si="1"/>
        <v>0</v>
      </c>
      <c r="N21" s="250"/>
      <c r="P21" s="12"/>
      <c r="Q21" s="12"/>
      <c r="R21" s="12"/>
      <c r="S21" s="12"/>
      <c r="T21" s="13"/>
      <c r="U21" s="13"/>
      <c r="V21" s="13"/>
      <c r="W21" s="13"/>
      <c r="X21" s="1"/>
    </row>
    <row r="22" spans="1:24" s="3" customFormat="1" x14ac:dyDescent="0.25">
      <c r="A22" s="191">
        <v>45444</v>
      </c>
      <c r="B22" s="286"/>
      <c r="C22" s="287"/>
      <c r="D22" s="243"/>
      <c r="E22" s="243"/>
      <c r="F22" s="244"/>
      <c r="G22" s="245"/>
      <c r="H22" s="246"/>
      <c r="I22" s="247"/>
      <c r="J22" s="100"/>
      <c r="K22" s="248"/>
      <c r="L22" s="248"/>
      <c r="M22" s="249">
        <f t="shared" si="1"/>
        <v>0</v>
      </c>
      <c r="N22" s="250"/>
      <c r="P22" s="12"/>
      <c r="Q22" s="12"/>
      <c r="R22" s="12"/>
      <c r="S22" s="12"/>
      <c r="T22" s="13"/>
      <c r="U22" s="13"/>
      <c r="V22" s="13"/>
      <c r="W22" s="13"/>
      <c r="X22" s="1"/>
    </row>
    <row r="23" spans="1:24" s="3" customFormat="1" x14ac:dyDescent="0.25">
      <c r="A23" s="191">
        <v>45445</v>
      </c>
      <c r="B23" s="286"/>
      <c r="C23" s="287"/>
      <c r="D23" s="243"/>
      <c r="E23" s="243"/>
      <c r="F23" s="244"/>
      <c r="G23" s="245"/>
      <c r="H23" s="246"/>
      <c r="I23" s="247"/>
      <c r="J23" s="100"/>
      <c r="K23" s="248"/>
      <c r="L23" s="248"/>
      <c r="M23" s="249">
        <f t="shared" si="1"/>
        <v>0</v>
      </c>
      <c r="N23" s="250"/>
      <c r="P23" s="12"/>
      <c r="Q23" s="12"/>
      <c r="R23" s="12"/>
      <c r="S23" s="12"/>
      <c r="T23" s="13"/>
      <c r="U23" s="13"/>
      <c r="V23" s="13"/>
      <c r="W23" s="13"/>
      <c r="X23" s="1"/>
    </row>
    <row r="24" spans="1:24" s="3" customFormat="1" x14ac:dyDescent="0.25">
      <c r="A24" s="191">
        <v>45446</v>
      </c>
      <c r="B24" s="286"/>
      <c r="C24" s="287"/>
      <c r="D24" s="243"/>
      <c r="E24" s="243"/>
      <c r="F24" s="244"/>
      <c r="G24" s="245"/>
      <c r="H24" s="246"/>
      <c r="I24" s="247"/>
      <c r="J24" s="100"/>
      <c r="K24" s="248"/>
      <c r="L24" s="248"/>
      <c r="M24" s="249">
        <f t="shared" si="1"/>
        <v>0</v>
      </c>
      <c r="N24" s="250"/>
      <c r="P24" s="12"/>
      <c r="Q24" s="12"/>
      <c r="R24" s="12"/>
      <c r="S24" s="12"/>
      <c r="T24" s="13"/>
      <c r="U24" s="13"/>
      <c r="V24" s="13"/>
      <c r="W24" s="13"/>
      <c r="X24" s="1"/>
    </row>
    <row r="25" spans="1:24" s="3" customFormat="1" x14ac:dyDescent="0.25">
      <c r="A25" s="191">
        <v>45447</v>
      </c>
      <c r="B25" s="286"/>
      <c r="C25" s="287"/>
      <c r="D25" s="243"/>
      <c r="E25" s="243"/>
      <c r="F25" s="244"/>
      <c r="G25" s="245"/>
      <c r="H25" s="246"/>
      <c r="I25" s="247"/>
      <c r="J25" s="100"/>
      <c r="K25" s="248"/>
      <c r="L25" s="248"/>
      <c r="M25" s="249">
        <f t="shared" si="1"/>
        <v>0</v>
      </c>
      <c r="N25" s="250"/>
      <c r="P25" s="12"/>
      <c r="Q25" s="12"/>
      <c r="R25" s="12"/>
      <c r="S25" s="12"/>
      <c r="T25" s="13"/>
      <c r="U25" s="13"/>
      <c r="V25" s="13"/>
      <c r="W25" s="13"/>
      <c r="X25" s="1"/>
    </row>
    <row r="26" spans="1:24" s="3" customFormat="1" x14ac:dyDescent="0.25">
      <c r="A26" s="191">
        <v>45448</v>
      </c>
      <c r="B26" s="286"/>
      <c r="C26" s="287"/>
      <c r="D26" s="243"/>
      <c r="E26" s="243"/>
      <c r="F26" s="244"/>
      <c r="G26" s="245"/>
      <c r="H26" s="246"/>
      <c r="I26" s="247"/>
      <c r="J26" s="100"/>
      <c r="K26" s="248"/>
      <c r="L26" s="248"/>
      <c r="M26" s="249">
        <f t="shared" si="1"/>
        <v>0</v>
      </c>
      <c r="N26" s="250"/>
      <c r="P26" s="12"/>
      <c r="Q26" s="12"/>
      <c r="R26" s="12"/>
      <c r="S26" s="12"/>
      <c r="T26" s="13"/>
      <c r="U26" s="13"/>
      <c r="V26" s="13"/>
      <c r="W26" s="13"/>
      <c r="X26" s="1"/>
    </row>
    <row r="27" spans="1:24" s="3" customFormat="1" x14ac:dyDescent="0.25">
      <c r="A27" s="191">
        <v>45449</v>
      </c>
      <c r="B27" s="286"/>
      <c r="C27" s="287"/>
      <c r="D27" s="243"/>
      <c r="E27" s="243"/>
      <c r="F27" s="244"/>
      <c r="G27" s="245"/>
      <c r="H27" s="246"/>
      <c r="I27" s="247"/>
      <c r="J27" s="100"/>
      <c r="K27" s="248"/>
      <c r="L27" s="248"/>
      <c r="M27" s="249">
        <f t="shared" si="1"/>
        <v>0</v>
      </c>
      <c r="N27" s="250"/>
      <c r="P27" s="12"/>
      <c r="Q27" s="15"/>
      <c r="R27" s="15"/>
      <c r="S27" s="15"/>
      <c r="T27" s="13"/>
      <c r="U27" s="13"/>
      <c r="V27" s="13"/>
      <c r="W27" s="13"/>
      <c r="X27" s="1"/>
    </row>
    <row r="28" spans="1:24" s="3" customFormat="1" x14ac:dyDescent="0.25">
      <c r="A28" s="191">
        <v>45450</v>
      </c>
      <c r="B28" s="286"/>
      <c r="C28" s="287"/>
      <c r="D28" s="243"/>
      <c r="E28" s="243"/>
      <c r="F28" s="244"/>
      <c r="G28" s="245"/>
      <c r="H28" s="246"/>
      <c r="I28" s="247"/>
      <c r="J28" s="100"/>
      <c r="K28" s="248"/>
      <c r="L28" s="248"/>
      <c r="M28" s="249">
        <f t="shared" si="1"/>
        <v>0</v>
      </c>
      <c r="N28" s="250"/>
      <c r="P28" s="12"/>
      <c r="Q28" s="15"/>
      <c r="R28" s="15"/>
      <c r="S28" s="15"/>
      <c r="T28" s="13"/>
      <c r="U28" s="13"/>
      <c r="V28" s="13"/>
      <c r="W28" s="13"/>
      <c r="X28" s="1"/>
    </row>
    <row r="29" spans="1:24" s="3" customFormat="1" x14ac:dyDescent="0.25">
      <c r="A29" s="191">
        <v>45451</v>
      </c>
      <c r="B29" s="286"/>
      <c r="C29" s="287"/>
      <c r="D29" s="243"/>
      <c r="E29" s="243"/>
      <c r="F29" s="244"/>
      <c r="G29" s="245"/>
      <c r="H29" s="246"/>
      <c r="I29" s="247"/>
      <c r="J29" s="100"/>
      <c r="K29" s="248"/>
      <c r="L29" s="248"/>
      <c r="M29" s="249">
        <f t="shared" si="1"/>
        <v>0</v>
      </c>
      <c r="N29" s="250"/>
      <c r="P29" s="12"/>
      <c r="Q29" s="15"/>
      <c r="R29" s="15"/>
      <c r="S29" s="15"/>
      <c r="T29" s="13"/>
      <c r="U29" s="13"/>
      <c r="V29" s="13"/>
      <c r="W29" s="13"/>
      <c r="X29" s="1"/>
    </row>
    <row r="30" spans="1:24" s="3" customFormat="1" x14ac:dyDescent="0.25">
      <c r="A30" s="191">
        <v>45452</v>
      </c>
      <c r="B30" s="286"/>
      <c r="C30" s="287"/>
      <c r="D30" s="243"/>
      <c r="E30" s="243"/>
      <c r="F30" s="244"/>
      <c r="G30" s="245"/>
      <c r="H30" s="246"/>
      <c r="I30" s="247"/>
      <c r="J30" s="100"/>
      <c r="K30" s="248"/>
      <c r="L30" s="248"/>
      <c r="M30" s="249">
        <f t="shared" si="1"/>
        <v>0</v>
      </c>
      <c r="N30" s="250"/>
      <c r="O30" s="1"/>
      <c r="P30" s="12"/>
      <c r="Q30" s="15"/>
      <c r="R30" s="15"/>
      <c r="S30" s="15"/>
      <c r="T30" s="13"/>
      <c r="U30" s="13"/>
      <c r="V30" s="13"/>
      <c r="W30" s="13"/>
      <c r="X30" s="1"/>
    </row>
    <row r="31" spans="1:24" s="3" customFormat="1" x14ac:dyDescent="0.25">
      <c r="A31" s="191">
        <v>45453</v>
      </c>
      <c r="B31" s="286"/>
      <c r="C31" s="287"/>
      <c r="D31" s="270"/>
      <c r="E31" s="271"/>
      <c r="F31" s="101"/>
      <c r="G31" s="102"/>
      <c r="H31" s="103"/>
      <c r="I31" s="104"/>
      <c r="J31" s="100"/>
      <c r="K31" s="249"/>
      <c r="L31" s="250"/>
      <c r="M31" s="249">
        <f t="shared" si="1"/>
        <v>0</v>
      </c>
      <c r="N31" s="250"/>
      <c r="O31" s="1"/>
      <c r="P31" s="12"/>
      <c r="Q31" s="15"/>
      <c r="R31" s="15"/>
      <c r="S31" s="15"/>
      <c r="T31" s="13"/>
      <c r="U31" s="13"/>
      <c r="V31" s="13"/>
      <c r="W31" s="13"/>
      <c r="X31" s="1"/>
    </row>
    <row r="32" spans="1:24" s="3" customFormat="1" x14ac:dyDescent="0.25">
      <c r="A32" s="191">
        <v>45454</v>
      </c>
      <c r="B32" s="286"/>
      <c r="C32" s="287"/>
      <c r="D32" s="270"/>
      <c r="E32" s="271"/>
      <c r="F32" s="101"/>
      <c r="G32" s="102"/>
      <c r="H32" s="103"/>
      <c r="I32" s="104"/>
      <c r="J32" s="100"/>
      <c r="K32" s="249"/>
      <c r="L32" s="250"/>
      <c r="M32" s="249">
        <f t="shared" si="1"/>
        <v>0</v>
      </c>
      <c r="N32" s="250"/>
      <c r="O32" s="1"/>
      <c r="P32" s="12"/>
      <c r="Q32" s="15"/>
      <c r="R32" s="15"/>
      <c r="S32" s="15"/>
      <c r="T32" s="13"/>
      <c r="U32" s="13"/>
      <c r="V32" s="13"/>
      <c r="W32" s="13"/>
      <c r="X32" s="1"/>
    </row>
    <row r="33" spans="1:24" s="3" customFormat="1" x14ac:dyDescent="0.25">
      <c r="A33" s="191">
        <v>45455</v>
      </c>
      <c r="B33" s="286"/>
      <c r="C33" s="287"/>
      <c r="D33" s="270"/>
      <c r="E33" s="271"/>
      <c r="F33" s="101"/>
      <c r="G33" s="102"/>
      <c r="H33" s="103"/>
      <c r="I33" s="104"/>
      <c r="J33" s="100"/>
      <c r="K33" s="249"/>
      <c r="L33" s="250"/>
      <c r="M33" s="249">
        <f t="shared" si="1"/>
        <v>0</v>
      </c>
      <c r="N33" s="250"/>
      <c r="O33" s="1"/>
      <c r="P33" s="12"/>
      <c r="Q33" s="15"/>
      <c r="R33" s="15"/>
      <c r="S33" s="15"/>
      <c r="T33" s="13"/>
      <c r="U33" s="13"/>
      <c r="V33" s="13"/>
      <c r="W33" s="13"/>
      <c r="X33" s="1"/>
    </row>
    <row r="34" spans="1:24" s="3" customFormat="1" x14ac:dyDescent="0.25">
      <c r="A34" s="191">
        <v>45456</v>
      </c>
      <c r="B34" s="286"/>
      <c r="C34" s="287"/>
      <c r="D34" s="270"/>
      <c r="E34" s="271"/>
      <c r="F34" s="101"/>
      <c r="G34" s="102"/>
      <c r="H34" s="103"/>
      <c r="I34" s="104"/>
      <c r="J34" s="100"/>
      <c r="K34" s="249"/>
      <c r="L34" s="250"/>
      <c r="M34" s="249">
        <f t="shared" si="1"/>
        <v>0</v>
      </c>
      <c r="N34" s="250"/>
      <c r="O34" s="1"/>
      <c r="P34" s="12"/>
      <c r="Q34" s="15"/>
      <c r="R34" s="15"/>
      <c r="S34" s="15"/>
      <c r="T34" s="13"/>
      <c r="U34" s="13"/>
      <c r="V34" s="13"/>
      <c r="W34" s="13"/>
      <c r="X34" s="1"/>
    </row>
    <row r="35" spans="1:24" s="3" customFormat="1" x14ac:dyDescent="0.25">
      <c r="A35" s="191">
        <v>45457</v>
      </c>
      <c r="B35" s="286"/>
      <c r="C35" s="287"/>
      <c r="D35" s="270"/>
      <c r="E35" s="271"/>
      <c r="F35" s="101"/>
      <c r="G35" s="102"/>
      <c r="H35" s="103"/>
      <c r="I35" s="104"/>
      <c r="J35" s="100"/>
      <c r="K35" s="249"/>
      <c r="L35" s="250"/>
      <c r="M35" s="249">
        <f t="shared" si="1"/>
        <v>0</v>
      </c>
      <c r="N35" s="250"/>
      <c r="O35" s="1"/>
      <c r="P35" s="12"/>
      <c r="Q35" s="15"/>
      <c r="R35" s="15"/>
      <c r="S35" s="15"/>
      <c r="T35" s="13"/>
      <c r="U35" s="13"/>
      <c r="V35" s="13"/>
      <c r="W35" s="13"/>
      <c r="X35" s="1"/>
    </row>
    <row r="36" spans="1:24" s="3" customFormat="1" x14ac:dyDescent="0.25">
      <c r="A36" s="191">
        <v>45458</v>
      </c>
      <c r="B36" s="286"/>
      <c r="C36" s="287"/>
      <c r="D36" s="270"/>
      <c r="E36" s="271"/>
      <c r="F36" s="101"/>
      <c r="G36" s="102"/>
      <c r="H36" s="103"/>
      <c r="I36" s="104"/>
      <c r="J36" s="100"/>
      <c r="K36" s="249"/>
      <c r="L36" s="250"/>
      <c r="M36" s="249">
        <f t="shared" si="1"/>
        <v>0</v>
      </c>
      <c r="N36" s="250"/>
      <c r="O36" s="1"/>
      <c r="P36" s="12"/>
      <c r="Q36" s="15"/>
      <c r="R36" s="15"/>
      <c r="S36" s="15"/>
      <c r="T36" s="13"/>
      <c r="U36" s="13"/>
      <c r="V36" s="13"/>
      <c r="W36" s="13"/>
      <c r="X36" s="1"/>
    </row>
    <row r="37" spans="1:24" s="3" customFormat="1" x14ac:dyDescent="0.25">
      <c r="A37" s="191">
        <v>45459</v>
      </c>
      <c r="B37" s="286"/>
      <c r="C37" s="287"/>
      <c r="D37" s="270"/>
      <c r="E37" s="271"/>
      <c r="F37" s="101"/>
      <c r="G37" s="102"/>
      <c r="H37" s="103"/>
      <c r="I37" s="104"/>
      <c r="J37" s="100"/>
      <c r="K37" s="249"/>
      <c r="L37" s="250"/>
      <c r="M37" s="249">
        <f t="shared" si="1"/>
        <v>0</v>
      </c>
      <c r="N37" s="250"/>
      <c r="O37" s="1"/>
      <c r="P37" s="12"/>
      <c r="Q37" s="15"/>
      <c r="R37" s="15"/>
      <c r="S37" s="15"/>
      <c r="T37" s="13"/>
      <c r="U37" s="13"/>
      <c r="V37" s="13"/>
      <c r="W37" s="13"/>
      <c r="X37" s="1"/>
    </row>
    <row r="38" spans="1:24" s="3" customFormat="1" x14ac:dyDescent="0.25">
      <c r="A38" s="191">
        <v>45460</v>
      </c>
      <c r="B38" s="286"/>
      <c r="C38" s="287"/>
      <c r="D38" s="270"/>
      <c r="E38" s="271"/>
      <c r="F38" s="101"/>
      <c r="G38" s="102"/>
      <c r="H38" s="103"/>
      <c r="I38" s="104"/>
      <c r="J38" s="100"/>
      <c r="K38" s="249"/>
      <c r="L38" s="250"/>
      <c r="M38" s="249">
        <f t="shared" si="1"/>
        <v>0</v>
      </c>
      <c r="N38" s="250"/>
      <c r="O38" s="1"/>
      <c r="P38" s="12"/>
      <c r="Q38" s="15"/>
      <c r="R38" s="15"/>
      <c r="S38" s="15"/>
      <c r="T38" s="13"/>
      <c r="U38" s="13"/>
      <c r="V38" s="13"/>
      <c r="W38" s="13"/>
      <c r="X38" s="1"/>
    </row>
    <row r="39" spans="1:24" s="3" customFormat="1" x14ac:dyDescent="0.25">
      <c r="A39" s="191">
        <v>45461</v>
      </c>
      <c r="B39" s="286"/>
      <c r="C39" s="287"/>
      <c r="D39" s="270"/>
      <c r="E39" s="271"/>
      <c r="F39" s="101"/>
      <c r="G39" s="102"/>
      <c r="H39" s="103"/>
      <c r="I39" s="104"/>
      <c r="J39" s="100"/>
      <c r="K39" s="249"/>
      <c r="L39" s="250"/>
      <c r="M39" s="249">
        <f t="shared" si="1"/>
        <v>0</v>
      </c>
      <c r="N39" s="250"/>
      <c r="O39" s="1"/>
      <c r="P39" s="12"/>
      <c r="Q39" s="15"/>
      <c r="R39" s="15"/>
      <c r="S39" s="15"/>
      <c r="T39" s="13"/>
      <c r="U39" s="13"/>
      <c r="V39" s="13"/>
      <c r="W39" s="13"/>
      <c r="X39" s="1"/>
    </row>
    <row r="40" spans="1:24" s="3" customFormat="1" x14ac:dyDescent="0.25">
      <c r="A40" s="191">
        <v>45462</v>
      </c>
      <c r="B40" s="286"/>
      <c r="C40" s="287"/>
      <c r="D40" s="270"/>
      <c r="E40" s="271"/>
      <c r="F40" s="101"/>
      <c r="G40" s="102"/>
      <c r="H40" s="103"/>
      <c r="I40" s="104"/>
      <c r="J40" s="100"/>
      <c r="K40" s="249"/>
      <c r="L40" s="250"/>
      <c r="M40" s="249">
        <f t="shared" si="1"/>
        <v>0</v>
      </c>
      <c r="N40" s="250"/>
      <c r="O40" s="1"/>
      <c r="P40" s="12"/>
      <c r="Q40" s="15"/>
      <c r="R40" s="15"/>
      <c r="S40" s="15"/>
      <c r="T40" s="13"/>
      <c r="U40" s="13"/>
      <c r="V40" s="13"/>
      <c r="W40" s="13"/>
      <c r="X40" s="1"/>
    </row>
    <row r="41" spans="1:24" s="3" customFormat="1" x14ac:dyDescent="0.25">
      <c r="A41" s="191">
        <v>45463</v>
      </c>
      <c r="B41" s="286"/>
      <c r="C41" s="287"/>
      <c r="D41" s="270"/>
      <c r="E41" s="271"/>
      <c r="F41" s="101"/>
      <c r="G41" s="102"/>
      <c r="H41" s="103"/>
      <c r="I41" s="104"/>
      <c r="J41" s="100"/>
      <c r="K41" s="249"/>
      <c r="L41" s="250"/>
      <c r="M41" s="249">
        <f t="shared" si="1"/>
        <v>0</v>
      </c>
      <c r="N41" s="250"/>
      <c r="O41" s="1"/>
      <c r="P41" s="12"/>
      <c r="Q41" s="15"/>
      <c r="R41" s="15"/>
      <c r="S41" s="15"/>
      <c r="T41" s="13"/>
      <c r="U41" s="13"/>
      <c r="V41" s="13"/>
      <c r="W41" s="13"/>
      <c r="X41" s="1"/>
    </row>
    <row r="42" spans="1:24" s="3" customFormat="1" x14ac:dyDescent="0.25">
      <c r="A42" s="191">
        <v>45464</v>
      </c>
      <c r="B42" s="286"/>
      <c r="C42" s="287"/>
      <c r="D42" s="270"/>
      <c r="E42" s="271"/>
      <c r="F42" s="101"/>
      <c r="G42" s="102"/>
      <c r="H42" s="103"/>
      <c r="I42" s="104"/>
      <c r="J42" s="100"/>
      <c r="K42" s="249"/>
      <c r="L42" s="250"/>
      <c r="M42" s="249">
        <f t="shared" si="1"/>
        <v>0</v>
      </c>
      <c r="N42" s="250"/>
      <c r="O42" s="1"/>
      <c r="P42" s="12"/>
      <c r="Q42" s="15"/>
      <c r="R42" s="15"/>
      <c r="S42" s="15"/>
      <c r="T42" s="13"/>
      <c r="U42" s="13"/>
      <c r="V42" s="13"/>
      <c r="W42" s="13"/>
      <c r="X42" s="1"/>
    </row>
    <row r="43" spans="1:24" s="3" customFormat="1" x14ac:dyDescent="0.25">
      <c r="A43" s="191">
        <v>45465</v>
      </c>
      <c r="B43" s="286"/>
      <c r="C43" s="287"/>
      <c r="D43" s="270"/>
      <c r="E43" s="271"/>
      <c r="F43" s="101"/>
      <c r="G43" s="102"/>
      <c r="H43" s="103"/>
      <c r="I43" s="104"/>
      <c r="J43" s="100"/>
      <c r="K43" s="249"/>
      <c r="L43" s="250"/>
      <c r="M43" s="249">
        <f t="shared" si="1"/>
        <v>0</v>
      </c>
      <c r="N43" s="250"/>
      <c r="O43" s="1"/>
      <c r="P43" s="12"/>
      <c r="Q43" s="15"/>
      <c r="R43" s="15"/>
      <c r="S43" s="15"/>
      <c r="T43" s="13"/>
      <c r="U43" s="13"/>
      <c r="V43" s="13"/>
      <c r="W43" s="13"/>
      <c r="X43" s="1"/>
    </row>
    <row r="44" spans="1:24" s="3" customFormat="1" x14ac:dyDescent="0.25">
      <c r="A44" s="191">
        <v>45466</v>
      </c>
      <c r="B44" s="286"/>
      <c r="C44" s="287"/>
      <c r="D44" s="270"/>
      <c r="E44" s="271"/>
      <c r="F44" s="101"/>
      <c r="G44" s="102"/>
      <c r="H44" s="103"/>
      <c r="I44" s="104"/>
      <c r="J44" s="100"/>
      <c r="K44" s="249"/>
      <c r="L44" s="250"/>
      <c r="M44" s="249">
        <f t="shared" si="1"/>
        <v>0</v>
      </c>
      <c r="N44" s="250"/>
      <c r="O44" s="1"/>
      <c r="P44" s="12"/>
      <c r="Q44" s="15"/>
      <c r="R44" s="15"/>
      <c r="S44" s="15"/>
      <c r="T44" s="13"/>
      <c r="U44" s="13"/>
      <c r="V44" s="13"/>
      <c r="W44" s="13"/>
      <c r="X44" s="1"/>
    </row>
    <row r="45" spans="1:24" s="3" customFormat="1" x14ac:dyDescent="0.25">
      <c r="A45" s="191">
        <v>45467</v>
      </c>
      <c r="B45" s="286"/>
      <c r="C45" s="287"/>
      <c r="D45" s="156"/>
      <c r="E45" s="157"/>
      <c r="F45" s="152"/>
      <c r="G45" s="153"/>
      <c r="H45" s="154"/>
      <c r="I45" s="155"/>
      <c r="J45" s="100"/>
      <c r="K45" s="150"/>
      <c r="L45" s="151"/>
      <c r="M45" s="171"/>
      <c r="N45" s="172"/>
      <c r="O45" s="1"/>
      <c r="P45" s="12"/>
      <c r="Q45" s="15"/>
      <c r="R45" s="15"/>
      <c r="S45" s="15"/>
      <c r="T45" s="13"/>
      <c r="U45" s="13"/>
      <c r="V45" s="13"/>
      <c r="W45" s="13"/>
      <c r="X45" s="1"/>
    </row>
    <row r="46" spans="1:24" s="3" customFormat="1" x14ac:dyDescent="0.25">
      <c r="A46" s="191">
        <v>45468</v>
      </c>
      <c r="B46" s="286"/>
      <c r="C46" s="287"/>
      <c r="D46" s="156"/>
      <c r="E46" s="157"/>
      <c r="F46" s="152"/>
      <c r="G46" s="153"/>
      <c r="H46" s="154"/>
      <c r="I46" s="155"/>
      <c r="J46" s="100"/>
      <c r="K46" s="150"/>
      <c r="L46" s="151"/>
      <c r="M46" s="171"/>
      <c r="N46" s="172"/>
      <c r="O46" s="1"/>
      <c r="P46" s="12"/>
      <c r="Q46" s="15"/>
      <c r="R46" s="15"/>
      <c r="S46" s="15"/>
      <c r="T46" s="13"/>
      <c r="U46" s="13"/>
      <c r="V46" s="13"/>
      <c r="W46" s="13"/>
      <c r="X46" s="1"/>
    </row>
    <row r="47" spans="1:24" s="3" customFormat="1" x14ac:dyDescent="0.25">
      <c r="A47" s="191">
        <v>45469</v>
      </c>
      <c r="B47" s="286"/>
      <c r="C47" s="287"/>
      <c r="D47" s="156"/>
      <c r="E47" s="157"/>
      <c r="F47" s="152"/>
      <c r="G47" s="153"/>
      <c r="H47" s="154"/>
      <c r="I47" s="155"/>
      <c r="J47" s="100"/>
      <c r="K47" s="150"/>
      <c r="L47" s="151"/>
      <c r="M47" s="171"/>
      <c r="N47" s="172"/>
      <c r="O47" s="1"/>
      <c r="P47" s="12"/>
      <c r="Q47" s="15"/>
      <c r="R47" s="15"/>
      <c r="S47" s="15"/>
      <c r="T47" s="13"/>
      <c r="U47" s="13"/>
      <c r="V47" s="13"/>
      <c r="W47" s="13"/>
      <c r="X47" s="1"/>
    </row>
    <row r="48" spans="1:24" s="3" customFormat="1" x14ac:dyDescent="0.25">
      <c r="A48" s="191">
        <v>45470</v>
      </c>
      <c r="B48" s="286"/>
      <c r="C48" s="287"/>
      <c r="D48" s="156"/>
      <c r="E48" s="157"/>
      <c r="F48" s="152"/>
      <c r="G48" s="153"/>
      <c r="H48" s="154"/>
      <c r="I48" s="155"/>
      <c r="J48" s="100"/>
      <c r="K48" s="150"/>
      <c r="L48" s="151"/>
      <c r="M48" s="171"/>
      <c r="N48" s="172"/>
      <c r="O48" s="1"/>
      <c r="P48" s="12"/>
      <c r="Q48" s="15"/>
      <c r="R48" s="15"/>
      <c r="S48" s="15"/>
      <c r="T48" s="13"/>
      <c r="U48" s="13"/>
      <c r="V48" s="13"/>
      <c r="W48" s="13"/>
      <c r="X48" s="1"/>
    </row>
    <row r="49" spans="1:25" s="3" customFormat="1" x14ac:dyDescent="0.25">
      <c r="A49" s="191">
        <v>45471</v>
      </c>
      <c r="B49" s="286"/>
      <c r="C49" s="287"/>
      <c r="D49" s="156"/>
      <c r="E49" s="157"/>
      <c r="F49" s="152"/>
      <c r="G49" s="153"/>
      <c r="H49" s="154"/>
      <c r="I49" s="155"/>
      <c r="J49" s="100"/>
      <c r="K49" s="150"/>
      <c r="L49" s="151"/>
      <c r="M49" s="171"/>
      <c r="N49" s="172"/>
      <c r="O49" s="1"/>
      <c r="P49" s="12"/>
      <c r="Q49" s="15"/>
      <c r="R49" s="15"/>
      <c r="S49" s="15"/>
      <c r="T49" s="13"/>
      <c r="U49" s="13"/>
      <c r="V49" s="13"/>
      <c r="W49" s="13"/>
      <c r="X49" s="1"/>
    </row>
    <row r="50" spans="1:25" s="3" customFormat="1" x14ac:dyDescent="0.25">
      <c r="A50" s="191">
        <v>45472</v>
      </c>
      <c r="B50" s="286"/>
      <c r="C50" s="287"/>
      <c r="D50" s="156"/>
      <c r="E50" s="157"/>
      <c r="F50" s="152"/>
      <c r="G50" s="153"/>
      <c r="H50" s="154"/>
      <c r="I50" s="155"/>
      <c r="J50" s="100"/>
      <c r="K50" s="150"/>
      <c r="L50" s="151"/>
      <c r="M50" s="171"/>
      <c r="N50" s="172"/>
      <c r="O50" s="1"/>
      <c r="P50" s="12"/>
      <c r="Q50" s="15"/>
      <c r="R50" s="15"/>
      <c r="S50" s="15"/>
      <c r="T50" s="13"/>
      <c r="U50" s="13"/>
      <c r="V50" s="13"/>
      <c r="W50" s="13"/>
      <c r="X50" s="1"/>
    </row>
    <row r="51" spans="1:25" s="3" customFormat="1" x14ac:dyDescent="0.25">
      <c r="A51" s="191">
        <v>45473</v>
      </c>
      <c r="B51" s="286"/>
      <c r="C51" s="287"/>
      <c r="D51" s="156"/>
      <c r="E51" s="157"/>
      <c r="F51" s="152"/>
      <c r="G51" s="153"/>
      <c r="H51" s="154"/>
      <c r="I51" s="155"/>
      <c r="J51" s="100"/>
      <c r="K51" s="150"/>
      <c r="L51" s="151"/>
      <c r="M51" s="171"/>
      <c r="N51" s="172"/>
      <c r="O51" s="1"/>
      <c r="P51" s="12"/>
      <c r="Q51" s="15"/>
      <c r="R51" s="15"/>
      <c r="S51" s="15"/>
      <c r="T51" s="13"/>
      <c r="U51" s="13"/>
      <c r="V51" s="13"/>
      <c r="W51" s="13"/>
      <c r="X51" s="1"/>
    </row>
    <row r="52" spans="1:25" s="3" customFormat="1" ht="15.75" x14ac:dyDescent="0.25">
      <c r="A52" s="231" t="s">
        <v>21</v>
      </c>
      <c r="B52" s="232"/>
      <c r="C52" s="233"/>
      <c r="D52" s="278">
        <f>+COUNTA(D17:E51)</f>
        <v>0</v>
      </c>
      <c r="E52" s="279"/>
      <c r="F52" s="280">
        <f>+COUNTA(F17:G51)</f>
        <v>0</v>
      </c>
      <c r="G52" s="281"/>
      <c r="H52" s="282">
        <f>SUM(H17:I51)</f>
        <v>0</v>
      </c>
      <c r="I52" s="282"/>
      <c r="J52" s="107"/>
      <c r="K52" s="283"/>
      <c r="L52" s="283"/>
      <c r="M52" s="284">
        <f>+SUM(M17:O51)</f>
        <v>0</v>
      </c>
      <c r="N52" s="285"/>
      <c r="P52" s="12"/>
      <c r="Q52" s="12"/>
      <c r="R52" s="12"/>
      <c r="S52" s="12"/>
      <c r="T52" s="13"/>
      <c r="U52" s="13"/>
      <c r="V52" s="13"/>
      <c r="W52" s="13"/>
      <c r="X52" s="1"/>
    </row>
    <row r="53" spans="1:25" s="3" customFormat="1" x14ac:dyDescent="0.25">
      <c r="A53" s="12"/>
      <c r="B53" s="12"/>
      <c r="C53" s="12"/>
      <c r="D53" s="272" t="s">
        <v>65</v>
      </c>
      <c r="E53" s="273"/>
      <c r="F53" s="274" t="s">
        <v>24</v>
      </c>
      <c r="G53" s="274"/>
      <c r="H53" s="275" t="s">
        <v>62</v>
      </c>
      <c r="I53" s="275"/>
      <c r="K53" s="12"/>
      <c r="L53" s="12"/>
      <c r="M53" s="276" t="s">
        <v>66</v>
      </c>
      <c r="N53" s="277"/>
      <c r="O53" s="12"/>
      <c r="P53" s="12"/>
      <c r="Q53" s="12"/>
      <c r="R53" s="12"/>
      <c r="S53" s="12"/>
      <c r="T53" s="13"/>
      <c r="U53" s="13"/>
      <c r="V53" s="13"/>
      <c r="W53" s="13"/>
      <c r="X53" s="1"/>
    </row>
    <row r="54" spans="1:25" s="3" customFormat="1" x14ac:dyDescent="0.25">
      <c r="K54" s="12"/>
      <c r="L54" s="12"/>
      <c r="M54" s="12"/>
      <c r="N54" s="12"/>
      <c r="O54" s="12"/>
      <c r="P54" s="12"/>
      <c r="U54" s="1"/>
      <c r="V54" s="1"/>
      <c r="W54" s="1"/>
      <c r="X54" s="1"/>
      <c r="Y54" s="1"/>
    </row>
    <row r="55" spans="1:25" s="3" customFormat="1" x14ac:dyDescent="0.25">
      <c r="A55" s="28" t="s">
        <v>23</v>
      </c>
      <c r="J55" s="28" t="s">
        <v>27</v>
      </c>
      <c r="N55" s="39"/>
      <c r="P55" s="12"/>
      <c r="U55" s="1"/>
      <c r="V55" s="1"/>
      <c r="W55" s="1"/>
      <c r="X55" s="1"/>
      <c r="Y55" s="1"/>
    </row>
    <row r="56" spans="1:25" s="3" customFormat="1" x14ac:dyDescent="0.25">
      <c r="J56" s="28" t="s">
        <v>31</v>
      </c>
      <c r="N56" s="39"/>
      <c r="P56" s="12"/>
      <c r="U56" s="1"/>
      <c r="V56" s="1"/>
      <c r="W56" s="1"/>
      <c r="X56" s="1"/>
      <c r="Y56" s="1"/>
    </row>
    <row r="57" spans="1:25" s="3" customFormat="1" x14ac:dyDescent="0.25">
      <c r="A57" s="29" t="s">
        <v>20</v>
      </c>
      <c r="B57" s="30"/>
      <c r="C57" s="29"/>
      <c r="D57" s="29"/>
      <c r="E57" s="16"/>
      <c r="H57" s="18"/>
      <c r="P57" s="12"/>
      <c r="U57" s="1"/>
      <c r="V57" s="1"/>
      <c r="W57" s="1"/>
      <c r="X57" s="1"/>
      <c r="Y57" s="1"/>
    </row>
    <row r="58" spans="1:25" s="3" customFormat="1" x14ac:dyDescent="0.25">
      <c r="A58" s="29" t="s">
        <v>7</v>
      </c>
      <c r="B58" s="30"/>
      <c r="C58" s="31">
        <f ca="1">TODAY()</f>
        <v>45320</v>
      </c>
      <c r="D58" s="29"/>
      <c r="E58" s="16"/>
      <c r="J58" s="28" t="s">
        <v>22</v>
      </c>
      <c r="P58" s="12"/>
      <c r="U58" s="1"/>
      <c r="V58" s="1"/>
      <c r="W58" s="1"/>
      <c r="X58" s="1"/>
      <c r="Y58" s="1"/>
    </row>
    <row r="59" spans="1:25" s="3" customFormat="1" x14ac:dyDescent="0.25">
      <c r="A59" s="28"/>
      <c r="B59" s="240" t="s">
        <v>47</v>
      </c>
      <c r="C59" s="240"/>
      <c r="D59" s="240"/>
      <c r="E59" s="240"/>
      <c r="F59" s="240"/>
      <c r="J59" s="240" t="s">
        <v>48</v>
      </c>
      <c r="K59" s="240"/>
      <c r="L59" s="240"/>
      <c r="M59" s="240"/>
      <c r="N59" s="240"/>
      <c r="U59" s="1"/>
      <c r="V59" s="1"/>
      <c r="W59" s="1"/>
      <c r="X59" s="1"/>
      <c r="Y59" s="1"/>
    </row>
    <row r="60" spans="1:25" s="3" customFormat="1" x14ac:dyDescent="0.25">
      <c r="B60" s="240"/>
      <c r="C60" s="240"/>
      <c r="D60" s="240"/>
      <c r="E60" s="240"/>
      <c r="F60" s="240"/>
      <c r="J60" s="240"/>
      <c r="K60" s="240"/>
      <c r="L60" s="240"/>
      <c r="M60" s="240"/>
      <c r="N60" s="240"/>
      <c r="U60" s="1"/>
      <c r="V60" s="1"/>
      <c r="W60" s="1"/>
      <c r="X60" s="1"/>
      <c r="Y60" s="1"/>
    </row>
    <row r="61" spans="1:25" s="3" customFormat="1" x14ac:dyDescent="0.25">
      <c r="B61" s="240"/>
      <c r="C61" s="240"/>
      <c r="D61" s="240"/>
      <c r="E61" s="240"/>
      <c r="F61" s="240"/>
      <c r="J61" s="240"/>
      <c r="K61" s="240"/>
      <c r="L61" s="240"/>
      <c r="M61" s="240"/>
      <c r="N61" s="240"/>
      <c r="U61" s="1"/>
      <c r="V61" s="1"/>
      <c r="W61" s="1"/>
      <c r="X61" s="1"/>
      <c r="Y61" s="1"/>
    </row>
    <row r="62" spans="1:25" s="3" customFormat="1" x14ac:dyDescent="0.25">
      <c r="B62" s="240"/>
      <c r="C62" s="240"/>
      <c r="D62" s="240"/>
      <c r="E62" s="240"/>
      <c r="F62" s="240"/>
      <c r="J62" s="240"/>
      <c r="K62" s="240"/>
      <c r="L62" s="240"/>
      <c r="M62" s="240"/>
      <c r="N62" s="240"/>
      <c r="U62" s="1"/>
      <c r="V62" s="1"/>
      <c r="W62" s="1"/>
      <c r="X62" s="1"/>
      <c r="Y62" s="1"/>
    </row>
    <row r="63" spans="1:25" s="3" customFormat="1" x14ac:dyDescent="0.25">
      <c r="B63" s="240"/>
      <c r="C63" s="240"/>
      <c r="D63" s="240"/>
      <c r="E63" s="240"/>
      <c r="F63" s="240"/>
      <c r="J63" s="240"/>
      <c r="K63" s="240"/>
      <c r="L63" s="240"/>
      <c r="M63" s="240"/>
      <c r="N63" s="240"/>
      <c r="U63" s="1"/>
      <c r="V63" s="1"/>
      <c r="W63" s="1"/>
      <c r="X63" s="1"/>
      <c r="Y63" s="1"/>
    </row>
    <row r="64" spans="1:25" s="3" customFormat="1" x14ac:dyDescent="0.25">
      <c r="B64" s="240"/>
      <c r="C64" s="240"/>
      <c r="D64" s="240"/>
      <c r="E64" s="240"/>
      <c r="F64" s="240"/>
      <c r="J64" s="240"/>
      <c r="K64" s="240"/>
      <c r="L64" s="240"/>
      <c r="M64" s="240"/>
      <c r="N64" s="240"/>
      <c r="U64" s="1"/>
      <c r="V64" s="1"/>
      <c r="W64" s="1"/>
      <c r="X64" s="1"/>
      <c r="Y64" s="1"/>
    </row>
    <row r="65" spans="1:25" s="3" customFormat="1" x14ac:dyDescent="0.25">
      <c r="A65" s="3" t="s">
        <v>46</v>
      </c>
      <c r="B65" s="23"/>
      <c r="J65" s="3" t="s">
        <v>39</v>
      </c>
      <c r="U65" s="1"/>
      <c r="V65" s="1"/>
      <c r="W65" s="1"/>
      <c r="X65" s="1"/>
      <c r="Y65" s="1"/>
    </row>
    <row r="66" spans="1:25" s="3" customFormat="1" x14ac:dyDescent="0.25">
      <c r="B66" s="23"/>
      <c r="U66" s="1"/>
      <c r="V66" s="1"/>
      <c r="W66" s="1"/>
      <c r="X66" s="1"/>
      <c r="Y66" s="1"/>
    </row>
    <row r="67" spans="1:25" s="3" customFormat="1" x14ac:dyDescent="0.25">
      <c r="B67" s="23"/>
      <c r="U67" s="1"/>
      <c r="V67" s="1"/>
      <c r="W67" s="1"/>
      <c r="X67" s="1"/>
      <c r="Y67" s="1"/>
    </row>
    <row r="68" spans="1:25" s="3" customFormat="1" x14ac:dyDescent="0.25">
      <c r="A68" s="29"/>
      <c r="B68" s="23"/>
      <c r="D68" s="29"/>
      <c r="U68" s="1"/>
      <c r="V68" s="1"/>
      <c r="W68" s="1"/>
      <c r="X68" s="1"/>
      <c r="Y68" s="1"/>
    </row>
    <row r="69" spans="1:25" s="3" customFormat="1" x14ac:dyDescent="0.25">
      <c r="U69" s="1"/>
      <c r="V69" s="1"/>
      <c r="W69" s="1"/>
      <c r="X69" s="1"/>
      <c r="Y69" s="1"/>
    </row>
    <row r="70" spans="1:25" s="3" customFormat="1" x14ac:dyDescent="0.25">
      <c r="B70" s="23"/>
      <c r="U70" s="1"/>
      <c r="V70" s="1"/>
      <c r="W70" s="1"/>
      <c r="X70" s="1"/>
      <c r="Y70" s="1"/>
    </row>
    <row r="71" spans="1:25" s="3" customFormat="1" x14ac:dyDescent="0.25">
      <c r="B71" s="23"/>
      <c r="U71" s="1"/>
      <c r="V71" s="1"/>
      <c r="W71" s="1"/>
      <c r="X71" s="1"/>
      <c r="Y71" s="1"/>
    </row>
    <row r="72" spans="1:25" s="3" customFormat="1" x14ac:dyDescent="0.25">
      <c r="B72" s="23"/>
      <c r="U72" s="1"/>
      <c r="V72" s="1"/>
      <c r="W72" s="1"/>
      <c r="X72" s="1"/>
      <c r="Y72" s="1"/>
    </row>
    <row r="73" spans="1:25" s="3" customFormat="1" x14ac:dyDescent="0.25">
      <c r="B73" s="23"/>
      <c r="U73" s="1"/>
      <c r="V73" s="1"/>
      <c r="W73" s="1"/>
      <c r="X73" s="1"/>
      <c r="Y73" s="1"/>
    </row>
    <row r="74" spans="1:25" s="3" customFormat="1" x14ac:dyDescent="0.25">
      <c r="B74" s="23"/>
      <c r="U74" s="1"/>
      <c r="V74" s="1"/>
      <c r="W74" s="1"/>
      <c r="X74" s="1"/>
      <c r="Y74" s="1"/>
    </row>
    <row r="75" spans="1:25" s="3" customFormat="1" x14ac:dyDescent="0.25">
      <c r="B75" s="23"/>
      <c r="U75" s="1"/>
      <c r="V75" s="1"/>
      <c r="W75" s="1"/>
      <c r="X75" s="1"/>
      <c r="Y75" s="1"/>
    </row>
    <row r="76" spans="1:25" s="3" customFormat="1" x14ac:dyDescent="0.25">
      <c r="B76" s="23"/>
      <c r="U76" s="1"/>
      <c r="V76" s="1"/>
      <c r="W76" s="1"/>
      <c r="X76" s="1"/>
      <c r="Y76" s="1"/>
    </row>
    <row r="77" spans="1:25" s="3" customFormat="1" x14ac:dyDescent="0.25">
      <c r="B77" s="23"/>
      <c r="U77" s="1"/>
      <c r="V77" s="1"/>
      <c r="W77" s="1"/>
      <c r="X77" s="1"/>
      <c r="Y77" s="1"/>
    </row>
    <row r="78" spans="1:25" s="3" customFormat="1" x14ac:dyDescent="0.25">
      <c r="B78" s="23"/>
      <c r="U78" s="1"/>
      <c r="V78" s="1"/>
      <c r="W78" s="1"/>
      <c r="X78" s="1"/>
      <c r="Y78" s="1"/>
    </row>
    <row r="79" spans="1:25" s="3" customFormat="1" x14ac:dyDescent="0.25">
      <c r="B79" s="23"/>
      <c r="U79" s="1"/>
      <c r="V79" s="1"/>
      <c r="W79" s="1"/>
      <c r="X79" s="1"/>
      <c r="Y79" s="1"/>
    </row>
    <row r="80" spans="1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2:25" s="3" customFormat="1" x14ac:dyDescent="0.25">
      <c r="B225" s="23"/>
      <c r="U225" s="1"/>
      <c r="V225" s="1"/>
      <c r="W225" s="1"/>
      <c r="X225" s="1"/>
      <c r="Y225" s="1"/>
    </row>
    <row r="226" spans="2:25" s="3" customFormat="1" x14ac:dyDescent="0.25">
      <c r="B226" s="23"/>
      <c r="U226" s="1"/>
      <c r="V226" s="1"/>
      <c r="W226" s="1"/>
      <c r="X226" s="1"/>
      <c r="Y226" s="1"/>
    </row>
    <row r="227" spans="2:25" s="3" customFormat="1" x14ac:dyDescent="0.25">
      <c r="B227" s="23"/>
      <c r="U227" s="1"/>
      <c r="V227" s="1"/>
      <c r="W227" s="1"/>
      <c r="X227" s="1"/>
      <c r="Y227" s="1"/>
    </row>
    <row r="228" spans="2:25" s="3" customFormat="1" x14ac:dyDescent="0.25">
      <c r="B228" s="23"/>
      <c r="U228" s="1"/>
      <c r="V228" s="1"/>
      <c r="W228" s="1"/>
      <c r="X228" s="1"/>
      <c r="Y228" s="1"/>
    </row>
    <row r="229" spans="2:25" s="3" customFormat="1" x14ac:dyDescent="0.25">
      <c r="B229" s="23"/>
      <c r="U229" s="1"/>
      <c r="V229" s="1"/>
      <c r="W229" s="1"/>
      <c r="X229" s="1"/>
      <c r="Y229" s="1"/>
    </row>
    <row r="230" spans="2:25" s="3" customFormat="1" x14ac:dyDescent="0.25">
      <c r="B230" s="23"/>
      <c r="U230" s="1"/>
      <c r="V230" s="1"/>
      <c r="W230" s="1"/>
      <c r="X230" s="1"/>
      <c r="Y230" s="1"/>
    </row>
    <row r="231" spans="2:25" s="3" customFormat="1" x14ac:dyDescent="0.25">
      <c r="B231" s="23"/>
      <c r="U231" s="1"/>
      <c r="V231" s="1"/>
      <c r="W231" s="1"/>
      <c r="X231" s="1"/>
      <c r="Y231" s="1"/>
    </row>
    <row r="232" spans="2:25" s="3" customFormat="1" x14ac:dyDescent="0.25">
      <c r="B232" s="23"/>
      <c r="U232" s="1"/>
      <c r="V232" s="1"/>
      <c r="W232" s="1"/>
      <c r="X232" s="1"/>
      <c r="Y232" s="1"/>
    </row>
    <row r="233" spans="2:25" s="3" customFormat="1" x14ac:dyDescent="0.25">
      <c r="B233" s="23"/>
      <c r="U233" s="1"/>
      <c r="V233" s="1"/>
      <c r="W233" s="1"/>
      <c r="X233" s="1"/>
      <c r="Y233" s="1"/>
    </row>
    <row r="234" spans="2:25" s="3" customFormat="1" x14ac:dyDescent="0.25">
      <c r="B234" s="23"/>
      <c r="U234" s="1"/>
      <c r="V234" s="1"/>
      <c r="W234" s="1"/>
      <c r="X234" s="1"/>
      <c r="Y234" s="1"/>
    </row>
    <row r="235" spans="2:25" s="3" customFormat="1" x14ac:dyDescent="0.25">
      <c r="B235" s="23"/>
      <c r="U235" s="1"/>
      <c r="V235" s="1"/>
      <c r="W235" s="1"/>
      <c r="X235" s="1"/>
      <c r="Y235" s="1"/>
    </row>
    <row r="236" spans="2:25" s="3" customFormat="1" x14ac:dyDescent="0.25">
      <c r="B236" s="23"/>
      <c r="U236" s="1"/>
      <c r="V236" s="1"/>
      <c r="W236" s="1"/>
      <c r="X236" s="1"/>
      <c r="Y236" s="1"/>
    </row>
    <row r="237" spans="2:25" s="3" customFormat="1" x14ac:dyDescent="0.25">
      <c r="B237" s="23"/>
      <c r="U237" s="1"/>
      <c r="V237" s="1"/>
      <c r="W237" s="1"/>
      <c r="X237" s="1"/>
      <c r="Y237" s="1"/>
    </row>
    <row r="238" spans="2:25" s="3" customFormat="1" x14ac:dyDescent="0.25">
      <c r="B238" s="23"/>
      <c r="U238" s="1"/>
      <c r="V238" s="1"/>
      <c r="W238" s="1"/>
      <c r="X238" s="1"/>
      <c r="Y238" s="1"/>
    </row>
    <row r="239" spans="2:25" s="3" customFormat="1" x14ac:dyDescent="0.25">
      <c r="B239" s="23"/>
      <c r="U239" s="1"/>
      <c r="V239" s="1"/>
      <c r="W239" s="1"/>
      <c r="X239" s="1"/>
      <c r="Y239" s="1"/>
    </row>
    <row r="240" spans="2:25" s="3" customFormat="1" x14ac:dyDescent="0.25">
      <c r="B240" s="23"/>
      <c r="U240" s="1"/>
      <c r="V240" s="1"/>
      <c r="W240" s="1"/>
      <c r="X240" s="1"/>
      <c r="Y240" s="1"/>
    </row>
    <row r="241" spans="1:25" s="3" customFormat="1" x14ac:dyDescent="0.25">
      <c r="B241" s="23"/>
      <c r="U241" s="1"/>
      <c r="V241" s="1"/>
      <c r="W241" s="1"/>
      <c r="X241" s="1"/>
      <c r="Y241" s="1"/>
    </row>
    <row r="242" spans="1:25" s="3" customFormat="1" x14ac:dyDescent="0.25">
      <c r="B242" s="23"/>
      <c r="K242" s="6"/>
      <c r="L242" s="6"/>
      <c r="M242" s="6"/>
      <c r="N242" s="6"/>
      <c r="U242" s="1"/>
      <c r="V242" s="1"/>
      <c r="W242" s="1"/>
      <c r="X242" s="1"/>
      <c r="Y242" s="1"/>
    </row>
    <row r="243" spans="1:25" s="3" customFormat="1" x14ac:dyDescent="0.25">
      <c r="B243" s="23"/>
      <c r="K243" s="6"/>
      <c r="L243" s="6"/>
      <c r="M243" s="6"/>
      <c r="N243" s="6"/>
      <c r="U243" s="1"/>
      <c r="V243" s="1"/>
      <c r="W243" s="1"/>
      <c r="X243" s="1"/>
      <c r="Y243" s="1"/>
    </row>
    <row r="244" spans="1:25" s="3" customFormat="1" x14ac:dyDescent="0.25">
      <c r="B244" s="23"/>
      <c r="K244" s="6"/>
      <c r="L244" s="6"/>
      <c r="M244" s="6"/>
      <c r="N244" s="6"/>
      <c r="U244" s="1"/>
      <c r="V244" s="1"/>
      <c r="W244" s="1"/>
      <c r="X244" s="1"/>
      <c r="Y244" s="1"/>
    </row>
    <row r="245" spans="1:25" s="3" customFormat="1" x14ac:dyDescent="0.25">
      <c r="B245" s="23"/>
      <c r="J245" s="6"/>
      <c r="K245" s="6"/>
      <c r="L245" s="6"/>
      <c r="M245" s="6"/>
      <c r="N245" s="6"/>
      <c r="U245" s="1"/>
      <c r="V245" s="1"/>
      <c r="W245" s="1"/>
      <c r="X245" s="1"/>
      <c r="Y245" s="1"/>
    </row>
    <row r="246" spans="1:25" s="3" customFormat="1" x14ac:dyDescent="0.25">
      <c r="B246" s="23"/>
      <c r="J246" s="6"/>
      <c r="K246" s="6"/>
      <c r="L246" s="6"/>
      <c r="M246" s="6"/>
      <c r="N246" s="6"/>
      <c r="U246" s="1"/>
      <c r="V246" s="1"/>
      <c r="W246" s="1"/>
      <c r="X246" s="1"/>
      <c r="Y246" s="1"/>
    </row>
    <row r="247" spans="1:25" s="3" customFormat="1" x14ac:dyDescent="0.25">
      <c r="B247" s="23"/>
      <c r="J247" s="6"/>
      <c r="K247" s="6"/>
      <c r="L247" s="6"/>
      <c r="M247" s="6"/>
      <c r="N247" s="6"/>
      <c r="U247" s="1"/>
      <c r="V247" s="1"/>
      <c r="W247" s="1"/>
      <c r="X247" s="1"/>
      <c r="Y247" s="1"/>
    </row>
    <row r="248" spans="1:25" s="3" customFormat="1" x14ac:dyDescent="0.25">
      <c r="B248" s="23"/>
      <c r="J248" s="6"/>
      <c r="K248" s="6"/>
      <c r="L248" s="6"/>
      <c r="M248" s="6"/>
      <c r="N248" s="6"/>
      <c r="U248" s="1"/>
      <c r="V248" s="1"/>
      <c r="W248" s="1"/>
      <c r="X248" s="1"/>
      <c r="Y248" s="1"/>
    </row>
    <row r="249" spans="1:25" s="3" customFormat="1" x14ac:dyDescent="0.25">
      <c r="B249" s="23"/>
      <c r="J249" s="6"/>
      <c r="K249" s="6"/>
      <c r="L249" s="6"/>
      <c r="M249" s="6"/>
      <c r="N249" s="6"/>
      <c r="O249" s="6"/>
      <c r="U249" s="1"/>
      <c r="V249" s="1"/>
      <c r="W249" s="1"/>
      <c r="X249" s="1"/>
      <c r="Y249" s="1"/>
    </row>
    <row r="250" spans="1:25" s="3" customFormat="1" x14ac:dyDescent="0.25">
      <c r="B250" s="23"/>
      <c r="J250" s="6"/>
      <c r="K250" s="6"/>
      <c r="L250" s="6"/>
      <c r="M250" s="6"/>
      <c r="N250" s="6"/>
      <c r="O250" s="6"/>
      <c r="U250" s="1"/>
      <c r="V250" s="1"/>
      <c r="W250" s="1"/>
      <c r="X250" s="1"/>
      <c r="Y250" s="1"/>
    </row>
    <row r="251" spans="1:25" s="3" customFormat="1" x14ac:dyDescent="0.25">
      <c r="A251" s="6"/>
      <c r="B251" s="25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Q251" s="6"/>
      <c r="R251" s="6"/>
      <c r="S251" s="6"/>
      <c r="U251" s="1"/>
      <c r="V251" s="1"/>
      <c r="W251" s="1"/>
      <c r="X251" s="1"/>
      <c r="Y251" s="1"/>
    </row>
  </sheetData>
  <sheetProtection sheet="1" objects="1" scenarios="1"/>
  <mergeCells count="179">
    <mergeCell ref="A45:C45"/>
    <mergeCell ref="A46:C46"/>
    <mergeCell ref="A47:C47"/>
    <mergeCell ref="A48:C48"/>
    <mergeCell ref="A49:C49"/>
    <mergeCell ref="A50:C50"/>
    <mergeCell ref="A51:C51"/>
    <mergeCell ref="M40:N40"/>
    <mergeCell ref="M41:N41"/>
    <mergeCell ref="M42:N42"/>
    <mergeCell ref="M43:N43"/>
    <mergeCell ref="M44:N44"/>
    <mergeCell ref="K41:L41"/>
    <mergeCell ref="A42:C42"/>
    <mergeCell ref="D42:E42"/>
    <mergeCell ref="K42:L42"/>
    <mergeCell ref="A43:C43"/>
    <mergeCell ref="D43:E43"/>
    <mergeCell ref="K43:L43"/>
    <mergeCell ref="A44:C44"/>
    <mergeCell ref="D44:E44"/>
    <mergeCell ref="K44:L44"/>
    <mergeCell ref="A41:C41"/>
    <mergeCell ref="D41:E41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K18:L18"/>
    <mergeCell ref="M18:N18"/>
    <mergeCell ref="D17:E17"/>
    <mergeCell ref="F17:G17"/>
    <mergeCell ref="H17:I17"/>
    <mergeCell ref="K17:L17"/>
    <mergeCell ref="M17:N17"/>
    <mergeCell ref="A17:C17"/>
    <mergeCell ref="A18:C18"/>
    <mergeCell ref="M20:N20"/>
    <mergeCell ref="R3:T3"/>
    <mergeCell ref="B5:K5"/>
    <mergeCell ref="L5:N5"/>
    <mergeCell ref="R5:T5"/>
    <mergeCell ref="K13:L13"/>
    <mergeCell ref="F15:N15"/>
    <mergeCell ref="A16:C16"/>
    <mergeCell ref="D16:E16"/>
    <mergeCell ref="F16:G16"/>
    <mergeCell ref="H16:I16"/>
    <mergeCell ref="K16:L16"/>
    <mergeCell ref="M16:N16"/>
    <mergeCell ref="C8:F8"/>
    <mergeCell ref="K8:N8"/>
    <mergeCell ref="C10:F10"/>
    <mergeCell ref="K10:N10"/>
    <mergeCell ref="C12:F12"/>
    <mergeCell ref="K12:L12"/>
    <mergeCell ref="D2:K4"/>
    <mergeCell ref="L2:N4"/>
    <mergeCell ref="D18:E18"/>
    <mergeCell ref="F18:G18"/>
    <mergeCell ref="H18:I18"/>
    <mergeCell ref="D23:E23"/>
    <mergeCell ref="F23:G23"/>
    <mergeCell ref="H23:I23"/>
    <mergeCell ref="K23:L23"/>
    <mergeCell ref="M23:N23"/>
    <mergeCell ref="D19:E19"/>
    <mergeCell ref="F19:G19"/>
    <mergeCell ref="H19:I19"/>
    <mergeCell ref="K19:L19"/>
    <mergeCell ref="M19:N19"/>
    <mergeCell ref="D22:E22"/>
    <mergeCell ref="F22:G22"/>
    <mergeCell ref="H22:I22"/>
    <mergeCell ref="K22:L22"/>
    <mergeCell ref="M22:N22"/>
    <mergeCell ref="D21:E21"/>
    <mergeCell ref="F21:G21"/>
    <mergeCell ref="H21:I21"/>
    <mergeCell ref="K21:L21"/>
    <mergeCell ref="M21:N21"/>
    <mergeCell ref="D20:E20"/>
    <mergeCell ref="F20:G20"/>
    <mergeCell ref="H20:I20"/>
    <mergeCell ref="K20:L20"/>
    <mergeCell ref="D25:E25"/>
    <mergeCell ref="F25:G25"/>
    <mergeCell ref="H25:I25"/>
    <mergeCell ref="K25:L25"/>
    <mergeCell ref="M25:N25"/>
    <mergeCell ref="D24:E24"/>
    <mergeCell ref="F24:G24"/>
    <mergeCell ref="H24:I24"/>
    <mergeCell ref="K24:L24"/>
    <mergeCell ref="M24:N24"/>
    <mergeCell ref="D27:E27"/>
    <mergeCell ref="F27:G27"/>
    <mergeCell ref="H27:I27"/>
    <mergeCell ref="K27:L27"/>
    <mergeCell ref="M27:N27"/>
    <mergeCell ref="A28:C28"/>
    <mergeCell ref="D26:E26"/>
    <mergeCell ref="F26:G26"/>
    <mergeCell ref="H26:I26"/>
    <mergeCell ref="K26:L26"/>
    <mergeCell ref="M26:N26"/>
    <mergeCell ref="M30:N30"/>
    <mergeCell ref="D29:E29"/>
    <mergeCell ref="F29:G29"/>
    <mergeCell ref="H29:I29"/>
    <mergeCell ref="K29:L29"/>
    <mergeCell ref="M29:N29"/>
    <mergeCell ref="A29:C29"/>
    <mergeCell ref="A30:C30"/>
    <mergeCell ref="D28:E28"/>
    <mergeCell ref="F28:G28"/>
    <mergeCell ref="H28:I28"/>
    <mergeCell ref="K28:L28"/>
    <mergeCell ref="M28:N28"/>
    <mergeCell ref="D31:E31"/>
    <mergeCell ref="K31:L31"/>
    <mergeCell ref="D32:E32"/>
    <mergeCell ref="K32:L32"/>
    <mergeCell ref="A31:C31"/>
    <mergeCell ref="A32:C32"/>
    <mergeCell ref="A33:C33"/>
    <mergeCell ref="A34:C34"/>
    <mergeCell ref="D30:E30"/>
    <mergeCell ref="F30:G30"/>
    <mergeCell ref="H30:I30"/>
    <mergeCell ref="K30:L30"/>
    <mergeCell ref="D35:E35"/>
    <mergeCell ref="K35:L35"/>
    <mergeCell ref="D36:E36"/>
    <mergeCell ref="K36:L36"/>
    <mergeCell ref="A35:C35"/>
    <mergeCell ref="A36:C36"/>
    <mergeCell ref="A37:C37"/>
    <mergeCell ref="D33:E33"/>
    <mergeCell ref="K33:L33"/>
    <mergeCell ref="D34:E34"/>
    <mergeCell ref="K34:L34"/>
    <mergeCell ref="D37:E37"/>
    <mergeCell ref="K37:L37"/>
    <mergeCell ref="A38:C38"/>
    <mergeCell ref="D38:E38"/>
    <mergeCell ref="K38:L38"/>
    <mergeCell ref="A39:C39"/>
    <mergeCell ref="D39:E39"/>
    <mergeCell ref="K39:L39"/>
    <mergeCell ref="A40:C40"/>
    <mergeCell ref="D40:E40"/>
    <mergeCell ref="K40:L40"/>
    <mergeCell ref="D53:E53"/>
    <mergeCell ref="F53:G53"/>
    <mergeCell ref="H53:I53"/>
    <mergeCell ref="M53:N53"/>
    <mergeCell ref="B59:F64"/>
    <mergeCell ref="J59:N64"/>
    <mergeCell ref="A52:C52"/>
    <mergeCell ref="D52:E52"/>
    <mergeCell ref="F52:G52"/>
    <mergeCell ref="H52:I52"/>
    <mergeCell ref="K52:L52"/>
    <mergeCell ref="M52:N52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</mergeCells>
  <conditionalFormatting sqref="D17:D37 D52">
    <cfRule type="expression" dxfId="51" priority="5">
      <formula>#REF!="Non"</formula>
    </cfRule>
    <cfRule type="expression" dxfId="50" priority="6">
      <formula>#REF!="Oui"</formula>
    </cfRule>
  </conditionalFormatting>
  <conditionalFormatting sqref="D38:D51">
    <cfRule type="expression" dxfId="49" priority="1">
      <formula>#REF!="Non"</formula>
    </cfRule>
    <cfRule type="expression" dxfId="48" priority="2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2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</sheetPr>
  <dimension ref="A1:BD246"/>
  <sheetViews>
    <sheetView topLeftCell="A13" zoomScale="90" zoomScaleNormal="90" workbookViewId="0">
      <selection activeCell="T39" sqref="T39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2" style="6" customWidth="1"/>
    <col min="4" max="4" width="8.42578125" style="6" customWidth="1"/>
    <col min="5" max="5" width="10.42578125" style="6" customWidth="1"/>
    <col min="6" max="6" width="5.42578125" style="6" customWidth="1"/>
    <col min="7" max="7" width="9.85546875" style="6" customWidth="1"/>
    <col min="8" max="8" width="5.85546875" style="6" customWidth="1"/>
    <col min="9" max="9" width="1.85546875" style="6" customWidth="1"/>
    <col min="10" max="10" width="11.85546875" style="6" customWidth="1"/>
    <col min="11" max="12" width="8.140625" style="6" customWidth="1"/>
    <col min="13" max="13" width="6.5703125" style="6" customWidth="1"/>
    <col min="14" max="14" width="9.5703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68</v>
      </c>
      <c r="E2" s="195"/>
      <c r="F2" s="195"/>
      <c r="G2" s="195"/>
      <c r="H2" s="195"/>
      <c r="I2" s="195"/>
      <c r="J2" s="195"/>
      <c r="K2" s="195"/>
      <c r="L2" s="251">
        <v>45505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6"/>
      <c r="Q3" s="4"/>
      <c r="R3" s="220"/>
      <c r="S3" s="220"/>
      <c r="T3" s="220"/>
      <c r="U3" s="36"/>
      <c r="V3" s="36"/>
      <c r="W3" s="36"/>
      <c r="X3" s="36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6"/>
      <c r="Q4" s="4"/>
      <c r="R4" s="36"/>
      <c r="S4" s="36"/>
      <c r="T4" s="36"/>
      <c r="U4" s="36"/>
      <c r="V4" s="36"/>
      <c r="W4" s="36"/>
      <c r="X4" s="36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v>45503</v>
      </c>
      <c r="M5" s="222"/>
      <c r="N5" s="222"/>
      <c r="O5" s="3"/>
      <c r="P5" s="36"/>
      <c r="Q5" s="5"/>
      <c r="R5" s="220"/>
      <c r="S5" s="220"/>
      <c r="T5" s="220"/>
      <c r="U5" s="36"/>
      <c r="V5" s="36"/>
      <c r="W5" s="36"/>
      <c r="X5" s="36"/>
      <c r="Y5" s="5"/>
    </row>
    <row r="6" spans="1:25" ht="19.5" customHeight="1" x14ac:dyDescent="0.35">
      <c r="A6" s="46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40"/>
      <c r="V6" s="40"/>
      <c r="W6" s="40"/>
      <c r="X6" s="40"/>
      <c r="Y6" s="5"/>
    </row>
    <row r="7" spans="1:25" ht="19.5" customHeight="1" thickBot="1" x14ac:dyDescent="0.4">
      <c r="A7" s="42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40"/>
      <c r="V7" s="40"/>
      <c r="W7" s="40"/>
      <c r="X7" s="40"/>
      <c r="Y7" s="5"/>
    </row>
    <row r="8" spans="1:25" ht="18" customHeight="1" thickBot="1" x14ac:dyDescent="0.3">
      <c r="A8" s="8" t="s">
        <v>2</v>
      </c>
      <c r="B8" s="24"/>
      <c r="C8" s="324"/>
      <c r="D8" s="325"/>
      <c r="E8" s="325"/>
      <c r="F8" s="326"/>
      <c r="G8" s="9"/>
      <c r="H8" s="8" t="s">
        <v>26</v>
      </c>
      <c r="I8" s="8"/>
      <c r="J8" s="8"/>
      <c r="K8" s="324"/>
      <c r="L8" s="325"/>
      <c r="M8" s="325"/>
      <c r="N8" s="326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324"/>
      <c r="D10" s="325"/>
      <c r="E10" s="325"/>
      <c r="F10" s="326"/>
      <c r="G10" s="9"/>
      <c r="H10" s="8" t="s">
        <v>25</v>
      </c>
      <c r="I10" s="8"/>
      <c r="J10" s="8"/>
      <c r="K10" s="324"/>
      <c r="L10" s="325"/>
      <c r="M10" s="325"/>
      <c r="N10" s="326"/>
      <c r="O10" s="26"/>
      <c r="P10" s="26"/>
      <c r="Q10" s="26"/>
      <c r="R10" s="26"/>
      <c r="S10" s="26"/>
      <c r="T10" s="26"/>
      <c r="U10" s="11"/>
    </row>
    <row r="11" spans="1:25" ht="13.5" customHeight="1" x14ac:dyDescent="0.3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3.5" customHeight="1" x14ac:dyDescent="0.3">
      <c r="A12" s="8"/>
      <c r="B12" s="24"/>
      <c r="C12" s="24"/>
      <c r="D12" s="24"/>
      <c r="E12" s="24"/>
      <c r="F12" s="24"/>
      <c r="G12" s="9"/>
      <c r="H12" s="8"/>
      <c r="I12" s="8"/>
      <c r="J12" s="8"/>
      <c r="K12" s="8"/>
      <c r="L12" s="8"/>
      <c r="M12" s="8"/>
      <c r="N12" s="8"/>
      <c r="O12" s="26"/>
      <c r="P12" s="26"/>
      <c r="Q12" s="26"/>
      <c r="R12" s="26"/>
      <c r="S12" s="26"/>
      <c r="T12" s="26"/>
      <c r="U12" s="11"/>
    </row>
    <row r="13" spans="1:25" s="19" customFormat="1" ht="54.75" customHeight="1" x14ac:dyDescent="0.25">
      <c r="A13" s="200" t="s">
        <v>1</v>
      </c>
      <c r="B13" s="201"/>
      <c r="C13" s="202"/>
      <c r="D13" s="203" t="s">
        <v>55</v>
      </c>
      <c r="E13" s="204"/>
      <c r="F13" s="205" t="s">
        <v>54</v>
      </c>
      <c r="G13" s="205"/>
      <c r="H13" s="203" t="s">
        <v>56</v>
      </c>
      <c r="I13" s="206"/>
      <c r="J13" s="207"/>
      <c r="K13" s="203" t="s">
        <v>57</v>
      </c>
      <c r="L13" s="208"/>
      <c r="M13" s="205" t="s">
        <v>53</v>
      </c>
      <c r="N13" s="205"/>
      <c r="O13" s="26"/>
      <c r="P13" s="26"/>
      <c r="Q13" s="26"/>
      <c r="R13" s="26"/>
      <c r="S13" s="26"/>
      <c r="T13" s="26"/>
      <c r="U13" s="20"/>
      <c r="V13" s="20"/>
      <c r="W13" s="20"/>
      <c r="X13" s="21"/>
    </row>
    <row r="14" spans="1:25" s="3" customFormat="1" ht="15.75" x14ac:dyDescent="0.25">
      <c r="A14" s="319">
        <v>45474</v>
      </c>
      <c r="B14" s="286"/>
      <c r="C14" s="287"/>
      <c r="D14" s="322"/>
      <c r="E14" s="322"/>
      <c r="F14" s="323"/>
      <c r="G14" s="323"/>
      <c r="H14" s="323"/>
      <c r="I14" s="323"/>
      <c r="J14" s="323"/>
      <c r="K14" s="323"/>
      <c r="L14" s="323"/>
      <c r="M14" s="309"/>
      <c r="N14" s="310"/>
      <c r="O14" s="26"/>
      <c r="P14" s="26"/>
      <c r="Q14" s="26"/>
      <c r="R14" s="26"/>
      <c r="S14" s="26"/>
      <c r="T14" s="26"/>
      <c r="U14" s="13"/>
      <c r="V14" s="13"/>
      <c r="W14" s="13"/>
      <c r="X14" s="1"/>
    </row>
    <row r="15" spans="1:25" s="3" customFormat="1" ht="15.75" x14ac:dyDescent="0.25">
      <c r="A15" s="319">
        <v>45475</v>
      </c>
      <c r="B15" s="286"/>
      <c r="C15" s="287"/>
      <c r="D15" s="322"/>
      <c r="E15" s="322"/>
      <c r="F15" s="323"/>
      <c r="G15" s="323"/>
      <c r="H15" s="323"/>
      <c r="I15" s="323"/>
      <c r="J15" s="323"/>
      <c r="K15" s="323"/>
      <c r="L15" s="323"/>
      <c r="M15" s="309"/>
      <c r="N15" s="310"/>
      <c r="P15" s="26"/>
      <c r="Q15" s="26"/>
      <c r="R15" s="26"/>
      <c r="S15" s="26"/>
      <c r="T15" s="26"/>
      <c r="U15" s="13"/>
      <c r="V15" s="13"/>
      <c r="W15" s="13"/>
      <c r="X15" s="1"/>
    </row>
    <row r="16" spans="1:25" s="3" customFormat="1" ht="15.75" x14ac:dyDescent="0.25">
      <c r="A16" s="319">
        <v>45476</v>
      </c>
      <c r="B16" s="286"/>
      <c r="C16" s="287"/>
      <c r="D16" s="322"/>
      <c r="E16" s="322"/>
      <c r="F16" s="323"/>
      <c r="G16" s="323"/>
      <c r="H16" s="323"/>
      <c r="I16" s="323"/>
      <c r="J16" s="323"/>
      <c r="K16" s="323"/>
      <c r="L16" s="323"/>
      <c r="M16" s="309"/>
      <c r="N16" s="310"/>
      <c r="P16" s="26"/>
      <c r="Q16" s="26"/>
      <c r="R16" s="26"/>
      <c r="S16" s="26"/>
      <c r="T16" s="26"/>
      <c r="U16" s="26"/>
      <c r="V16" s="13"/>
      <c r="W16" s="13"/>
      <c r="X16" s="1"/>
    </row>
    <row r="17" spans="1:24" s="3" customFormat="1" x14ac:dyDescent="0.25">
      <c r="A17" s="319">
        <v>45477</v>
      </c>
      <c r="B17" s="286"/>
      <c r="C17" s="287"/>
      <c r="D17" s="322"/>
      <c r="E17" s="322"/>
      <c r="F17" s="323"/>
      <c r="G17" s="323"/>
      <c r="H17" s="323"/>
      <c r="I17" s="323"/>
      <c r="J17" s="323"/>
      <c r="K17" s="323"/>
      <c r="L17" s="323"/>
      <c r="M17" s="309"/>
      <c r="N17" s="310"/>
      <c r="P17" s="12"/>
      <c r="Q17" s="12"/>
      <c r="R17" s="12"/>
      <c r="S17" s="12"/>
      <c r="T17" s="13"/>
      <c r="U17" s="13"/>
      <c r="V17" s="13"/>
      <c r="W17" s="13"/>
      <c r="X17" s="1"/>
    </row>
    <row r="18" spans="1:24" s="3" customFormat="1" x14ac:dyDescent="0.25">
      <c r="A18" s="319">
        <v>45478</v>
      </c>
      <c r="B18" s="286"/>
      <c r="C18" s="287"/>
      <c r="D18" s="322"/>
      <c r="E18" s="322"/>
      <c r="F18" s="323"/>
      <c r="G18" s="323"/>
      <c r="H18" s="309"/>
      <c r="I18" s="327"/>
      <c r="J18" s="310"/>
      <c r="K18" s="323"/>
      <c r="L18" s="323"/>
      <c r="M18" s="309"/>
      <c r="N18" s="310"/>
      <c r="P18" s="12"/>
      <c r="Q18" s="12"/>
      <c r="R18" s="12"/>
      <c r="S18" s="12"/>
      <c r="T18" s="13"/>
      <c r="U18" s="13"/>
      <c r="V18" s="13"/>
      <c r="W18" s="13"/>
      <c r="X18" s="1"/>
    </row>
    <row r="19" spans="1:24" s="3" customFormat="1" x14ac:dyDescent="0.25">
      <c r="A19" s="319">
        <v>45479</v>
      </c>
      <c r="B19" s="286"/>
      <c r="C19" s="287"/>
      <c r="D19" s="322"/>
      <c r="E19" s="322"/>
      <c r="F19" s="323"/>
      <c r="G19" s="323"/>
      <c r="H19" s="323"/>
      <c r="I19" s="323"/>
      <c r="J19" s="323"/>
      <c r="K19" s="323"/>
      <c r="L19" s="323"/>
      <c r="M19" s="309"/>
      <c r="N19" s="310"/>
      <c r="P19" s="12"/>
      <c r="Q19" s="12"/>
      <c r="R19" s="12"/>
      <c r="S19" s="12"/>
      <c r="T19" s="13"/>
      <c r="U19" s="13"/>
      <c r="V19" s="13"/>
      <c r="W19" s="13"/>
      <c r="X19" s="1"/>
    </row>
    <row r="20" spans="1:24" s="3" customFormat="1" x14ac:dyDescent="0.25">
      <c r="A20" s="319">
        <v>45480</v>
      </c>
      <c r="B20" s="286"/>
      <c r="C20" s="287"/>
      <c r="D20" s="322"/>
      <c r="E20" s="322"/>
      <c r="F20" s="323"/>
      <c r="G20" s="323"/>
      <c r="H20" s="323"/>
      <c r="I20" s="323"/>
      <c r="J20" s="323"/>
      <c r="K20" s="323"/>
      <c r="L20" s="323"/>
      <c r="M20" s="309"/>
      <c r="N20" s="310"/>
      <c r="P20" s="12"/>
      <c r="Q20" s="12"/>
      <c r="R20" s="12"/>
      <c r="S20" s="12"/>
      <c r="T20" s="13"/>
      <c r="U20" s="13"/>
      <c r="V20" s="13"/>
      <c r="W20" s="13"/>
      <c r="X20" s="1"/>
    </row>
    <row r="21" spans="1:24" s="3" customFormat="1" x14ac:dyDescent="0.25">
      <c r="A21" s="319">
        <v>45481</v>
      </c>
      <c r="B21" s="286"/>
      <c r="C21" s="287"/>
      <c r="D21" s="322"/>
      <c r="E21" s="322"/>
      <c r="F21" s="323"/>
      <c r="G21" s="323"/>
      <c r="H21" s="323"/>
      <c r="I21" s="323"/>
      <c r="J21" s="323"/>
      <c r="K21" s="323"/>
      <c r="L21" s="323"/>
      <c r="M21" s="309"/>
      <c r="N21" s="310"/>
      <c r="P21" s="12"/>
      <c r="Q21" s="12"/>
      <c r="R21" s="12"/>
      <c r="S21" s="12"/>
      <c r="T21" s="13"/>
      <c r="U21" s="13"/>
      <c r="V21" s="13"/>
      <c r="W21" s="13"/>
      <c r="X21" s="1"/>
    </row>
    <row r="22" spans="1:24" s="3" customFormat="1" x14ac:dyDescent="0.25">
      <c r="A22" s="319">
        <v>45482</v>
      </c>
      <c r="B22" s="286"/>
      <c r="C22" s="287"/>
      <c r="D22" s="322"/>
      <c r="E22" s="322"/>
      <c r="F22" s="323"/>
      <c r="G22" s="323"/>
      <c r="H22" s="323"/>
      <c r="I22" s="323"/>
      <c r="J22" s="323"/>
      <c r="K22" s="323"/>
      <c r="L22" s="323"/>
      <c r="M22" s="309"/>
      <c r="N22" s="310"/>
      <c r="P22" s="12"/>
      <c r="Q22" s="12"/>
      <c r="R22" s="12"/>
      <c r="S22" s="12"/>
      <c r="T22" s="13"/>
      <c r="U22" s="13"/>
      <c r="V22" s="13"/>
      <c r="W22" s="13"/>
      <c r="X22" s="1"/>
    </row>
    <row r="23" spans="1:24" s="3" customFormat="1" x14ac:dyDescent="0.25">
      <c r="A23" s="319">
        <v>45483</v>
      </c>
      <c r="B23" s="286"/>
      <c r="C23" s="287"/>
      <c r="D23" s="322"/>
      <c r="E23" s="322"/>
      <c r="F23" s="323"/>
      <c r="G23" s="323"/>
      <c r="H23" s="323"/>
      <c r="I23" s="323"/>
      <c r="J23" s="323"/>
      <c r="K23" s="323"/>
      <c r="L23" s="323"/>
      <c r="M23" s="309"/>
      <c r="N23" s="310"/>
      <c r="P23" s="12"/>
      <c r="Q23" s="12"/>
      <c r="R23" s="12"/>
      <c r="S23" s="12"/>
      <c r="T23" s="13"/>
      <c r="U23" s="13"/>
      <c r="V23" s="13"/>
      <c r="W23" s="13"/>
      <c r="X23" s="1"/>
    </row>
    <row r="24" spans="1:24" s="3" customFormat="1" x14ac:dyDescent="0.25">
      <c r="A24" s="319">
        <v>45484</v>
      </c>
      <c r="B24" s="286"/>
      <c r="C24" s="287"/>
      <c r="D24" s="322"/>
      <c r="E24" s="322"/>
      <c r="F24" s="323"/>
      <c r="G24" s="323"/>
      <c r="H24" s="323"/>
      <c r="I24" s="323"/>
      <c r="J24" s="323"/>
      <c r="K24" s="323"/>
      <c r="L24" s="323"/>
      <c r="M24" s="309"/>
      <c r="N24" s="310"/>
      <c r="P24" s="12"/>
      <c r="Q24" s="15"/>
      <c r="R24" s="15"/>
      <c r="S24" s="15"/>
      <c r="T24" s="13"/>
      <c r="U24" s="13"/>
      <c r="V24" s="13"/>
      <c r="W24" s="13"/>
      <c r="X24" s="1"/>
    </row>
    <row r="25" spans="1:24" s="3" customFormat="1" x14ac:dyDescent="0.25">
      <c r="A25" s="319">
        <v>45485</v>
      </c>
      <c r="B25" s="286"/>
      <c r="C25" s="287"/>
      <c r="D25" s="322"/>
      <c r="E25" s="322"/>
      <c r="F25" s="323"/>
      <c r="G25" s="323"/>
      <c r="H25" s="323"/>
      <c r="I25" s="323"/>
      <c r="J25" s="323"/>
      <c r="K25" s="323"/>
      <c r="L25" s="323"/>
      <c r="M25" s="309"/>
      <c r="N25" s="310"/>
      <c r="P25" s="12"/>
      <c r="Q25" s="15"/>
      <c r="R25" s="15"/>
      <c r="S25" s="15"/>
      <c r="T25" s="13"/>
      <c r="U25" s="13"/>
      <c r="V25" s="13"/>
      <c r="W25" s="13"/>
      <c r="X25" s="1"/>
    </row>
    <row r="26" spans="1:24" s="3" customFormat="1" x14ac:dyDescent="0.25">
      <c r="A26" s="319">
        <v>45486</v>
      </c>
      <c r="B26" s="286"/>
      <c r="C26" s="287"/>
      <c r="D26" s="322"/>
      <c r="E26" s="322"/>
      <c r="F26" s="323"/>
      <c r="G26" s="323"/>
      <c r="H26" s="323"/>
      <c r="I26" s="323"/>
      <c r="J26" s="323"/>
      <c r="K26" s="323"/>
      <c r="L26" s="323"/>
      <c r="M26" s="309"/>
      <c r="N26" s="310"/>
      <c r="P26" s="12"/>
      <c r="Q26" s="15"/>
      <c r="R26" s="15"/>
      <c r="S26" s="15"/>
      <c r="T26" s="13"/>
      <c r="U26" s="13"/>
      <c r="V26" s="13"/>
      <c r="W26" s="13"/>
      <c r="X26" s="1"/>
    </row>
    <row r="27" spans="1:24" s="3" customFormat="1" x14ac:dyDescent="0.25">
      <c r="A27" s="319">
        <v>45487</v>
      </c>
      <c r="B27" s="286"/>
      <c r="C27" s="287"/>
      <c r="D27" s="322"/>
      <c r="E27" s="322"/>
      <c r="F27" s="323"/>
      <c r="G27" s="323"/>
      <c r="H27" s="323"/>
      <c r="I27" s="323"/>
      <c r="J27" s="323"/>
      <c r="K27" s="323"/>
      <c r="L27" s="323"/>
      <c r="M27" s="309"/>
      <c r="N27" s="310"/>
      <c r="O27" s="1"/>
      <c r="P27" s="12"/>
      <c r="Q27" s="15"/>
      <c r="R27" s="15"/>
      <c r="S27" s="15"/>
      <c r="T27" s="13"/>
      <c r="U27" s="13"/>
      <c r="V27" s="13"/>
      <c r="W27" s="13"/>
      <c r="X27" s="1"/>
    </row>
    <row r="28" spans="1:24" s="3" customFormat="1" x14ac:dyDescent="0.25">
      <c r="A28" s="319">
        <v>45488</v>
      </c>
      <c r="B28" s="286"/>
      <c r="C28" s="287"/>
      <c r="D28" s="322"/>
      <c r="E28" s="322"/>
      <c r="F28" s="323"/>
      <c r="G28" s="323"/>
      <c r="H28" s="323"/>
      <c r="I28" s="323"/>
      <c r="J28" s="323"/>
      <c r="K28" s="323"/>
      <c r="L28" s="323"/>
      <c r="M28" s="309"/>
      <c r="N28" s="310"/>
      <c r="P28" s="12"/>
      <c r="Q28" s="15"/>
      <c r="R28" s="15"/>
      <c r="S28" s="15"/>
      <c r="T28" s="13"/>
      <c r="U28" s="13"/>
      <c r="V28" s="13"/>
      <c r="W28" s="13"/>
      <c r="X28" s="1"/>
    </row>
    <row r="29" spans="1:24" s="3" customFormat="1" x14ac:dyDescent="0.25">
      <c r="A29" s="319">
        <v>45489</v>
      </c>
      <c r="B29" s="286"/>
      <c r="C29" s="287"/>
      <c r="D29" s="322"/>
      <c r="E29" s="322"/>
      <c r="F29" s="323"/>
      <c r="G29" s="323"/>
      <c r="H29" s="323"/>
      <c r="I29" s="323"/>
      <c r="J29" s="323"/>
      <c r="K29" s="323"/>
      <c r="L29" s="323"/>
      <c r="M29" s="309"/>
      <c r="N29" s="310"/>
      <c r="P29" s="12"/>
      <c r="Q29" s="15"/>
      <c r="R29" s="15"/>
      <c r="S29" s="15"/>
      <c r="T29" s="13"/>
      <c r="U29" s="13"/>
      <c r="V29" s="13"/>
      <c r="W29" s="13"/>
      <c r="X29" s="1"/>
    </row>
    <row r="30" spans="1:24" s="3" customFormat="1" x14ac:dyDescent="0.25">
      <c r="A30" s="319">
        <v>45490</v>
      </c>
      <c r="B30" s="286"/>
      <c r="C30" s="287"/>
      <c r="D30" s="322"/>
      <c r="E30" s="322"/>
      <c r="F30" s="323"/>
      <c r="G30" s="323"/>
      <c r="H30" s="323"/>
      <c r="I30" s="323"/>
      <c r="J30" s="323"/>
      <c r="K30" s="323"/>
      <c r="L30" s="323"/>
      <c r="M30" s="309"/>
      <c r="N30" s="310"/>
      <c r="P30" s="12"/>
      <c r="Q30" s="15"/>
      <c r="R30" s="15"/>
      <c r="S30" s="15"/>
      <c r="T30" s="13"/>
      <c r="U30" s="13"/>
      <c r="V30" s="13"/>
      <c r="W30" s="13"/>
      <c r="X30" s="1"/>
    </row>
    <row r="31" spans="1:24" s="3" customFormat="1" x14ac:dyDescent="0.25">
      <c r="A31" s="319">
        <v>45491</v>
      </c>
      <c r="B31" s="286"/>
      <c r="C31" s="287"/>
      <c r="D31" s="322"/>
      <c r="E31" s="322"/>
      <c r="F31" s="323"/>
      <c r="G31" s="323"/>
      <c r="H31" s="323"/>
      <c r="I31" s="323"/>
      <c r="J31" s="323"/>
      <c r="K31" s="323"/>
      <c r="L31" s="323"/>
      <c r="M31" s="309"/>
      <c r="N31" s="310"/>
      <c r="P31" s="12"/>
      <c r="Q31" s="15"/>
      <c r="R31" s="15"/>
      <c r="S31" s="15"/>
      <c r="T31" s="13"/>
      <c r="U31" s="13"/>
      <c r="V31" s="13"/>
      <c r="W31" s="13"/>
      <c r="X31" s="1"/>
    </row>
    <row r="32" spans="1:24" s="3" customFormat="1" x14ac:dyDescent="0.25">
      <c r="A32" s="319">
        <v>45492</v>
      </c>
      <c r="B32" s="286"/>
      <c r="C32" s="287"/>
      <c r="D32" s="322"/>
      <c r="E32" s="322"/>
      <c r="F32" s="323"/>
      <c r="G32" s="323"/>
      <c r="H32" s="323"/>
      <c r="I32" s="323"/>
      <c r="J32" s="323"/>
      <c r="K32" s="323"/>
      <c r="L32" s="323"/>
      <c r="M32" s="309"/>
      <c r="N32" s="310"/>
      <c r="P32" s="12"/>
      <c r="Q32" s="15"/>
      <c r="R32" s="15"/>
      <c r="S32" s="15"/>
      <c r="T32" s="13"/>
      <c r="U32" s="13"/>
      <c r="V32" s="13"/>
      <c r="W32" s="13"/>
      <c r="X32" s="1"/>
    </row>
    <row r="33" spans="1:24" s="3" customFormat="1" x14ac:dyDescent="0.25">
      <c r="A33" s="319">
        <v>45493</v>
      </c>
      <c r="B33" s="286"/>
      <c r="C33" s="287"/>
      <c r="D33" s="322"/>
      <c r="E33" s="322"/>
      <c r="F33" s="323"/>
      <c r="G33" s="323"/>
      <c r="H33" s="323"/>
      <c r="I33" s="323"/>
      <c r="J33" s="323"/>
      <c r="K33" s="323"/>
      <c r="L33" s="323"/>
      <c r="M33" s="309"/>
      <c r="N33" s="310"/>
      <c r="P33" s="12"/>
      <c r="Q33" s="15"/>
      <c r="R33" s="15"/>
      <c r="S33" s="15"/>
      <c r="T33" s="13"/>
      <c r="U33" s="13"/>
      <c r="V33" s="13"/>
      <c r="W33" s="13"/>
      <c r="X33" s="1"/>
    </row>
    <row r="34" spans="1:24" s="3" customFormat="1" x14ac:dyDescent="0.25">
      <c r="A34" s="319">
        <v>45494</v>
      </c>
      <c r="B34" s="286"/>
      <c r="C34" s="287"/>
      <c r="D34" s="322"/>
      <c r="E34" s="322"/>
      <c r="F34" s="323"/>
      <c r="G34" s="323"/>
      <c r="H34" s="323"/>
      <c r="I34" s="323"/>
      <c r="J34" s="323"/>
      <c r="K34" s="323"/>
      <c r="L34" s="323"/>
      <c r="M34" s="309"/>
      <c r="N34" s="310"/>
      <c r="P34" s="12"/>
      <c r="Q34" s="15"/>
      <c r="R34" s="15"/>
      <c r="S34" s="15"/>
      <c r="T34" s="13"/>
      <c r="U34" s="13"/>
      <c r="V34" s="13"/>
      <c r="W34" s="13"/>
      <c r="X34" s="1"/>
    </row>
    <row r="35" spans="1:24" s="3" customFormat="1" x14ac:dyDescent="0.25">
      <c r="A35" s="319">
        <v>45495</v>
      </c>
      <c r="B35" s="286"/>
      <c r="C35" s="287"/>
      <c r="D35" s="320"/>
      <c r="E35" s="321"/>
      <c r="F35" s="309"/>
      <c r="G35" s="310"/>
      <c r="H35" s="43"/>
      <c r="I35" s="44"/>
      <c r="J35" s="45"/>
      <c r="K35" s="309"/>
      <c r="L35" s="310"/>
      <c r="M35" s="43"/>
      <c r="N35" s="45"/>
      <c r="P35" s="12"/>
      <c r="Q35" s="15"/>
      <c r="R35" s="15"/>
      <c r="S35" s="15"/>
      <c r="T35" s="13"/>
      <c r="U35" s="13"/>
      <c r="V35" s="13"/>
      <c r="W35" s="13"/>
      <c r="X35" s="1"/>
    </row>
    <row r="36" spans="1:24" s="3" customFormat="1" x14ac:dyDescent="0.25">
      <c r="A36" s="319">
        <v>45496</v>
      </c>
      <c r="B36" s="286"/>
      <c r="C36" s="287"/>
      <c r="D36" s="320"/>
      <c r="E36" s="321"/>
      <c r="F36" s="309"/>
      <c r="G36" s="310"/>
      <c r="H36" s="43"/>
      <c r="I36" s="44"/>
      <c r="J36" s="45"/>
      <c r="K36" s="309"/>
      <c r="L36" s="310"/>
      <c r="M36" s="43"/>
      <c r="N36" s="45"/>
      <c r="P36" s="12"/>
      <c r="Q36" s="15"/>
      <c r="R36" s="15"/>
      <c r="S36" s="15"/>
      <c r="T36" s="13"/>
      <c r="U36" s="13"/>
      <c r="V36" s="13"/>
      <c r="W36" s="13"/>
      <c r="X36" s="1"/>
    </row>
    <row r="37" spans="1:24" s="3" customFormat="1" x14ac:dyDescent="0.25">
      <c r="A37" s="319">
        <v>45497</v>
      </c>
      <c r="B37" s="286"/>
      <c r="C37" s="287"/>
      <c r="D37" s="320"/>
      <c r="E37" s="321"/>
      <c r="F37" s="309"/>
      <c r="G37" s="310"/>
      <c r="H37" s="43"/>
      <c r="I37" s="44"/>
      <c r="J37" s="45"/>
      <c r="K37" s="309"/>
      <c r="L37" s="310"/>
      <c r="M37" s="43"/>
      <c r="N37" s="45"/>
      <c r="P37" s="12"/>
      <c r="Q37" s="15"/>
      <c r="R37" s="15"/>
      <c r="S37" s="15"/>
      <c r="T37" s="13"/>
      <c r="U37" s="13"/>
      <c r="V37" s="13"/>
      <c r="W37" s="13"/>
      <c r="X37" s="1"/>
    </row>
    <row r="38" spans="1:24" s="3" customFormat="1" x14ac:dyDescent="0.25">
      <c r="A38" s="319">
        <v>45498</v>
      </c>
      <c r="B38" s="286"/>
      <c r="C38" s="287"/>
      <c r="D38" s="320"/>
      <c r="E38" s="321"/>
      <c r="F38" s="309"/>
      <c r="G38" s="310"/>
      <c r="H38" s="43"/>
      <c r="I38" s="44"/>
      <c r="J38" s="45"/>
      <c r="K38" s="309"/>
      <c r="L38" s="310"/>
      <c r="M38" s="43"/>
      <c r="N38" s="45"/>
      <c r="P38" s="12"/>
      <c r="Q38" s="15"/>
      <c r="R38" s="15"/>
      <c r="S38" s="15"/>
      <c r="T38" s="13"/>
      <c r="U38" s="13"/>
      <c r="V38" s="13"/>
      <c r="W38" s="13"/>
      <c r="X38" s="1"/>
    </row>
    <row r="39" spans="1:24" s="3" customFormat="1" x14ac:dyDescent="0.25">
      <c r="A39" s="319">
        <v>45499</v>
      </c>
      <c r="B39" s="286"/>
      <c r="C39" s="287"/>
      <c r="D39" s="320"/>
      <c r="E39" s="321"/>
      <c r="F39" s="309"/>
      <c r="G39" s="310"/>
      <c r="H39" s="43"/>
      <c r="I39" s="44"/>
      <c r="J39" s="45"/>
      <c r="K39" s="309"/>
      <c r="L39" s="310"/>
      <c r="M39" s="43"/>
      <c r="N39" s="45"/>
      <c r="P39" s="12"/>
      <c r="Q39" s="15"/>
      <c r="R39" s="15"/>
      <c r="S39" s="15"/>
      <c r="T39" s="13"/>
      <c r="U39" s="13"/>
      <c r="V39" s="13"/>
      <c r="W39" s="13"/>
      <c r="X39" s="1"/>
    </row>
    <row r="40" spans="1:24" s="3" customFormat="1" x14ac:dyDescent="0.25">
      <c r="A40" s="319">
        <v>45500</v>
      </c>
      <c r="B40" s="286"/>
      <c r="C40" s="287"/>
      <c r="D40" s="320"/>
      <c r="E40" s="321"/>
      <c r="F40" s="309"/>
      <c r="G40" s="310"/>
      <c r="H40" s="43"/>
      <c r="I40" s="44"/>
      <c r="J40" s="45"/>
      <c r="K40" s="309"/>
      <c r="L40" s="310"/>
      <c r="M40" s="43"/>
      <c r="N40" s="45"/>
      <c r="P40" s="12"/>
      <c r="Q40" s="15"/>
      <c r="R40" s="15"/>
      <c r="S40" s="15"/>
      <c r="T40" s="13"/>
      <c r="U40" s="13"/>
      <c r="V40" s="13"/>
      <c r="W40" s="13"/>
      <c r="X40" s="1"/>
    </row>
    <row r="41" spans="1:24" s="3" customFormat="1" x14ac:dyDescent="0.25">
      <c r="A41" s="319">
        <v>45501</v>
      </c>
      <c r="B41" s="286"/>
      <c r="C41" s="287"/>
      <c r="D41" s="320"/>
      <c r="E41" s="321"/>
      <c r="F41" s="309"/>
      <c r="G41" s="310"/>
      <c r="H41" s="43"/>
      <c r="I41" s="44"/>
      <c r="J41" s="45"/>
      <c r="K41" s="309"/>
      <c r="L41" s="310"/>
      <c r="M41" s="43"/>
      <c r="N41" s="45"/>
      <c r="P41" s="12"/>
      <c r="Q41" s="15"/>
      <c r="R41" s="15"/>
      <c r="S41" s="15"/>
      <c r="T41" s="13"/>
      <c r="U41" s="13"/>
      <c r="V41" s="13"/>
      <c r="W41" s="13"/>
      <c r="X41" s="1"/>
    </row>
    <row r="42" spans="1:24" s="3" customFormat="1" ht="15.75" x14ac:dyDescent="0.25">
      <c r="A42" s="231" t="s">
        <v>21</v>
      </c>
      <c r="B42" s="232"/>
      <c r="C42" s="233"/>
      <c r="D42" s="311">
        <f>+COUNTA(D14:E41)</f>
        <v>0</v>
      </c>
      <c r="E42" s="312"/>
      <c r="F42" s="313">
        <f>+COUNTA(F14:G41)</f>
        <v>0</v>
      </c>
      <c r="G42" s="314"/>
      <c r="H42" s="316"/>
      <c r="I42" s="317"/>
      <c r="J42" s="318"/>
      <c r="K42" s="316"/>
      <c r="L42" s="318"/>
      <c r="M42" s="316"/>
      <c r="N42" s="318"/>
      <c r="P42" s="12"/>
      <c r="Q42" s="15"/>
      <c r="R42" s="15"/>
      <c r="S42" s="15"/>
      <c r="T42" s="13"/>
      <c r="U42" s="13"/>
      <c r="V42" s="13"/>
      <c r="W42" s="13"/>
      <c r="X42" s="1"/>
    </row>
    <row r="43" spans="1:24" s="3" customFormat="1" x14ac:dyDescent="0.25">
      <c r="A43" s="12"/>
      <c r="B43" s="12"/>
      <c r="C43" s="12"/>
      <c r="D43" s="238" t="s">
        <v>38</v>
      </c>
      <c r="E43" s="239"/>
      <c r="F43" s="12"/>
      <c r="G43" s="12"/>
      <c r="H43" s="12"/>
      <c r="I43" s="12"/>
      <c r="J43" s="12"/>
      <c r="K43" s="12"/>
      <c r="L43" s="12"/>
      <c r="M43" s="12"/>
      <c r="N43" s="12"/>
      <c r="P43" s="12"/>
      <c r="Q43" s="15"/>
      <c r="R43" s="15"/>
      <c r="S43" s="15"/>
      <c r="T43" s="13"/>
      <c r="U43" s="13"/>
      <c r="V43" s="13"/>
      <c r="W43" s="13"/>
      <c r="X43" s="1"/>
    </row>
    <row r="44" spans="1:24" s="3" customFormat="1" x14ac:dyDescent="0.25">
      <c r="K44" s="12"/>
      <c r="L44" s="12"/>
      <c r="M44" s="12"/>
      <c r="N44" s="12"/>
      <c r="P44" s="12"/>
      <c r="Q44" s="15"/>
      <c r="R44" s="15"/>
      <c r="S44" s="15"/>
      <c r="T44" s="13"/>
      <c r="U44" s="13"/>
      <c r="V44" s="13"/>
      <c r="W44" s="13"/>
      <c r="X44" s="1"/>
    </row>
    <row r="45" spans="1:24" s="3" customFormat="1" x14ac:dyDescent="0.25">
      <c r="A45" s="29" t="s">
        <v>20</v>
      </c>
      <c r="B45" s="30"/>
      <c r="C45" s="29"/>
      <c r="D45" s="29"/>
      <c r="E45" s="16"/>
      <c r="H45" s="18"/>
      <c r="P45" s="12"/>
      <c r="Q45" s="15"/>
      <c r="R45" s="15"/>
      <c r="S45" s="15"/>
      <c r="T45" s="13"/>
      <c r="U45" s="13"/>
      <c r="V45" s="13"/>
      <c r="W45" s="13"/>
      <c r="X45" s="1"/>
    </row>
    <row r="46" spans="1:24" s="3" customFormat="1" x14ac:dyDescent="0.25">
      <c r="A46" s="29" t="s">
        <v>7</v>
      </c>
      <c r="B46" s="30"/>
      <c r="C46" s="31">
        <f ca="1">TODAY()</f>
        <v>45320</v>
      </c>
      <c r="D46" s="29"/>
      <c r="E46" s="16"/>
      <c r="J46" s="28" t="s">
        <v>22</v>
      </c>
      <c r="P46" s="12"/>
      <c r="Q46" s="15"/>
      <c r="R46" s="15"/>
      <c r="S46" s="15"/>
      <c r="T46" s="13"/>
      <c r="U46" s="13"/>
      <c r="V46" s="13"/>
      <c r="W46" s="13"/>
      <c r="X46" s="1"/>
    </row>
    <row r="47" spans="1:24" s="3" customFormat="1" x14ac:dyDescent="0.25">
      <c r="A47" s="28"/>
      <c r="B47" s="315" t="s">
        <v>47</v>
      </c>
      <c r="C47" s="315"/>
      <c r="D47" s="315"/>
      <c r="E47" s="315"/>
      <c r="F47" s="315"/>
      <c r="J47" s="315" t="s">
        <v>48</v>
      </c>
      <c r="K47" s="315"/>
      <c r="L47" s="315"/>
      <c r="M47" s="315"/>
      <c r="N47" s="315"/>
      <c r="P47" s="12"/>
      <c r="Q47" s="15"/>
      <c r="R47" s="15"/>
      <c r="S47" s="15"/>
      <c r="T47" s="13"/>
      <c r="U47" s="13"/>
      <c r="V47" s="13"/>
      <c r="W47" s="13"/>
      <c r="X47" s="1"/>
    </row>
    <row r="48" spans="1:24" s="3" customFormat="1" x14ac:dyDescent="0.25">
      <c r="B48" s="315"/>
      <c r="C48" s="315"/>
      <c r="D48" s="315"/>
      <c r="E48" s="315"/>
      <c r="F48" s="315"/>
      <c r="J48" s="315"/>
      <c r="K48" s="315"/>
      <c r="L48" s="315"/>
      <c r="M48" s="315"/>
      <c r="N48" s="315"/>
      <c r="P48" s="12"/>
      <c r="Q48" s="15"/>
      <c r="R48" s="15"/>
      <c r="S48" s="15"/>
      <c r="T48" s="13"/>
      <c r="U48" s="13"/>
      <c r="V48" s="13"/>
      <c r="W48" s="13"/>
      <c r="X48" s="1"/>
    </row>
    <row r="49" spans="1:25" s="3" customFormat="1" ht="12.6" customHeight="1" x14ac:dyDescent="0.25">
      <c r="B49" s="315"/>
      <c r="C49" s="315"/>
      <c r="D49" s="315"/>
      <c r="E49" s="315"/>
      <c r="F49" s="315"/>
      <c r="J49" s="315"/>
      <c r="K49" s="315"/>
      <c r="L49" s="315"/>
      <c r="M49" s="315"/>
      <c r="N49" s="315"/>
      <c r="O49" s="12"/>
      <c r="P49" s="12"/>
      <c r="Q49" s="12"/>
      <c r="R49" s="12"/>
      <c r="S49" s="12"/>
      <c r="T49" s="13"/>
      <c r="U49" s="13"/>
      <c r="V49" s="13"/>
      <c r="W49" s="13"/>
      <c r="X49" s="1"/>
    </row>
    <row r="50" spans="1:25" s="3" customFormat="1" ht="12.6" customHeight="1" x14ac:dyDescent="0.25">
      <c r="B50" s="315"/>
      <c r="C50" s="315"/>
      <c r="D50" s="315"/>
      <c r="E50" s="315"/>
      <c r="F50" s="315"/>
      <c r="J50" s="315"/>
      <c r="K50" s="315"/>
      <c r="L50" s="315"/>
      <c r="M50" s="315"/>
      <c r="N50" s="315"/>
      <c r="O50" s="12"/>
      <c r="P50" s="12"/>
      <c r="Q50" s="12"/>
      <c r="R50" s="12"/>
      <c r="S50" s="12"/>
      <c r="T50" s="13"/>
      <c r="U50" s="13"/>
      <c r="V50" s="13"/>
      <c r="W50" s="13"/>
      <c r="X50" s="1"/>
    </row>
    <row r="51" spans="1:25" s="3" customFormat="1" x14ac:dyDescent="0.25">
      <c r="B51" s="315"/>
      <c r="C51" s="315"/>
      <c r="D51" s="315"/>
      <c r="E51" s="315"/>
      <c r="F51" s="315"/>
      <c r="J51" s="315"/>
      <c r="K51" s="315"/>
      <c r="L51" s="315"/>
      <c r="M51" s="315"/>
      <c r="N51" s="315"/>
      <c r="O51" s="12"/>
      <c r="P51" s="12"/>
      <c r="U51" s="1"/>
      <c r="V51" s="1"/>
      <c r="W51" s="1"/>
      <c r="X51" s="1"/>
      <c r="Y51" s="1"/>
    </row>
    <row r="52" spans="1:25" s="3" customFormat="1" x14ac:dyDescent="0.25">
      <c r="B52" s="315"/>
      <c r="C52" s="315"/>
      <c r="D52" s="315"/>
      <c r="E52" s="315"/>
      <c r="F52" s="315"/>
      <c r="J52" s="315"/>
      <c r="K52" s="315"/>
      <c r="L52" s="315"/>
      <c r="M52" s="315"/>
      <c r="N52" s="315"/>
      <c r="P52" s="12"/>
      <c r="U52" s="1"/>
      <c r="V52" s="1"/>
      <c r="W52" s="1"/>
      <c r="X52" s="1"/>
      <c r="Y52" s="1"/>
    </row>
    <row r="53" spans="1:25" s="3" customFormat="1" x14ac:dyDescent="0.25">
      <c r="A53" s="3" t="s">
        <v>46</v>
      </c>
      <c r="B53" s="23"/>
      <c r="J53" s="3" t="s">
        <v>39</v>
      </c>
      <c r="P53" s="12"/>
      <c r="U53" s="1"/>
      <c r="V53" s="1"/>
      <c r="W53" s="1"/>
      <c r="X53" s="1"/>
      <c r="Y53" s="1"/>
    </row>
    <row r="54" spans="1:25" s="3" customFormat="1" x14ac:dyDescent="0.25">
      <c r="B54" s="23"/>
      <c r="U54" s="1"/>
      <c r="V54" s="1"/>
      <c r="W54" s="1"/>
      <c r="X54" s="1"/>
      <c r="Y54" s="1"/>
    </row>
    <row r="55" spans="1:25" s="3" customFormat="1" x14ac:dyDescent="0.25">
      <c r="B55" s="23"/>
      <c r="U55" s="1"/>
      <c r="V55" s="1"/>
      <c r="W55" s="1"/>
      <c r="X55" s="1"/>
      <c r="Y55" s="1"/>
    </row>
    <row r="56" spans="1:25" s="3" customFormat="1" x14ac:dyDescent="0.25">
      <c r="A56" s="29"/>
      <c r="B56" s="23"/>
      <c r="D56" s="29"/>
      <c r="U56" s="1"/>
      <c r="V56" s="1"/>
      <c r="W56" s="1"/>
      <c r="X56" s="1"/>
      <c r="Y56" s="1"/>
    </row>
    <row r="57" spans="1:25" s="3" customFormat="1" x14ac:dyDescent="0.25">
      <c r="U57" s="1"/>
      <c r="V57" s="1"/>
      <c r="W57" s="1"/>
      <c r="X57" s="1"/>
      <c r="Y57" s="1"/>
    </row>
    <row r="58" spans="1:25" s="3" customFormat="1" x14ac:dyDescent="0.25">
      <c r="B58" s="23"/>
      <c r="U58" s="1"/>
      <c r="V58" s="1"/>
      <c r="W58" s="1"/>
      <c r="X58" s="1"/>
      <c r="Y58" s="1"/>
    </row>
    <row r="59" spans="1:25" s="3" customFormat="1" x14ac:dyDescent="0.25">
      <c r="B59" s="23"/>
      <c r="U59" s="1"/>
      <c r="V59" s="1"/>
      <c r="W59" s="1"/>
      <c r="X59" s="1"/>
      <c r="Y59" s="1"/>
    </row>
    <row r="60" spans="1:25" s="3" customFormat="1" x14ac:dyDescent="0.25">
      <c r="B60" s="23"/>
      <c r="U60" s="1"/>
      <c r="V60" s="1"/>
      <c r="W60" s="1"/>
      <c r="X60" s="1"/>
      <c r="Y60" s="1"/>
    </row>
    <row r="61" spans="1:25" s="3" customFormat="1" x14ac:dyDescent="0.25">
      <c r="B61" s="23"/>
      <c r="U61" s="1"/>
      <c r="V61" s="1"/>
      <c r="W61" s="1"/>
      <c r="X61" s="1"/>
      <c r="Y61" s="1"/>
    </row>
    <row r="62" spans="1:25" s="3" customFormat="1" x14ac:dyDescent="0.25">
      <c r="B62" s="23"/>
      <c r="U62" s="1"/>
      <c r="V62" s="1"/>
      <c r="W62" s="1"/>
      <c r="X62" s="1"/>
      <c r="Y62" s="1"/>
    </row>
    <row r="63" spans="1:25" s="3" customFormat="1" x14ac:dyDescent="0.25">
      <c r="B63" s="23"/>
      <c r="U63" s="1"/>
      <c r="V63" s="1"/>
      <c r="W63" s="1"/>
      <c r="X63" s="1"/>
      <c r="Y63" s="1"/>
    </row>
    <row r="64" spans="1:25" s="3" customFormat="1" x14ac:dyDescent="0.25">
      <c r="B64" s="23"/>
      <c r="U64" s="1"/>
      <c r="V64" s="1"/>
      <c r="W64" s="1"/>
      <c r="X64" s="1"/>
      <c r="Y64" s="1"/>
    </row>
    <row r="65" spans="2:25" s="3" customFormat="1" x14ac:dyDescent="0.25">
      <c r="B65" s="23"/>
      <c r="U65" s="1"/>
      <c r="V65" s="1"/>
      <c r="W65" s="1"/>
      <c r="X65" s="1"/>
      <c r="Y65" s="1"/>
    </row>
    <row r="66" spans="2:25" s="3" customFormat="1" x14ac:dyDescent="0.25">
      <c r="B66" s="23"/>
      <c r="U66" s="1"/>
      <c r="V66" s="1"/>
      <c r="W66" s="1"/>
      <c r="X66" s="1"/>
      <c r="Y66" s="1"/>
    </row>
    <row r="67" spans="2:25" s="3" customFormat="1" x14ac:dyDescent="0.25">
      <c r="B67" s="23"/>
      <c r="U67" s="1"/>
      <c r="V67" s="1"/>
      <c r="W67" s="1"/>
      <c r="X67" s="1"/>
      <c r="Y67" s="1"/>
    </row>
    <row r="68" spans="2:25" s="3" customFormat="1" x14ac:dyDescent="0.25">
      <c r="B68" s="23"/>
      <c r="U68" s="1"/>
      <c r="V68" s="1"/>
      <c r="W68" s="1"/>
      <c r="X68" s="1"/>
      <c r="Y68" s="1"/>
    </row>
    <row r="69" spans="2:25" s="3" customFormat="1" x14ac:dyDescent="0.25">
      <c r="B69" s="23"/>
      <c r="U69" s="1"/>
      <c r="V69" s="1"/>
      <c r="W69" s="1"/>
      <c r="X69" s="1"/>
      <c r="Y69" s="1"/>
    </row>
    <row r="70" spans="2:25" s="3" customFormat="1" x14ac:dyDescent="0.25">
      <c r="B70" s="23"/>
      <c r="U70" s="1"/>
      <c r="V70" s="1"/>
      <c r="W70" s="1"/>
      <c r="X70" s="1"/>
      <c r="Y70" s="1"/>
    </row>
    <row r="71" spans="2:25" s="3" customFormat="1" x14ac:dyDescent="0.25">
      <c r="B71" s="23"/>
      <c r="U71" s="1"/>
      <c r="V71" s="1"/>
      <c r="W71" s="1"/>
      <c r="X71" s="1"/>
      <c r="Y71" s="1"/>
    </row>
    <row r="72" spans="2:25" s="3" customFormat="1" x14ac:dyDescent="0.25">
      <c r="B72" s="23"/>
      <c r="U72" s="1"/>
      <c r="V72" s="1"/>
      <c r="W72" s="1"/>
      <c r="X72" s="1"/>
      <c r="Y72" s="1"/>
    </row>
    <row r="73" spans="2:25" s="3" customFormat="1" x14ac:dyDescent="0.25">
      <c r="B73" s="23"/>
      <c r="U73" s="1"/>
      <c r="V73" s="1"/>
      <c r="W73" s="1"/>
      <c r="X73" s="1"/>
      <c r="Y73" s="1"/>
    </row>
    <row r="74" spans="2:25" s="3" customFormat="1" x14ac:dyDescent="0.25">
      <c r="B74" s="23"/>
      <c r="U74" s="1"/>
      <c r="V74" s="1"/>
      <c r="W74" s="1"/>
      <c r="X74" s="1"/>
      <c r="Y74" s="1"/>
    </row>
    <row r="75" spans="2:25" s="3" customFormat="1" x14ac:dyDescent="0.25">
      <c r="B75" s="23"/>
      <c r="U75" s="1"/>
      <c r="V75" s="1"/>
      <c r="W75" s="1"/>
      <c r="X75" s="1"/>
      <c r="Y75" s="1"/>
    </row>
    <row r="76" spans="2:25" s="3" customFormat="1" x14ac:dyDescent="0.25">
      <c r="B76" s="23"/>
      <c r="U76" s="1"/>
      <c r="V76" s="1"/>
      <c r="W76" s="1"/>
      <c r="X76" s="1"/>
      <c r="Y76" s="1"/>
    </row>
    <row r="77" spans="2:25" s="3" customFormat="1" x14ac:dyDescent="0.25">
      <c r="B77" s="23"/>
      <c r="U77" s="1"/>
      <c r="V77" s="1"/>
      <c r="W77" s="1"/>
      <c r="X77" s="1"/>
      <c r="Y77" s="1"/>
    </row>
    <row r="78" spans="2:25" s="3" customFormat="1" x14ac:dyDescent="0.25">
      <c r="B78" s="23"/>
      <c r="U78" s="1"/>
      <c r="V78" s="1"/>
      <c r="W78" s="1"/>
      <c r="X78" s="1"/>
      <c r="Y78" s="1"/>
    </row>
    <row r="79" spans="2:25" s="3" customFormat="1" x14ac:dyDescent="0.25">
      <c r="B79" s="23"/>
      <c r="U79" s="1"/>
      <c r="V79" s="1"/>
      <c r="W79" s="1"/>
      <c r="X79" s="1"/>
      <c r="Y79" s="1"/>
    </row>
    <row r="80" spans="2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1:25" s="3" customFormat="1" x14ac:dyDescent="0.25">
      <c r="B225" s="23"/>
      <c r="U225" s="1"/>
      <c r="V225" s="1"/>
      <c r="W225" s="1"/>
      <c r="X225" s="1"/>
      <c r="Y225" s="1"/>
    </row>
    <row r="226" spans="1:25" s="3" customFormat="1" x14ac:dyDescent="0.25">
      <c r="B226" s="23"/>
      <c r="U226" s="1"/>
      <c r="V226" s="1"/>
      <c r="W226" s="1"/>
      <c r="X226" s="1"/>
      <c r="Y226" s="1"/>
    </row>
    <row r="227" spans="1:25" s="3" customFormat="1" x14ac:dyDescent="0.25">
      <c r="B227" s="23"/>
      <c r="U227" s="1"/>
      <c r="V227" s="1"/>
      <c r="W227" s="1"/>
      <c r="X227" s="1"/>
      <c r="Y227" s="1"/>
    </row>
    <row r="228" spans="1:25" s="3" customFormat="1" x14ac:dyDescent="0.25">
      <c r="B228" s="23"/>
      <c r="U228" s="1"/>
      <c r="V228" s="1"/>
      <c r="W228" s="1"/>
      <c r="X228" s="1"/>
      <c r="Y228" s="1"/>
    </row>
    <row r="229" spans="1:25" s="3" customFormat="1" x14ac:dyDescent="0.25">
      <c r="B229" s="23"/>
      <c r="U229" s="1"/>
      <c r="V229" s="1"/>
      <c r="W229" s="1"/>
      <c r="X229" s="1"/>
      <c r="Y229" s="1"/>
    </row>
    <row r="230" spans="1:25" s="3" customFormat="1" x14ac:dyDescent="0.25">
      <c r="B230" s="23"/>
      <c r="K230" s="6"/>
      <c r="L230" s="6"/>
      <c r="M230" s="6"/>
      <c r="N230" s="6"/>
      <c r="U230" s="1"/>
      <c r="V230" s="1"/>
      <c r="W230" s="1"/>
      <c r="X230" s="1"/>
      <c r="Y230" s="1"/>
    </row>
    <row r="231" spans="1:25" s="3" customFormat="1" x14ac:dyDescent="0.25">
      <c r="B231" s="23"/>
      <c r="K231" s="6"/>
      <c r="L231" s="6"/>
      <c r="M231" s="6"/>
      <c r="N231" s="6"/>
      <c r="U231" s="1"/>
      <c r="V231" s="1"/>
      <c r="W231" s="1"/>
      <c r="X231" s="1"/>
      <c r="Y231" s="1"/>
    </row>
    <row r="232" spans="1:25" s="3" customFormat="1" x14ac:dyDescent="0.25">
      <c r="B232" s="23"/>
      <c r="K232" s="6"/>
      <c r="L232" s="6"/>
      <c r="M232" s="6"/>
      <c r="N232" s="6"/>
      <c r="U232" s="1"/>
      <c r="V232" s="1"/>
      <c r="W232" s="1"/>
      <c r="X232" s="1"/>
      <c r="Y232" s="1"/>
    </row>
    <row r="233" spans="1:25" s="3" customFormat="1" x14ac:dyDescent="0.25">
      <c r="B233" s="23"/>
      <c r="J233" s="6"/>
      <c r="K233" s="6"/>
      <c r="L233" s="6"/>
      <c r="M233" s="6"/>
      <c r="N233" s="6"/>
      <c r="U233" s="1"/>
      <c r="V233" s="1"/>
      <c r="W233" s="1"/>
      <c r="X233" s="1"/>
      <c r="Y233" s="1"/>
    </row>
    <row r="234" spans="1:25" s="3" customFormat="1" x14ac:dyDescent="0.25">
      <c r="B234" s="23"/>
      <c r="J234" s="6"/>
      <c r="K234" s="6"/>
      <c r="L234" s="6"/>
      <c r="M234" s="6"/>
      <c r="N234" s="6"/>
      <c r="U234" s="1"/>
      <c r="V234" s="1"/>
      <c r="W234" s="1"/>
      <c r="X234" s="1"/>
      <c r="Y234" s="1"/>
    </row>
    <row r="235" spans="1:25" s="3" customFormat="1" x14ac:dyDescent="0.25">
      <c r="B235" s="23"/>
      <c r="J235" s="6"/>
      <c r="K235" s="6"/>
      <c r="L235" s="6"/>
      <c r="M235" s="6"/>
      <c r="N235" s="6"/>
      <c r="U235" s="1"/>
      <c r="V235" s="1"/>
      <c r="W235" s="1"/>
      <c r="X235" s="1"/>
      <c r="Y235" s="1"/>
    </row>
    <row r="236" spans="1:25" s="3" customFormat="1" x14ac:dyDescent="0.25">
      <c r="B236" s="23"/>
      <c r="J236" s="6"/>
      <c r="K236" s="6"/>
      <c r="L236" s="6"/>
      <c r="M236" s="6"/>
      <c r="N236" s="6"/>
      <c r="U236" s="1"/>
      <c r="V236" s="1"/>
      <c r="W236" s="1"/>
      <c r="X236" s="1"/>
      <c r="Y236" s="1"/>
    </row>
    <row r="237" spans="1:25" s="3" customFormat="1" x14ac:dyDescent="0.25">
      <c r="B237" s="23"/>
      <c r="J237" s="6"/>
      <c r="K237" s="6"/>
      <c r="L237" s="6"/>
      <c r="M237" s="6"/>
      <c r="N237" s="6"/>
      <c r="U237" s="1"/>
      <c r="V237" s="1"/>
      <c r="W237" s="1"/>
      <c r="X237" s="1"/>
      <c r="Y237" s="1"/>
    </row>
    <row r="238" spans="1:25" s="3" customFormat="1" x14ac:dyDescent="0.25">
      <c r="B238" s="23"/>
      <c r="J238" s="6"/>
      <c r="K238" s="6"/>
      <c r="L238" s="6"/>
      <c r="M238" s="6"/>
      <c r="N238" s="6"/>
      <c r="U238" s="1"/>
      <c r="V238" s="1"/>
      <c r="W238" s="1"/>
      <c r="X238" s="1"/>
      <c r="Y238" s="1"/>
    </row>
    <row r="239" spans="1:25" s="3" customFormat="1" x14ac:dyDescent="0.25">
      <c r="A239" s="6"/>
      <c r="B239" s="25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U239" s="1"/>
      <c r="V239" s="1"/>
      <c r="W239" s="1"/>
      <c r="X239" s="1"/>
      <c r="Y239" s="1"/>
    </row>
    <row r="240" spans="1:25" s="3" customFormat="1" x14ac:dyDescent="0.25">
      <c r="A240" s="6"/>
      <c r="B240" s="25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U240" s="1"/>
      <c r="V240" s="1"/>
      <c r="W240" s="1"/>
      <c r="X240" s="1"/>
      <c r="Y240" s="1"/>
    </row>
    <row r="241" spans="1:25" s="3" customFormat="1" x14ac:dyDescent="0.25">
      <c r="A241" s="6"/>
      <c r="B241" s="25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U241" s="1"/>
      <c r="V241" s="1"/>
      <c r="W241" s="1"/>
      <c r="X241" s="1"/>
      <c r="Y241" s="1"/>
    </row>
    <row r="242" spans="1:25" s="3" customFormat="1" x14ac:dyDescent="0.25">
      <c r="A242" s="6"/>
      <c r="B242" s="25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U242" s="1"/>
      <c r="V242" s="1"/>
      <c r="W242" s="1"/>
      <c r="X242" s="1"/>
      <c r="Y242" s="1"/>
    </row>
    <row r="243" spans="1:25" s="3" customFormat="1" x14ac:dyDescent="0.25">
      <c r="A243" s="6"/>
      <c r="B243" s="25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U243" s="1"/>
      <c r="V243" s="1"/>
      <c r="W243" s="1"/>
      <c r="X243" s="1"/>
      <c r="Y243" s="1"/>
    </row>
    <row r="244" spans="1:25" s="3" customFormat="1" x14ac:dyDescent="0.25">
      <c r="A244" s="6"/>
      <c r="B244" s="25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U244" s="1"/>
      <c r="V244" s="1"/>
      <c r="W244" s="1"/>
      <c r="X244" s="1"/>
      <c r="Y244" s="1"/>
    </row>
    <row r="245" spans="1:25" s="3" customFormat="1" x14ac:dyDescent="0.25">
      <c r="A245" s="6"/>
      <c r="B245" s="25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U245" s="1"/>
      <c r="V245" s="1"/>
      <c r="W245" s="1"/>
      <c r="X245" s="1"/>
      <c r="Y245" s="1"/>
    </row>
    <row r="246" spans="1:25" s="3" customFormat="1" x14ac:dyDescent="0.25">
      <c r="A246" s="6"/>
      <c r="B246" s="25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Q246" s="6"/>
      <c r="R246" s="6"/>
      <c r="S246" s="6"/>
      <c r="U246" s="1"/>
      <c r="V246" s="1"/>
      <c r="W246" s="1"/>
      <c r="X246" s="1"/>
      <c r="Y246" s="1"/>
    </row>
  </sheetData>
  <sheetProtection sheet="1" objects="1" scenarios="1"/>
  <mergeCells count="179">
    <mergeCell ref="M20:N20"/>
    <mergeCell ref="A20:C20"/>
    <mergeCell ref="F17:G17"/>
    <mergeCell ref="H17:J17"/>
    <mergeCell ref="K17:L17"/>
    <mergeCell ref="M17:N17"/>
    <mergeCell ref="D17:E17"/>
    <mergeCell ref="D18:E18"/>
    <mergeCell ref="F18:G18"/>
    <mergeCell ref="H18:J18"/>
    <mergeCell ref="K18:L18"/>
    <mergeCell ref="M18:N18"/>
    <mergeCell ref="A18:C18"/>
    <mergeCell ref="M19:N19"/>
    <mergeCell ref="A17:C17"/>
    <mergeCell ref="D20:E20"/>
    <mergeCell ref="F20:G20"/>
    <mergeCell ref="H20:J20"/>
    <mergeCell ref="K20:L20"/>
    <mergeCell ref="D19:E19"/>
    <mergeCell ref="F19:G19"/>
    <mergeCell ref="H19:J19"/>
    <mergeCell ref="K19:L19"/>
    <mergeCell ref="A19:C19"/>
    <mergeCell ref="D2:K4"/>
    <mergeCell ref="L2:N4"/>
    <mergeCell ref="D15:E15"/>
    <mergeCell ref="F15:G15"/>
    <mergeCell ref="H15:J15"/>
    <mergeCell ref="K15:L15"/>
    <mergeCell ref="M15:N15"/>
    <mergeCell ref="D14:E14"/>
    <mergeCell ref="A15:C15"/>
    <mergeCell ref="F14:G14"/>
    <mergeCell ref="H14:J14"/>
    <mergeCell ref="K14:L14"/>
    <mergeCell ref="M14:N14"/>
    <mergeCell ref="A16:C16"/>
    <mergeCell ref="D16:E16"/>
    <mergeCell ref="F16:G16"/>
    <mergeCell ref="H16:J16"/>
    <mergeCell ref="K16:L16"/>
    <mergeCell ref="M16:N16"/>
    <mergeCell ref="A14:C14"/>
    <mergeCell ref="R3:T3"/>
    <mergeCell ref="B5:K5"/>
    <mergeCell ref="L5:N5"/>
    <mergeCell ref="R5:T5"/>
    <mergeCell ref="C8:F8"/>
    <mergeCell ref="K8:N8"/>
    <mergeCell ref="C10:F10"/>
    <mergeCell ref="K10:N10"/>
    <mergeCell ref="A13:C13"/>
    <mergeCell ref="D13:E13"/>
    <mergeCell ref="F13:G13"/>
    <mergeCell ref="H13:J13"/>
    <mergeCell ref="K13:L13"/>
    <mergeCell ref="M13:N13"/>
    <mergeCell ref="D22:E22"/>
    <mergeCell ref="F22:G22"/>
    <mergeCell ref="H22:J22"/>
    <mergeCell ref="K22:L22"/>
    <mergeCell ref="M22:N22"/>
    <mergeCell ref="A22:C22"/>
    <mergeCell ref="D21:E21"/>
    <mergeCell ref="F21:G21"/>
    <mergeCell ref="H21:J21"/>
    <mergeCell ref="K21:L21"/>
    <mergeCell ref="M21:N21"/>
    <mergeCell ref="A21:C21"/>
    <mergeCell ref="D26:E26"/>
    <mergeCell ref="F26:G26"/>
    <mergeCell ref="H26:J26"/>
    <mergeCell ref="K26:L26"/>
    <mergeCell ref="M26:N26"/>
    <mergeCell ref="A26:C26"/>
    <mergeCell ref="A23:C23"/>
    <mergeCell ref="A24:C24"/>
    <mergeCell ref="D25:E25"/>
    <mergeCell ref="F25:G25"/>
    <mergeCell ref="H25:J25"/>
    <mergeCell ref="K25:L25"/>
    <mergeCell ref="M25:N25"/>
    <mergeCell ref="D24:E24"/>
    <mergeCell ref="F24:G24"/>
    <mergeCell ref="H24:J24"/>
    <mergeCell ref="K24:L24"/>
    <mergeCell ref="M24:N24"/>
    <mergeCell ref="A25:C25"/>
    <mergeCell ref="D23:E23"/>
    <mergeCell ref="F23:G23"/>
    <mergeCell ref="H23:J23"/>
    <mergeCell ref="K23:L23"/>
    <mergeCell ref="M23:N23"/>
    <mergeCell ref="D30:E30"/>
    <mergeCell ref="F30:G30"/>
    <mergeCell ref="H30:J30"/>
    <mergeCell ref="K30:L30"/>
    <mergeCell ref="M30:N30"/>
    <mergeCell ref="A30:C30"/>
    <mergeCell ref="A27:C27"/>
    <mergeCell ref="A28:C28"/>
    <mergeCell ref="D29:E29"/>
    <mergeCell ref="F29:G29"/>
    <mergeCell ref="H29:J29"/>
    <mergeCell ref="K29:L29"/>
    <mergeCell ref="M29:N29"/>
    <mergeCell ref="D28:E28"/>
    <mergeCell ref="F28:G28"/>
    <mergeCell ref="H28:J28"/>
    <mergeCell ref="K28:L28"/>
    <mergeCell ref="M28:N28"/>
    <mergeCell ref="A29:C29"/>
    <mergeCell ref="D27:E27"/>
    <mergeCell ref="F27:G27"/>
    <mergeCell ref="H27:J27"/>
    <mergeCell ref="K27:L27"/>
    <mergeCell ref="M27:N27"/>
    <mergeCell ref="A33:C33"/>
    <mergeCell ref="D31:E31"/>
    <mergeCell ref="F31:G31"/>
    <mergeCell ref="H31:J31"/>
    <mergeCell ref="K31:L31"/>
    <mergeCell ref="M31:N31"/>
    <mergeCell ref="D34:E34"/>
    <mergeCell ref="F34:G34"/>
    <mergeCell ref="H34:J34"/>
    <mergeCell ref="K34:L34"/>
    <mergeCell ref="A34:C34"/>
    <mergeCell ref="A31:C31"/>
    <mergeCell ref="A32:C32"/>
    <mergeCell ref="D32:E32"/>
    <mergeCell ref="F32:G32"/>
    <mergeCell ref="H32:J32"/>
    <mergeCell ref="K32:L32"/>
    <mergeCell ref="M32:N32"/>
    <mergeCell ref="M34:N34"/>
    <mergeCell ref="D33:E33"/>
    <mergeCell ref="F33:G33"/>
    <mergeCell ref="H33:J33"/>
    <mergeCell ref="K33:L33"/>
    <mergeCell ref="M33:N33"/>
    <mergeCell ref="A38:C38"/>
    <mergeCell ref="A39:C39"/>
    <mergeCell ref="A40:C40"/>
    <mergeCell ref="D35:E35"/>
    <mergeCell ref="F35:G35"/>
    <mergeCell ref="K35:L35"/>
    <mergeCell ref="D36:E36"/>
    <mergeCell ref="F36:G36"/>
    <mergeCell ref="K36:L36"/>
    <mergeCell ref="D39:E39"/>
    <mergeCell ref="F39:G39"/>
    <mergeCell ref="K39:L39"/>
    <mergeCell ref="D40:E40"/>
    <mergeCell ref="F40:G40"/>
    <mergeCell ref="K40:L40"/>
    <mergeCell ref="D37:E37"/>
    <mergeCell ref="F37:G37"/>
    <mergeCell ref="K37:L37"/>
    <mergeCell ref="D38:E38"/>
    <mergeCell ref="F38:G38"/>
    <mergeCell ref="K38:L38"/>
    <mergeCell ref="A35:C35"/>
    <mergeCell ref="A36:C36"/>
    <mergeCell ref="A37:C37"/>
    <mergeCell ref="F41:G41"/>
    <mergeCell ref="K41:L41"/>
    <mergeCell ref="A42:C42"/>
    <mergeCell ref="D42:E42"/>
    <mergeCell ref="F42:G42"/>
    <mergeCell ref="D43:E43"/>
    <mergeCell ref="B47:F52"/>
    <mergeCell ref="J47:N52"/>
    <mergeCell ref="H42:J42"/>
    <mergeCell ref="K42:L42"/>
    <mergeCell ref="M42:N42"/>
    <mergeCell ref="A41:C41"/>
    <mergeCell ref="D41:E41"/>
  </mergeCells>
  <conditionalFormatting sqref="D14:D42">
    <cfRule type="expression" dxfId="47" priority="1">
      <formula>#REF!="Non"</formula>
    </cfRule>
    <cfRule type="expression" dxfId="46" priority="2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</sheetPr>
  <dimension ref="A1:BD251"/>
  <sheetViews>
    <sheetView topLeftCell="A13" zoomScale="90" zoomScaleNormal="90" workbookViewId="0">
      <selection activeCell="T39" sqref="T39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1.85546875" style="6" customWidth="1"/>
    <col min="4" max="4" width="8.42578125" style="6" customWidth="1"/>
    <col min="5" max="5" width="6.42578125" style="6" customWidth="1"/>
    <col min="6" max="6" width="5.42578125" style="6" customWidth="1"/>
    <col min="7" max="7" width="8" style="6" customWidth="1"/>
    <col min="8" max="8" width="5.85546875" style="6" customWidth="1"/>
    <col min="9" max="9" width="9.42578125" style="6" customWidth="1"/>
    <col min="10" max="10" width="14.42578125" style="6" customWidth="1"/>
    <col min="11" max="12" width="8.140625" style="6" customWidth="1"/>
    <col min="13" max="13" width="8" style="6" customWidth="1"/>
    <col min="14" max="14" width="10.42578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67</v>
      </c>
      <c r="E2" s="195"/>
      <c r="F2" s="195"/>
      <c r="G2" s="195"/>
      <c r="H2" s="195"/>
      <c r="I2" s="195"/>
      <c r="J2" s="195"/>
      <c r="K2" s="195"/>
      <c r="L2" s="251">
        <f>'Niveau 1 Août'!L2:N4</f>
        <v>45505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6"/>
      <c r="Q3" s="4"/>
      <c r="R3" s="220"/>
      <c r="S3" s="220"/>
      <c r="T3" s="220"/>
      <c r="U3" s="36"/>
      <c r="V3" s="36"/>
      <c r="W3" s="36"/>
      <c r="X3" s="36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6"/>
      <c r="Q4" s="4"/>
      <c r="R4" s="36"/>
      <c r="S4" s="36"/>
      <c r="T4" s="36"/>
      <c r="U4" s="36"/>
      <c r="V4" s="36"/>
      <c r="W4" s="36"/>
      <c r="X4" s="36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f>+'Niveau 1 Août'!L5:N5</f>
        <v>45503</v>
      </c>
      <c r="M5" s="222"/>
      <c r="N5" s="222"/>
      <c r="O5" s="3"/>
      <c r="P5" s="36"/>
      <c r="Q5" s="5"/>
      <c r="R5" s="220"/>
      <c r="S5" s="220"/>
      <c r="T5" s="220"/>
      <c r="U5" s="36"/>
      <c r="V5" s="36"/>
      <c r="W5" s="36"/>
      <c r="X5" s="36"/>
      <c r="Y5" s="5"/>
    </row>
    <row r="6" spans="1:25" ht="19.5" customHeight="1" x14ac:dyDescent="0.35">
      <c r="A6" s="46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40"/>
      <c r="V6" s="40"/>
      <c r="W6" s="40"/>
      <c r="X6" s="40"/>
      <c r="Y6" s="5"/>
    </row>
    <row r="7" spans="1:25" ht="19.5" customHeight="1" thickBot="1" x14ac:dyDescent="0.4">
      <c r="A7" s="48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40"/>
      <c r="V7" s="40"/>
      <c r="W7" s="40"/>
      <c r="X7" s="40"/>
      <c r="Y7" s="5"/>
    </row>
    <row r="8" spans="1:25" ht="18" customHeight="1" thickBot="1" x14ac:dyDescent="0.3">
      <c r="A8" s="8" t="s">
        <v>2</v>
      </c>
      <c r="B8" s="24"/>
      <c r="C8" s="324"/>
      <c r="D8" s="325"/>
      <c r="E8" s="325"/>
      <c r="F8" s="326"/>
      <c r="G8" s="9"/>
      <c r="H8" s="8" t="s">
        <v>26</v>
      </c>
      <c r="I8" s="8"/>
      <c r="J8" s="8"/>
      <c r="K8" s="324"/>
      <c r="L8" s="325"/>
      <c r="M8" s="325"/>
      <c r="N8" s="326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324"/>
      <c r="D10" s="325"/>
      <c r="E10" s="325"/>
      <c r="F10" s="326"/>
      <c r="G10" s="9"/>
      <c r="H10" s="8" t="s">
        <v>25</v>
      </c>
      <c r="I10" s="8"/>
      <c r="J10" s="8"/>
      <c r="K10" s="324"/>
      <c r="L10" s="325"/>
      <c r="M10" s="325"/>
      <c r="N10" s="326"/>
      <c r="O10" s="26"/>
      <c r="P10" s="26"/>
      <c r="Q10" s="26"/>
      <c r="R10" s="26"/>
      <c r="S10" s="26"/>
      <c r="T10" s="26"/>
      <c r="U10" s="11"/>
    </row>
    <row r="11" spans="1:25" ht="18" customHeight="1" thickBot="1" x14ac:dyDescent="0.35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8" customHeight="1" thickBot="1" x14ac:dyDescent="0.35">
      <c r="A12" s="8" t="s">
        <v>49</v>
      </c>
      <c r="B12" s="24"/>
      <c r="C12" s="324"/>
      <c r="D12" s="325"/>
      <c r="E12" s="325"/>
      <c r="F12" s="326"/>
      <c r="G12" s="24"/>
      <c r="H12" s="8" t="s">
        <v>52</v>
      </c>
      <c r="I12" s="8"/>
      <c r="J12" s="24"/>
      <c r="K12" s="346"/>
      <c r="L12" s="347"/>
      <c r="M12" s="8" t="s">
        <v>59</v>
      </c>
      <c r="N12" s="24"/>
      <c r="O12" s="26"/>
      <c r="P12" s="26"/>
      <c r="Q12" s="26"/>
      <c r="R12" s="26"/>
      <c r="S12" s="26"/>
      <c r="T12" s="26"/>
      <c r="U12" s="11"/>
    </row>
    <row r="13" spans="1:25" ht="18" customHeight="1" thickBot="1" x14ac:dyDescent="0.35">
      <c r="A13" s="8"/>
      <c r="B13" s="24"/>
      <c r="C13" s="24"/>
      <c r="D13" s="24"/>
      <c r="E13" s="24"/>
      <c r="F13" s="24"/>
      <c r="G13" s="24"/>
      <c r="H13" s="8" t="s">
        <v>51</v>
      </c>
      <c r="I13" s="8"/>
      <c r="J13" s="24"/>
      <c r="K13" s="344"/>
      <c r="L13" s="345"/>
      <c r="M13" s="32" t="s">
        <v>60</v>
      </c>
      <c r="N13" s="24"/>
      <c r="O13" s="26"/>
      <c r="P13" s="26"/>
      <c r="Q13" s="26"/>
      <c r="R13" s="26"/>
      <c r="S13" s="26"/>
      <c r="T13" s="26"/>
      <c r="U13" s="11"/>
    </row>
    <row r="14" spans="1:25" ht="13.5" customHeight="1" thickBot="1" x14ac:dyDescent="0.35">
      <c r="A14" s="8"/>
      <c r="B14" s="24"/>
      <c r="C14" s="24"/>
      <c r="D14" s="24"/>
      <c r="E14" s="24"/>
      <c r="F14" s="24"/>
      <c r="G14" s="9"/>
      <c r="H14" s="8"/>
      <c r="I14" s="8"/>
      <c r="J14" s="8"/>
      <c r="K14" s="8"/>
      <c r="L14" s="8"/>
      <c r="M14" s="8"/>
      <c r="N14" s="8"/>
      <c r="O14" s="26"/>
      <c r="P14" s="26"/>
      <c r="Q14" s="26"/>
      <c r="R14" s="26"/>
      <c r="S14" s="26"/>
      <c r="T14" s="26"/>
      <c r="U14" s="11"/>
    </row>
    <row r="15" spans="1:25" ht="22.5" customHeight="1" thickBot="1" x14ac:dyDescent="0.35">
      <c r="A15" s="8"/>
      <c r="B15" s="24"/>
      <c r="C15" s="10"/>
      <c r="D15" s="10"/>
      <c r="E15" s="10"/>
      <c r="F15" s="262" t="s">
        <v>28</v>
      </c>
      <c r="G15" s="263"/>
      <c r="H15" s="263"/>
      <c r="I15" s="263"/>
      <c r="J15" s="263"/>
      <c r="K15" s="263"/>
      <c r="L15" s="263"/>
      <c r="M15" s="263"/>
      <c r="N15" s="264"/>
      <c r="O15" s="26"/>
      <c r="P15" s="26"/>
      <c r="Q15" s="26"/>
      <c r="R15" s="26"/>
      <c r="S15" s="26"/>
      <c r="T15" s="26"/>
      <c r="U15" s="11"/>
    </row>
    <row r="16" spans="1:25" s="19" customFormat="1" ht="54.75" customHeight="1" x14ac:dyDescent="0.25">
      <c r="A16" s="200" t="s">
        <v>1</v>
      </c>
      <c r="B16" s="201"/>
      <c r="C16" s="202"/>
      <c r="D16" s="203" t="s">
        <v>58</v>
      </c>
      <c r="E16" s="204"/>
      <c r="F16" s="265" t="s">
        <v>29</v>
      </c>
      <c r="G16" s="265"/>
      <c r="H16" s="266" t="s">
        <v>61</v>
      </c>
      <c r="I16" s="267"/>
      <c r="J16" s="37" t="s">
        <v>63</v>
      </c>
      <c r="K16" s="268" t="s">
        <v>64</v>
      </c>
      <c r="L16" s="269"/>
      <c r="M16" s="266" t="s">
        <v>30</v>
      </c>
      <c r="N16" s="267"/>
      <c r="O16" s="26"/>
      <c r="P16" s="26"/>
      <c r="Q16" s="26"/>
      <c r="R16" s="26"/>
      <c r="S16" s="26"/>
      <c r="T16" s="26"/>
      <c r="U16" s="20"/>
      <c r="V16" s="20"/>
      <c r="W16" s="20"/>
      <c r="X16" s="21"/>
    </row>
    <row r="17" spans="1:24" s="3" customFormat="1" ht="15.75" x14ac:dyDescent="0.25">
      <c r="A17" s="319">
        <v>45474</v>
      </c>
      <c r="B17" s="286"/>
      <c r="C17" s="287"/>
      <c r="D17" s="336"/>
      <c r="E17" s="336"/>
      <c r="F17" s="337"/>
      <c r="G17" s="338"/>
      <c r="H17" s="339"/>
      <c r="I17" s="340"/>
      <c r="J17" s="49"/>
      <c r="K17" s="341"/>
      <c r="L17" s="341"/>
      <c r="M17" s="309">
        <f t="shared" ref="M17" si="0">+K17-J17</f>
        <v>0</v>
      </c>
      <c r="N17" s="310"/>
      <c r="O17" s="26"/>
      <c r="P17" s="26"/>
      <c r="Q17" s="26"/>
      <c r="R17" s="26"/>
      <c r="S17" s="26"/>
      <c r="T17" s="26"/>
      <c r="U17" s="13"/>
      <c r="V17" s="13"/>
      <c r="W17" s="13"/>
      <c r="X17" s="1"/>
    </row>
    <row r="18" spans="1:24" s="3" customFormat="1" ht="15.75" x14ac:dyDescent="0.25">
      <c r="A18" s="319">
        <v>45475</v>
      </c>
      <c r="B18" s="286"/>
      <c r="C18" s="287"/>
      <c r="D18" s="336"/>
      <c r="E18" s="336"/>
      <c r="F18" s="337"/>
      <c r="G18" s="338"/>
      <c r="H18" s="339"/>
      <c r="I18" s="340"/>
      <c r="J18" s="49"/>
      <c r="K18" s="341"/>
      <c r="L18" s="341"/>
      <c r="M18" s="309">
        <f t="shared" ref="M18:M44" si="1">+K18-J18</f>
        <v>0</v>
      </c>
      <c r="N18" s="310"/>
      <c r="P18" s="26"/>
      <c r="Q18" s="26"/>
      <c r="R18" s="26"/>
      <c r="S18" s="26"/>
      <c r="T18" s="26"/>
      <c r="U18" s="13"/>
      <c r="V18" s="13"/>
      <c r="W18" s="13"/>
      <c r="X18" s="1"/>
    </row>
    <row r="19" spans="1:24" s="3" customFormat="1" ht="15.75" x14ac:dyDescent="0.25">
      <c r="A19" s="319">
        <v>45476</v>
      </c>
      <c r="B19" s="286"/>
      <c r="C19" s="287"/>
      <c r="D19" s="336"/>
      <c r="E19" s="336"/>
      <c r="F19" s="337"/>
      <c r="G19" s="338"/>
      <c r="H19" s="339"/>
      <c r="I19" s="340"/>
      <c r="J19" s="49"/>
      <c r="K19" s="341"/>
      <c r="L19" s="341"/>
      <c r="M19" s="309">
        <f t="shared" si="1"/>
        <v>0</v>
      </c>
      <c r="N19" s="310"/>
      <c r="P19" s="26"/>
      <c r="Q19" s="26"/>
      <c r="R19" s="26"/>
      <c r="S19" s="26"/>
      <c r="T19" s="26"/>
      <c r="U19" s="26"/>
      <c r="V19" s="13"/>
      <c r="W19" s="13"/>
      <c r="X19" s="1"/>
    </row>
    <row r="20" spans="1:24" s="3" customFormat="1" x14ac:dyDescent="0.25">
      <c r="A20" s="319">
        <v>45477</v>
      </c>
      <c r="B20" s="286"/>
      <c r="C20" s="287"/>
      <c r="D20" s="336"/>
      <c r="E20" s="336"/>
      <c r="F20" s="337"/>
      <c r="G20" s="338"/>
      <c r="H20" s="339"/>
      <c r="I20" s="340"/>
      <c r="J20" s="49"/>
      <c r="K20" s="341"/>
      <c r="L20" s="341"/>
      <c r="M20" s="309">
        <f t="shared" si="1"/>
        <v>0</v>
      </c>
      <c r="N20" s="310"/>
      <c r="P20" s="12"/>
      <c r="Q20" s="12"/>
      <c r="R20" s="12"/>
      <c r="S20" s="12"/>
      <c r="T20" s="13"/>
      <c r="U20" s="13"/>
      <c r="V20" s="13"/>
      <c r="W20" s="13"/>
      <c r="X20" s="1"/>
    </row>
    <row r="21" spans="1:24" s="3" customFormat="1" x14ac:dyDescent="0.25">
      <c r="A21" s="319">
        <v>45478</v>
      </c>
      <c r="B21" s="286"/>
      <c r="C21" s="287"/>
      <c r="D21" s="336"/>
      <c r="E21" s="336"/>
      <c r="F21" s="337"/>
      <c r="G21" s="338"/>
      <c r="H21" s="339"/>
      <c r="I21" s="340"/>
      <c r="J21" s="49"/>
      <c r="K21" s="341"/>
      <c r="L21" s="341"/>
      <c r="M21" s="309">
        <f t="shared" si="1"/>
        <v>0</v>
      </c>
      <c r="N21" s="310"/>
      <c r="P21" s="12"/>
      <c r="Q21" s="12"/>
      <c r="R21" s="12"/>
      <c r="S21" s="12"/>
      <c r="T21" s="13"/>
      <c r="U21" s="13"/>
      <c r="V21" s="13"/>
      <c r="W21" s="13"/>
      <c r="X21" s="1"/>
    </row>
    <row r="22" spans="1:24" s="3" customFormat="1" x14ac:dyDescent="0.25">
      <c r="A22" s="319">
        <v>45479</v>
      </c>
      <c r="B22" s="286"/>
      <c r="C22" s="287"/>
      <c r="D22" s="336"/>
      <c r="E22" s="336"/>
      <c r="F22" s="337"/>
      <c r="G22" s="338"/>
      <c r="H22" s="339"/>
      <c r="I22" s="340"/>
      <c r="J22" s="49"/>
      <c r="K22" s="341"/>
      <c r="L22" s="341"/>
      <c r="M22" s="309">
        <f t="shared" si="1"/>
        <v>0</v>
      </c>
      <c r="N22" s="310"/>
      <c r="P22" s="12"/>
      <c r="Q22" s="12"/>
      <c r="R22" s="12"/>
      <c r="S22" s="12"/>
      <c r="T22" s="13"/>
      <c r="U22" s="13"/>
      <c r="V22" s="13"/>
      <c r="W22" s="13"/>
      <c r="X22" s="1"/>
    </row>
    <row r="23" spans="1:24" s="3" customFormat="1" x14ac:dyDescent="0.25">
      <c r="A23" s="319">
        <v>45480</v>
      </c>
      <c r="B23" s="286"/>
      <c r="C23" s="287"/>
      <c r="D23" s="336"/>
      <c r="E23" s="336"/>
      <c r="F23" s="337"/>
      <c r="G23" s="338"/>
      <c r="H23" s="339"/>
      <c r="I23" s="340"/>
      <c r="J23" s="49"/>
      <c r="K23" s="341"/>
      <c r="L23" s="341"/>
      <c r="M23" s="309">
        <f t="shared" si="1"/>
        <v>0</v>
      </c>
      <c r="N23" s="310"/>
      <c r="P23" s="12"/>
      <c r="Q23" s="12"/>
      <c r="R23" s="12"/>
      <c r="S23" s="12"/>
      <c r="T23" s="13"/>
      <c r="U23" s="13"/>
      <c r="V23" s="13"/>
      <c r="W23" s="13"/>
      <c r="X23" s="1"/>
    </row>
    <row r="24" spans="1:24" s="3" customFormat="1" x14ac:dyDescent="0.25">
      <c r="A24" s="319">
        <v>45481</v>
      </c>
      <c r="B24" s="286"/>
      <c r="C24" s="287"/>
      <c r="D24" s="336"/>
      <c r="E24" s="336"/>
      <c r="F24" s="337"/>
      <c r="G24" s="338"/>
      <c r="H24" s="339"/>
      <c r="I24" s="340"/>
      <c r="J24" s="49"/>
      <c r="K24" s="341"/>
      <c r="L24" s="341"/>
      <c r="M24" s="309">
        <f t="shared" si="1"/>
        <v>0</v>
      </c>
      <c r="N24" s="310"/>
      <c r="P24" s="12"/>
      <c r="Q24" s="12"/>
      <c r="R24" s="12"/>
      <c r="S24" s="12"/>
      <c r="T24" s="13"/>
      <c r="U24" s="13"/>
      <c r="V24" s="13"/>
      <c r="W24" s="13"/>
      <c r="X24" s="1"/>
    </row>
    <row r="25" spans="1:24" s="3" customFormat="1" x14ac:dyDescent="0.25">
      <c r="A25" s="319">
        <v>45482</v>
      </c>
      <c r="B25" s="286"/>
      <c r="C25" s="287"/>
      <c r="D25" s="336"/>
      <c r="E25" s="336"/>
      <c r="F25" s="337"/>
      <c r="G25" s="338"/>
      <c r="H25" s="339"/>
      <c r="I25" s="340"/>
      <c r="J25" s="49"/>
      <c r="K25" s="341"/>
      <c r="L25" s="341"/>
      <c r="M25" s="309">
        <f t="shared" si="1"/>
        <v>0</v>
      </c>
      <c r="N25" s="310"/>
      <c r="P25" s="12"/>
      <c r="Q25" s="12"/>
      <c r="R25" s="12"/>
      <c r="S25" s="12"/>
      <c r="T25" s="13"/>
      <c r="U25" s="13"/>
      <c r="V25" s="13"/>
      <c r="W25" s="13"/>
      <c r="X25" s="1"/>
    </row>
    <row r="26" spans="1:24" s="3" customFormat="1" x14ac:dyDescent="0.25">
      <c r="A26" s="319">
        <v>45483</v>
      </c>
      <c r="B26" s="286"/>
      <c r="C26" s="287"/>
      <c r="D26" s="336"/>
      <c r="E26" s="336"/>
      <c r="F26" s="337"/>
      <c r="G26" s="338"/>
      <c r="H26" s="339"/>
      <c r="I26" s="340"/>
      <c r="J26" s="49"/>
      <c r="K26" s="341"/>
      <c r="L26" s="341"/>
      <c r="M26" s="309">
        <f t="shared" si="1"/>
        <v>0</v>
      </c>
      <c r="N26" s="310"/>
      <c r="P26" s="12"/>
      <c r="Q26" s="12"/>
      <c r="R26" s="12"/>
      <c r="S26" s="12"/>
      <c r="T26" s="13"/>
      <c r="U26" s="13"/>
      <c r="V26" s="13"/>
      <c r="W26" s="13"/>
      <c r="X26" s="1"/>
    </row>
    <row r="27" spans="1:24" s="3" customFormat="1" x14ac:dyDescent="0.25">
      <c r="A27" s="319">
        <v>45484</v>
      </c>
      <c r="B27" s="286"/>
      <c r="C27" s="287"/>
      <c r="D27" s="336"/>
      <c r="E27" s="336"/>
      <c r="F27" s="337"/>
      <c r="G27" s="338"/>
      <c r="H27" s="339"/>
      <c r="I27" s="340"/>
      <c r="J27" s="49"/>
      <c r="K27" s="341"/>
      <c r="L27" s="341"/>
      <c r="M27" s="309">
        <f t="shared" si="1"/>
        <v>0</v>
      </c>
      <c r="N27" s="310"/>
      <c r="P27" s="12"/>
      <c r="Q27" s="15"/>
      <c r="R27" s="15"/>
      <c r="S27" s="15"/>
      <c r="T27" s="13"/>
      <c r="U27" s="13"/>
      <c r="V27" s="13"/>
      <c r="W27" s="13"/>
      <c r="X27" s="1"/>
    </row>
    <row r="28" spans="1:24" s="3" customFormat="1" x14ac:dyDescent="0.25">
      <c r="A28" s="319">
        <v>45485</v>
      </c>
      <c r="B28" s="286"/>
      <c r="C28" s="287"/>
      <c r="D28" s="336"/>
      <c r="E28" s="336"/>
      <c r="F28" s="337"/>
      <c r="G28" s="338"/>
      <c r="H28" s="339"/>
      <c r="I28" s="340"/>
      <c r="J28" s="49"/>
      <c r="K28" s="341"/>
      <c r="L28" s="341"/>
      <c r="M28" s="309">
        <f t="shared" si="1"/>
        <v>0</v>
      </c>
      <c r="N28" s="310"/>
      <c r="P28" s="12"/>
      <c r="Q28" s="15"/>
      <c r="R28" s="15"/>
      <c r="S28" s="15"/>
      <c r="T28" s="13"/>
      <c r="U28" s="13"/>
      <c r="V28" s="13"/>
      <c r="W28" s="13"/>
      <c r="X28" s="1"/>
    </row>
    <row r="29" spans="1:24" s="3" customFormat="1" x14ac:dyDescent="0.25">
      <c r="A29" s="319">
        <v>45486</v>
      </c>
      <c r="B29" s="286"/>
      <c r="C29" s="287"/>
      <c r="D29" s="336"/>
      <c r="E29" s="336"/>
      <c r="F29" s="337"/>
      <c r="G29" s="338"/>
      <c r="H29" s="339"/>
      <c r="I29" s="340"/>
      <c r="J29" s="49"/>
      <c r="K29" s="341"/>
      <c r="L29" s="341"/>
      <c r="M29" s="309">
        <f t="shared" si="1"/>
        <v>0</v>
      </c>
      <c r="N29" s="310"/>
      <c r="P29" s="12"/>
      <c r="Q29" s="15"/>
      <c r="R29" s="15"/>
      <c r="S29" s="15"/>
      <c r="T29" s="13"/>
      <c r="U29" s="13"/>
      <c r="V29" s="13"/>
      <c r="W29" s="13"/>
      <c r="X29" s="1"/>
    </row>
    <row r="30" spans="1:24" s="3" customFormat="1" x14ac:dyDescent="0.25">
      <c r="A30" s="319">
        <v>45487</v>
      </c>
      <c r="B30" s="286"/>
      <c r="C30" s="287"/>
      <c r="D30" s="336"/>
      <c r="E30" s="336"/>
      <c r="F30" s="337"/>
      <c r="G30" s="338"/>
      <c r="H30" s="339"/>
      <c r="I30" s="340"/>
      <c r="J30" s="49"/>
      <c r="K30" s="341"/>
      <c r="L30" s="341"/>
      <c r="M30" s="309">
        <f t="shared" si="1"/>
        <v>0</v>
      </c>
      <c r="N30" s="310"/>
      <c r="O30" s="1"/>
      <c r="P30" s="12"/>
      <c r="Q30" s="15"/>
      <c r="R30" s="15"/>
      <c r="S30" s="15"/>
      <c r="T30" s="13"/>
      <c r="U30" s="13"/>
      <c r="V30" s="13"/>
      <c r="W30" s="13"/>
      <c r="X30" s="1"/>
    </row>
    <row r="31" spans="1:24" s="3" customFormat="1" x14ac:dyDescent="0.25">
      <c r="A31" s="319">
        <v>45488</v>
      </c>
      <c r="B31" s="286"/>
      <c r="C31" s="287"/>
      <c r="D31" s="342"/>
      <c r="E31" s="343"/>
      <c r="F31" s="50"/>
      <c r="G31" s="51"/>
      <c r="H31" s="52"/>
      <c r="I31" s="53"/>
      <c r="J31" s="49"/>
      <c r="K31" s="309"/>
      <c r="L31" s="310"/>
      <c r="M31" s="309">
        <f t="shared" si="1"/>
        <v>0</v>
      </c>
      <c r="N31" s="310"/>
      <c r="O31" s="1"/>
      <c r="P31" s="12"/>
      <c r="Q31" s="15"/>
      <c r="R31" s="15"/>
      <c r="S31" s="15"/>
      <c r="T31" s="13"/>
      <c r="U31" s="13"/>
      <c r="V31" s="13"/>
      <c r="W31" s="13"/>
      <c r="X31" s="1"/>
    </row>
    <row r="32" spans="1:24" s="3" customFormat="1" x14ac:dyDescent="0.25">
      <c r="A32" s="319">
        <v>45489</v>
      </c>
      <c r="B32" s="286"/>
      <c r="C32" s="287"/>
      <c r="D32" s="342"/>
      <c r="E32" s="343"/>
      <c r="F32" s="50"/>
      <c r="G32" s="51"/>
      <c r="H32" s="52"/>
      <c r="I32" s="53"/>
      <c r="J32" s="49"/>
      <c r="K32" s="309"/>
      <c r="L32" s="310"/>
      <c r="M32" s="309">
        <f t="shared" si="1"/>
        <v>0</v>
      </c>
      <c r="N32" s="310"/>
      <c r="O32" s="1"/>
      <c r="P32" s="12"/>
      <c r="Q32" s="15"/>
      <c r="R32" s="15"/>
      <c r="S32" s="15"/>
      <c r="T32" s="13"/>
      <c r="U32" s="13"/>
      <c r="V32" s="13"/>
      <c r="W32" s="13"/>
      <c r="X32" s="1"/>
    </row>
    <row r="33" spans="1:24" s="3" customFormat="1" x14ac:dyDescent="0.25">
      <c r="A33" s="319">
        <v>45490</v>
      </c>
      <c r="B33" s="286"/>
      <c r="C33" s="287"/>
      <c r="D33" s="342"/>
      <c r="E33" s="343"/>
      <c r="F33" s="50"/>
      <c r="G33" s="51"/>
      <c r="H33" s="52"/>
      <c r="I33" s="53"/>
      <c r="J33" s="49"/>
      <c r="K33" s="309"/>
      <c r="L33" s="310"/>
      <c r="M33" s="309">
        <f t="shared" si="1"/>
        <v>0</v>
      </c>
      <c r="N33" s="310"/>
      <c r="O33" s="1"/>
      <c r="P33" s="12"/>
      <c r="Q33" s="15"/>
      <c r="R33" s="15"/>
      <c r="S33" s="15"/>
      <c r="T33" s="13"/>
      <c r="U33" s="13"/>
      <c r="V33" s="13"/>
      <c r="W33" s="13"/>
      <c r="X33" s="1"/>
    </row>
    <row r="34" spans="1:24" s="3" customFormat="1" x14ac:dyDescent="0.25">
      <c r="A34" s="319">
        <v>45491</v>
      </c>
      <c r="B34" s="286"/>
      <c r="C34" s="287"/>
      <c r="D34" s="342"/>
      <c r="E34" s="343"/>
      <c r="F34" s="50"/>
      <c r="G34" s="51"/>
      <c r="H34" s="52"/>
      <c r="I34" s="53"/>
      <c r="J34" s="49"/>
      <c r="K34" s="309"/>
      <c r="L34" s="310"/>
      <c r="M34" s="309">
        <f t="shared" si="1"/>
        <v>0</v>
      </c>
      <c r="N34" s="310"/>
      <c r="O34" s="1"/>
      <c r="P34" s="12"/>
      <c r="Q34" s="15"/>
      <c r="R34" s="15"/>
      <c r="S34" s="15"/>
      <c r="T34" s="13"/>
      <c r="U34" s="13"/>
      <c r="V34" s="13"/>
      <c r="W34" s="13"/>
      <c r="X34" s="1"/>
    </row>
    <row r="35" spans="1:24" s="3" customFormat="1" x14ac:dyDescent="0.25">
      <c r="A35" s="319">
        <v>45492</v>
      </c>
      <c r="B35" s="286"/>
      <c r="C35" s="287"/>
      <c r="D35" s="342"/>
      <c r="E35" s="343"/>
      <c r="F35" s="50"/>
      <c r="G35" s="51"/>
      <c r="H35" s="52"/>
      <c r="I35" s="53"/>
      <c r="J35" s="49"/>
      <c r="K35" s="309"/>
      <c r="L35" s="310"/>
      <c r="M35" s="309">
        <f t="shared" si="1"/>
        <v>0</v>
      </c>
      <c r="N35" s="310"/>
      <c r="O35" s="1"/>
      <c r="P35" s="12"/>
      <c r="Q35" s="15"/>
      <c r="R35" s="15"/>
      <c r="S35" s="15"/>
      <c r="T35" s="13"/>
      <c r="U35" s="13"/>
      <c r="V35" s="13"/>
      <c r="W35" s="13"/>
      <c r="X35" s="1"/>
    </row>
    <row r="36" spans="1:24" s="3" customFormat="1" x14ac:dyDescent="0.25">
      <c r="A36" s="319">
        <v>45493</v>
      </c>
      <c r="B36" s="286"/>
      <c r="C36" s="287"/>
      <c r="D36" s="342"/>
      <c r="E36" s="343"/>
      <c r="F36" s="50"/>
      <c r="G36" s="51"/>
      <c r="H36" s="52"/>
      <c r="I36" s="53"/>
      <c r="J36" s="49"/>
      <c r="K36" s="309"/>
      <c r="L36" s="310"/>
      <c r="M36" s="309">
        <f t="shared" si="1"/>
        <v>0</v>
      </c>
      <c r="N36" s="310"/>
      <c r="O36" s="1"/>
      <c r="P36" s="12"/>
      <c r="Q36" s="15"/>
      <c r="R36" s="15"/>
      <c r="S36" s="15"/>
      <c r="T36" s="13"/>
      <c r="U36" s="13"/>
      <c r="V36" s="13"/>
      <c r="W36" s="13"/>
      <c r="X36" s="1"/>
    </row>
    <row r="37" spans="1:24" s="3" customFormat="1" x14ac:dyDescent="0.25">
      <c r="A37" s="319">
        <v>45494</v>
      </c>
      <c r="B37" s="286"/>
      <c r="C37" s="287"/>
      <c r="D37" s="342"/>
      <c r="E37" s="343"/>
      <c r="F37" s="50"/>
      <c r="G37" s="51"/>
      <c r="H37" s="52"/>
      <c r="I37" s="53"/>
      <c r="J37" s="49"/>
      <c r="K37" s="309"/>
      <c r="L37" s="310"/>
      <c r="M37" s="309">
        <f t="shared" si="1"/>
        <v>0</v>
      </c>
      <c r="N37" s="310"/>
      <c r="O37" s="1"/>
      <c r="P37" s="12"/>
      <c r="Q37" s="15"/>
      <c r="R37" s="15"/>
      <c r="S37" s="15"/>
      <c r="T37" s="13"/>
      <c r="U37" s="13"/>
      <c r="V37" s="13"/>
      <c r="W37" s="13"/>
      <c r="X37" s="1"/>
    </row>
    <row r="38" spans="1:24" s="3" customFormat="1" x14ac:dyDescent="0.25">
      <c r="A38" s="319">
        <v>45495</v>
      </c>
      <c r="B38" s="286"/>
      <c r="C38" s="287"/>
      <c r="D38" s="336"/>
      <c r="E38" s="336"/>
      <c r="F38" s="337"/>
      <c r="G38" s="338"/>
      <c r="H38" s="339"/>
      <c r="I38" s="340"/>
      <c r="J38" s="49"/>
      <c r="K38" s="341"/>
      <c r="L38" s="341"/>
      <c r="M38" s="309">
        <f t="shared" si="1"/>
        <v>0</v>
      </c>
      <c r="N38" s="310"/>
      <c r="P38" s="12"/>
      <c r="Q38" s="15"/>
      <c r="R38" s="15"/>
      <c r="S38" s="15"/>
      <c r="T38" s="13"/>
      <c r="U38" s="13"/>
      <c r="V38" s="13"/>
      <c r="W38" s="13"/>
      <c r="X38" s="1"/>
    </row>
    <row r="39" spans="1:24" s="3" customFormat="1" x14ac:dyDescent="0.25">
      <c r="A39" s="319">
        <v>45496</v>
      </c>
      <c r="B39" s="286"/>
      <c r="C39" s="287"/>
      <c r="D39" s="336"/>
      <c r="E39" s="336"/>
      <c r="F39" s="337"/>
      <c r="G39" s="338"/>
      <c r="H39" s="339"/>
      <c r="I39" s="340"/>
      <c r="J39" s="49"/>
      <c r="K39" s="341"/>
      <c r="L39" s="341"/>
      <c r="M39" s="309">
        <f t="shared" si="1"/>
        <v>0</v>
      </c>
      <c r="N39" s="310"/>
      <c r="P39" s="12"/>
      <c r="Q39" s="15"/>
      <c r="R39" s="15"/>
      <c r="S39" s="15"/>
      <c r="T39" s="13"/>
      <c r="U39" s="13"/>
      <c r="V39" s="13"/>
      <c r="W39" s="13"/>
      <c r="X39" s="1"/>
    </row>
    <row r="40" spans="1:24" s="3" customFormat="1" x14ac:dyDescent="0.25">
      <c r="A40" s="319">
        <v>45497</v>
      </c>
      <c r="B40" s="286"/>
      <c r="C40" s="287"/>
      <c r="D40" s="336"/>
      <c r="E40" s="336"/>
      <c r="F40" s="337"/>
      <c r="G40" s="338"/>
      <c r="H40" s="339"/>
      <c r="I40" s="340"/>
      <c r="J40" s="49"/>
      <c r="K40" s="341"/>
      <c r="L40" s="341"/>
      <c r="M40" s="309">
        <f t="shared" si="1"/>
        <v>0</v>
      </c>
      <c r="N40" s="310"/>
      <c r="P40" s="12"/>
      <c r="Q40" s="15"/>
      <c r="R40" s="15"/>
      <c r="S40" s="15"/>
      <c r="T40" s="13"/>
      <c r="U40" s="13"/>
      <c r="V40" s="13"/>
      <c r="W40" s="13"/>
      <c r="X40" s="1"/>
    </row>
    <row r="41" spans="1:24" s="3" customFormat="1" x14ac:dyDescent="0.25">
      <c r="A41" s="319">
        <v>45498</v>
      </c>
      <c r="B41" s="286"/>
      <c r="C41" s="287"/>
      <c r="D41" s="336"/>
      <c r="E41" s="336"/>
      <c r="F41" s="337"/>
      <c r="G41" s="338"/>
      <c r="H41" s="339"/>
      <c r="I41" s="340"/>
      <c r="J41" s="49"/>
      <c r="K41" s="341"/>
      <c r="L41" s="341"/>
      <c r="M41" s="309">
        <f t="shared" si="1"/>
        <v>0</v>
      </c>
      <c r="N41" s="310"/>
      <c r="P41" s="12"/>
      <c r="Q41" s="15"/>
      <c r="R41" s="15"/>
      <c r="S41" s="15"/>
      <c r="T41" s="13"/>
      <c r="U41" s="13"/>
      <c r="V41" s="13"/>
      <c r="W41" s="13"/>
      <c r="X41" s="1"/>
    </row>
    <row r="42" spans="1:24" s="3" customFormat="1" x14ac:dyDescent="0.25">
      <c r="A42" s="319">
        <v>45499</v>
      </c>
      <c r="B42" s="286"/>
      <c r="C42" s="287"/>
      <c r="D42" s="336"/>
      <c r="E42" s="336"/>
      <c r="F42" s="337"/>
      <c r="G42" s="338"/>
      <c r="H42" s="339"/>
      <c r="I42" s="340"/>
      <c r="J42" s="49"/>
      <c r="K42" s="341"/>
      <c r="L42" s="341"/>
      <c r="M42" s="309">
        <f t="shared" si="1"/>
        <v>0</v>
      </c>
      <c r="N42" s="310"/>
      <c r="P42" s="12"/>
      <c r="Q42" s="15"/>
      <c r="R42" s="15"/>
      <c r="S42" s="15"/>
      <c r="T42" s="13"/>
      <c r="U42" s="13"/>
      <c r="V42" s="13"/>
      <c r="W42" s="13"/>
      <c r="X42" s="1"/>
    </row>
    <row r="43" spans="1:24" s="3" customFormat="1" x14ac:dyDescent="0.25">
      <c r="A43" s="319">
        <v>45500</v>
      </c>
      <c r="B43" s="286"/>
      <c r="C43" s="287"/>
      <c r="D43" s="336"/>
      <c r="E43" s="336"/>
      <c r="F43" s="337"/>
      <c r="G43" s="338"/>
      <c r="H43" s="339"/>
      <c r="I43" s="340"/>
      <c r="J43" s="49"/>
      <c r="K43" s="341"/>
      <c r="L43" s="341"/>
      <c r="M43" s="309">
        <f t="shared" si="1"/>
        <v>0</v>
      </c>
      <c r="N43" s="310"/>
      <c r="P43" s="12"/>
      <c r="Q43" s="15"/>
      <c r="R43" s="15"/>
      <c r="S43" s="15"/>
      <c r="T43" s="13"/>
      <c r="U43" s="13"/>
      <c r="V43" s="13"/>
      <c r="W43" s="13"/>
      <c r="X43" s="1"/>
    </row>
    <row r="44" spans="1:24" s="3" customFormat="1" x14ac:dyDescent="0.25">
      <c r="A44" s="319">
        <v>45501</v>
      </c>
      <c r="B44" s="286"/>
      <c r="C44" s="287"/>
      <c r="D44" s="336"/>
      <c r="E44" s="336"/>
      <c r="F44" s="337"/>
      <c r="G44" s="338"/>
      <c r="H44" s="339"/>
      <c r="I44" s="340"/>
      <c r="J44" s="49"/>
      <c r="K44" s="341"/>
      <c r="L44" s="341"/>
      <c r="M44" s="309">
        <f t="shared" si="1"/>
        <v>0</v>
      </c>
      <c r="N44" s="310"/>
      <c r="P44" s="12"/>
      <c r="Q44" s="15"/>
      <c r="R44" s="15"/>
      <c r="S44" s="15"/>
      <c r="T44" s="13"/>
      <c r="U44" s="13"/>
      <c r="V44" s="13"/>
      <c r="W44" s="13"/>
      <c r="X44" s="1"/>
    </row>
    <row r="45" spans="1:24" s="3" customFormat="1" ht="15.75" x14ac:dyDescent="0.25">
      <c r="A45" s="231" t="s">
        <v>21</v>
      </c>
      <c r="B45" s="232"/>
      <c r="C45" s="233"/>
      <c r="D45" s="328">
        <f>+COUNTA(D17:E44)</f>
        <v>0</v>
      </c>
      <c r="E45" s="329"/>
      <c r="F45" s="330">
        <f>+COUNTA(F17:G44)</f>
        <v>0</v>
      </c>
      <c r="G45" s="331"/>
      <c r="H45" s="332">
        <f>SUM(H17:I44)</f>
        <v>0</v>
      </c>
      <c r="I45" s="332"/>
      <c r="J45" s="54"/>
      <c r="K45" s="333"/>
      <c r="L45" s="333"/>
      <c r="M45" s="334">
        <f>+SUM(M17:O44)</f>
        <v>0</v>
      </c>
      <c r="N45" s="335"/>
      <c r="P45" s="12"/>
      <c r="Q45" s="15"/>
      <c r="R45" s="15"/>
      <c r="S45" s="15"/>
      <c r="T45" s="13"/>
      <c r="U45" s="13"/>
      <c r="V45" s="13"/>
      <c r="W45" s="13"/>
      <c r="X45" s="1"/>
    </row>
    <row r="46" spans="1:24" s="3" customFormat="1" x14ac:dyDescent="0.25">
      <c r="A46" s="12"/>
      <c r="B46" s="12"/>
      <c r="C46" s="12"/>
      <c r="D46" s="272" t="s">
        <v>65</v>
      </c>
      <c r="E46" s="273"/>
      <c r="F46" s="274" t="s">
        <v>24</v>
      </c>
      <c r="G46" s="274"/>
      <c r="H46" s="275" t="s">
        <v>62</v>
      </c>
      <c r="I46" s="275"/>
      <c r="K46" s="12"/>
      <c r="L46" s="12"/>
      <c r="M46" s="276" t="s">
        <v>66</v>
      </c>
      <c r="N46" s="277"/>
      <c r="P46" s="12"/>
      <c r="Q46" s="15"/>
      <c r="R46" s="15"/>
      <c r="S46" s="15"/>
      <c r="T46" s="13"/>
      <c r="U46" s="13"/>
      <c r="V46" s="13"/>
      <c r="W46" s="13"/>
      <c r="X46" s="1"/>
    </row>
    <row r="47" spans="1:24" s="3" customFormat="1" x14ac:dyDescent="0.25">
      <c r="K47" s="12"/>
      <c r="L47" s="12"/>
      <c r="M47" s="12"/>
      <c r="N47" s="12"/>
      <c r="P47" s="12"/>
      <c r="Q47" s="15"/>
      <c r="R47" s="15"/>
      <c r="S47" s="15"/>
      <c r="T47" s="13"/>
      <c r="U47" s="13"/>
      <c r="V47" s="13"/>
      <c r="W47" s="13"/>
      <c r="X47" s="1"/>
    </row>
    <row r="48" spans="1:24" s="3" customFormat="1" x14ac:dyDescent="0.25">
      <c r="A48" s="28" t="s">
        <v>23</v>
      </c>
      <c r="J48" s="28" t="s">
        <v>27</v>
      </c>
      <c r="N48" s="47"/>
      <c r="P48" s="12"/>
      <c r="Q48" s="15"/>
      <c r="R48" s="15"/>
      <c r="S48" s="15"/>
      <c r="T48" s="13"/>
      <c r="U48" s="13"/>
      <c r="V48" s="13"/>
      <c r="W48" s="13"/>
      <c r="X48" s="1"/>
    </row>
    <row r="49" spans="1:25" s="3" customFormat="1" x14ac:dyDescent="0.25">
      <c r="J49" s="28" t="s">
        <v>31</v>
      </c>
      <c r="N49" s="47"/>
      <c r="P49" s="12"/>
      <c r="Q49" s="15"/>
      <c r="R49" s="15"/>
      <c r="S49" s="15"/>
      <c r="T49" s="13"/>
      <c r="U49" s="13"/>
      <c r="V49" s="13"/>
      <c r="W49" s="13"/>
      <c r="X49" s="1"/>
    </row>
    <row r="50" spans="1:25" s="3" customFormat="1" x14ac:dyDescent="0.25">
      <c r="A50" s="29" t="s">
        <v>20</v>
      </c>
      <c r="B50" s="30"/>
      <c r="C50" s="29"/>
      <c r="D50" s="29"/>
      <c r="E50" s="16"/>
      <c r="H50" s="18"/>
      <c r="P50" s="12"/>
      <c r="Q50" s="15"/>
      <c r="R50" s="15"/>
      <c r="S50" s="15"/>
      <c r="T50" s="13"/>
      <c r="U50" s="13"/>
      <c r="V50" s="13"/>
      <c r="W50" s="13"/>
      <c r="X50" s="1"/>
    </row>
    <row r="51" spans="1:25" s="3" customFormat="1" x14ac:dyDescent="0.25">
      <c r="A51" s="29" t="s">
        <v>7</v>
      </c>
      <c r="B51" s="30"/>
      <c r="C51" s="31">
        <f ca="1">TODAY()</f>
        <v>45320</v>
      </c>
      <c r="D51" s="29"/>
      <c r="E51" s="16"/>
      <c r="J51" s="28" t="s">
        <v>22</v>
      </c>
      <c r="P51" s="12"/>
      <c r="Q51" s="15"/>
      <c r="R51" s="15"/>
      <c r="S51" s="15"/>
      <c r="T51" s="13"/>
      <c r="U51" s="13"/>
      <c r="V51" s="13"/>
      <c r="W51" s="13"/>
      <c r="X51" s="1"/>
    </row>
    <row r="52" spans="1:25" s="3" customFormat="1" x14ac:dyDescent="0.25">
      <c r="A52" s="28"/>
      <c r="B52" s="315" t="s">
        <v>47</v>
      </c>
      <c r="C52" s="315"/>
      <c r="D52" s="315"/>
      <c r="E52" s="315"/>
      <c r="F52" s="315"/>
      <c r="J52" s="315" t="s">
        <v>48</v>
      </c>
      <c r="K52" s="315"/>
      <c r="L52" s="315"/>
      <c r="M52" s="315"/>
      <c r="N52" s="315"/>
      <c r="P52" s="12"/>
      <c r="Q52" s="12"/>
      <c r="R52" s="12"/>
      <c r="S52" s="12"/>
      <c r="T52" s="13"/>
      <c r="U52" s="13"/>
      <c r="V52" s="13"/>
      <c r="W52" s="13"/>
      <c r="X52" s="1"/>
    </row>
    <row r="53" spans="1:25" s="3" customFormat="1" x14ac:dyDescent="0.25">
      <c r="B53" s="315"/>
      <c r="C53" s="315"/>
      <c r="D53" s="315"/>
      <c r="E53" s="315"/>
      <c r="F53" s="315"/>
      <c r="J53" s="315"/>
      <c r="K53" s="315"/>
      <c r="L53" s="315"/>
      <c r="M53" s="315"/>
      <c r="N53" s="315"/>
      <c r="O53" s="12"/>
      <c r="P53" s="12"/>
      <c r="Q53" s="12"/>
      <c r="R53" s="12"/>
      <c r="S53" s="12"/>
      <c r="T53" s="13"/>
      <c r="U53" s="13"/>
      <c r="V53" s="13"/>
      <c r="W53" s="13"/>
      <c r="X53" s="1"/>
    </row>
    <row r="54" spans="1:25" s="3" customFormat="1" x14ac:dyDescent="0.25">
      <c r="B54" s="315"/>
      <c r="C54" s="315"/>
      <c r="D54" s="315"/>
      <c r="E54" s="315"/>
      <c r="F54" s="315"/>
      <c r="J54" s="315"/>
      <c r="K54" s="315"/>
      <c r="L54" s="315"/>
      <c r="M54" s="315"/>
      <c r="N54" s="315"/>
      <c r="O54" s="12"/>
      <c r="P54" s="12"/>
      <c r="U54" s="1"/>
      <c r="V54" s="1"/>
      <c r="W54" s="1"/>
      <c r="X54" s="1"/>
      <c r="Y54" s="1"/>
    </row>
    <row r="55" spans="1:25" s="3" customFormat="1" x14ac:dyDescent="0.25">
      <c r="B55" s="315"/>
      <c r="C55" s="315"/>
      <c r="D55" s="315"/>
      <c r="E55" s="315"/>
      <c r="F55" s="315"/>
      <c r="J55" s="315"/>
      <c r="K55" s="315"/>
      <c r="L55" s="315"/>
      <c r="M55" s="315"/>
      <c r="N55" s="315"/>
      <c r="P55" s="12"/>
      <c r="U55" s="1"/>
      <c r="V55" s="1"/>
      <c r="W55" s="1"/>
      <c r="X55" s="1"/>
      <c r="Y55" s="1"/>
    </row>
    <row r="56" spans="1:25" s="3" customFormat="1" x14ac:dyDescent="0.25">
      <c r="B56" s="315"/>
      <c r="C56" s="315"/>
      <c r="D56" s="315"/>
      <c r="E56" s="315"/>
      <c r="F56" s="315"/>
      <c r="J56" s="315"/>
      <c r="K56" s="315"/>
      <c r="L56" s="315"/>
      <c r="M56" s="315"/>
      <c r="N56" s="315"/>
      <c r="P56" s="12"/>
      <c r="U56" s="1"/>
      <c r="V56" s="1"/>
      <c r="W56" s="1"/>
      <c r="X56" s="1"/>
      <c r="Y56" s="1"/>
    </row>
    <row r="57" spans="1:25" s="3" customFormat="1" x14ac:dyDescent="0.25">
      <c r="B57" s="315"/>
      <c r="C57" s="315"/>
      <c r="D57" s="315"/>
      <c r="E57" s="315"/>
      <c r="F57" s="315"/>
      <c r="J57" s="315"/>
      <c r="K57" s="315"/>
      <c r="L57" s="315"/>
      <c r="M57" s="315"/>
      <c r="N57" s="315"/>
      <c r="P57" s="12"/>
      <c r="U57" s="1"/>
      <c r="V57" s="1"/>
      <c r="W57" s="1"/>
      <c r="X57" s="1"/>
      <c r="Y57" s="1"/>
    </row>
    <row r="58" spans="1:25" s="3" customFormat="1" x14ac:dyDescent="0.25">
      <c r="A58" s="3" t="s">
        <v>46</v>
      </c>
      <c r="B58" s="23"/>
      <c r="J58" s="3" t="s">
        <v>39</v>
      </c>
      <c r="P58" s="12"/>
      <c r="U58" s="1"/>
      <c r="V58" s="1"/>
      <c r="W58" s="1"/>
      <c r="X58" s="1"/>
      <c r="Y58" s="1"/>
    </row>
    <row r="59" spans="1:25" s="3" customFormat="1" x14ac:dyDescent="0.25">
      <c r="B59" s="23"/>
      <c r="U59" s="1"/>
      <c r="V59" s="1"/>
      <c r="W59" s="1"/>
      <c r="X59" s="1"/>
      <c r="Y59" s="1"/>
    </row>
    <row r="60" spans="1:25" s="3" customFormat="1" x14ac:dyDescent="0.25">
      <c r="B60" s="23"/>
      <c r="U60" s="1"/>
      <c r="V60" s="1"/>
      <c r="W60" s="1"/>
      <c r="X60" s="1"/>
      <c r="Y60" s="1"/>
    </row>
    <row r="61" spans="1:25" s="3" customFormat="1" x14ac:dyDescent="0.25">
      <c r="A61" s="29"/>
      <c r="B61" s="23"/>
      <c r="D61" s="29"/>
      <c r="U61" s="1"/>
      <c r="V61" s="1"/>
      <c r="W61" s="1"/>
      <c r="X61" s="1"/>
      <c r="Y61" s="1"/>
    </row>
    <row r="62" spans="1:25" s="3" customFormat="1" x14ac:dyDescent="0.25">
      <c r="U62" s="1"/>
      <c r="V62" s="1"/>
      <c r="W62" s="1"/>
      <c r="X62" s="1"/>
      <c r="Y62" s="1"/>
    </row>
    <row r="63" spans="1:25" s="3" customFormat="1" x14ac:dyDescent="0.25">
      <c r="B63" s="23"/>
      <c r="U63" s="1"/>
      <c r="V63" s="1"/>
      <c r="W63" s="1"/>
      <c r="X63" s="1"/>
      <c r="Y63" s="1"/>
    </row>
    <row r="64" spans="1:25" s="3" customFormat="1" x14ac:dyDescent="0.25">
      <c r="B64" s="23"/>
      <c r="U64" s="1"/>
      <c r="V64" s="1"/>
      <c r="W64" s="1"/>
      <c r="X64" s="1"/>
      <c r="Y64" s="1"/>
    </row>
    <row r="65" spans="2:25" s="3" customFormat="1" x14ac:dyDescent="0.25">
      <c r="B65" s="23"/>
      <c r="U65" s="1"/>
      <c r="V65" s="1"/>
      <c r="W65" s="1"/>
      <c r="X65" s="1"/>
      <c r="Y65" s="1"/>
    </row>
    <row r="66" spans="2:25" s="3" customFormat="1" x14ac:dyDescent="0.25">
      <c r="B66" s="23"/>
      <c r="U66" s="1"/>
      <c r="V66" s="1"/>
      <c r="W66" s="1"/>
      <c r="X66" s="1"/>
      <c r="Y66" s="1"/>
    </row>
    <row r="67" spans="2:25" s="3" customFormat="1" x14ac:dyDescent="0.25">
      <c r="B67" s="23"/>
      <c r="U67" s="1"/>
      <c r="V67" s="1"/>
      <c r="W67" s="1"/>
      <c r="X67" s="1"/>
      <c r="Y67" s="1"/>
    </row>
    <row r="68" spans="2:25" s="3" customFormat="1" x14ac:dyDescent="0.25">
      <c r="B68" s="23"/>
      <c r="U68" s="1"/>
      <c r="V68" s="1"/>
      <c r="W68" s="1"/>
      <c r="X68" s="1"/>
      <c r="Y68" s="1"/>
    </row>
    <row r="69" spans="2:25" s="3" customFormat="1" x14ac:dyDescent="0.25">
      <c r="B69" s="23"/>
      <c r="U69" s="1"/>
      <c r="V69" s="1"/>
      <c r="W69" s="1"/>
      <c r="X69" s="1"/>
      <c r="Y69" s="1"/>
    </row>
    <row r="70" spans="2:25" s="3" customFormat="1" x14ac:dyDescent="0.25">
      <c r="B70" s="23"/>
      <c r="U70" s="1"/>
      <c r="V70" s="1"/>
      <c r="W70" s="1"/>
      <c r="X70" s="1"/>
      <c r="Y70" s="1"/>
    </row>
    <row r="71" spans="2:25" s="3" customFormat="1" x14ac:dyDescent="0.25">
      <c r="B71" s="23"/>
      <c r="U71" s="1"/>
      <c r="V71" s="1"/>
      <c r="W71" s="1"/>
      <c r="X71" s="1"/>
      <c r="Y71" s="1"/>
    </row>
    <row r="72" spans="2:25" s="3" customFormat="1" x14ac:dyDescent="0.25">
      <c r="B72" s="23"/>
      <c r="U72" s="1"/>
      <c r="V72" s="1"/>
      <c r="W72" s="1"/>
      <c r="X72" s="1"/>
      <c r="Y72" s="1"/>
    </row>
    <row r="73" spans="2:25" s="3" customFormat="1" x14ac:dyDescent="0.25">
      <c r="B73" s="23"/>
      <c r="U73" s="1"/>
      <c r="V73" s="1"/>
      <c r="W73" s="1"/>
      <c r="X73" s="1"/>
      <c r="Y73" s="1"/>
    </row>
    <row r="74" spans="2:25" s="3" customFormat="1" x14ac:dyDescent="0.25">
      <c r="B74" s="23"/>
      <c r="U74" s="1"/>
      <c r="V74" s="1"/>
      <c r="W74" s="1"/>
      <c r="X74" s="1"/>
      <c r="Y74" s="1"/>
    </row>
    <row r="75" spans="2:25" s="3" customFormat="1" x14ac:dyDescent="0.25">
      <c r="B75" s="23"/>
      <c r="U75" s="1"/>
      <c r="V75" s="1"/>
      <c r="W75" s="1"/>
      <c r="X75" s="1"/>
      <c r="Y75" s="1"/>
    </row>
    <row r="76" spans="2:25" s="3" customFormat="1" x14ac:dyDescent="0.25">
      <c r="B76" s="23"/>
      <c r="U76" s="1"/>
      <c r="V76" s="1"/>
      <c r="W76" s="1"/>
      <c r="X76" s="1"/>
      <c r="Y76" s="1"/>
    </row>
    <row r="77" spans="2:25" s="3" customFormat="1" x14ac:dyDescent="0.25">
      <c r="B77" s="23"/>
      <c r="U77" s="1"/>
      <c r="V77" s="1"/>
      <c r="W77" s="1"/>
      <c r="X77" s="1"/>
      <c r="Y77" s="1"/>
    </row>
    <row r="78" spans="2:25" s="3" customFormat="1" x14ac:dyDescent="0.25">
      <c r="B78" s="23"/>
      <c r="U78" s="1"/>
      <c r="V78" s="1"/>
      <c r="W78" s="1"/>
      <c r="X78" s="1"/>
      <c r="Y78" s="1"/>
    </row>
    <row r="79" spans="2:25" s="3" customFormat="1" x14ac:dyDescent="0.25">
      <c r="B79" s="23"/>
      <c r="U79" s="1"/>
      <c r="V79" s="1"/>
      <c r="W79" s="1"/>
      <c r="X79" s="1"/>
      <c r="Y79" s="1"/>
    </row>
    <row r="80" spans="2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2:25" s="3" customFormat="1" x14ac:dyDescent="0.25">
      <c r="B225" s="23"/>
      <c r="U225" s="1"/>
      <c r="V225" s="1"/>
      <c r="W225" s="1"/>
      <c r="X225" s="1"/>
      <c r="Y225" s="1"/>
    </row>
    <row r="226" spans="2:25" s="3" customFormat="1" x14ac:dyDescent="0.25">
      <c r="B226" s="23"/>
      <c r="U226" s="1"/>
      <c r="V226" s="1"/>
      <c r="W226" s="1"/>
      <c r="X226" s="1"/>
      <c r="Y226" s="1"/>
    </row>
    <row r="227" spans="2:25" s="3" customFormat="1" x14ac:dyDescent="0.25">
      <c r="B227" s="23"/>
      <c r="U227" s="1"/>
      <c r="V227" s="1"/>
      <c r="W227" s="1"/>
      <c r="X227" s="1"/>
      <c r="Y227" s="1"/>
    </row>
    <row r="228" spans="2:25" s="3" customFormat="1" x14ac:dyDescent="0.25">
      <c r="B228" s="23"/>
      <c r="U228" s="1"/>
      <c r="V228" s="1"/>
      <c r="W228" s="1"/>
      <c r="X228" s="1"/>
      <c r="Y228" s="1"/>
    </row>
    <row r="229" spans="2:25" s="3" customFormat="1" x14ac:dyDescent="0.25">
      <c r="B229" s="23"/>
      <c r="U229" s="1"/>
      <c r="V229" s="1"/>
      <c r="W229" s="1"/>
      <c r="X229" s="1"/>
      <c r="Y229" s="1"/>
    </row>
    <row r="230" spans="2:25" s="3" customFormat="1" x14ac:dyDescent="0.25">
      <c r="B230" s="23"/>
      <c r="U230" s="1"/>
      <c r="V230" s="1"/>
      <c r="W230" s="1"/>
      <c r="X230" s="1"/>
      <c r="Y230" s="1"/>
    </row>
    <row r="231" spans="2:25" s="3" customFormat="1" x14ac:dyDescent="0.25">
      <c r="B231" s="23"/>
      <c r="U231" s="1"/>
      <c r="V231" s="1"/>
      <c r="W231" s="1"/>
      <c r="X231" s="1"/>
      <c r="Y231" s="1"/>
    </row>
    <row r="232" spans="2:25" s="3" customFormat="1" x14ac:dyDescent="0.25">
      <c r="B232" s="23"/>
      <c r="U232" s="1"/>
      <c r="V232" s="1"/>
      <c r="W232" s="1"/>
      <c r="X232" s="1"/>
      <c r="Y232" s="1"/>
    </row>
    <row r="233" spans="2:25" s="3" customFormat="1" x14ac:dyDescent="0.25">
      <c r="B233" s="23"/>
      <c r="U233" s="1"/>
      <c r="V233" s="1"/>
      <c r="W233" s="1"/>
      <c r="X233" s="1"/>
      <c r="Y233" s="1"/>
    </row>
    <row r="234" spans="2:25" s="3" customFormat="1" x14ac:dyDescent="0.25">
      <c r="B234" s="23"/>
      <c r="U234" s="1"/>
      <c r="V234" s="1"/>
      <c r="W234" s="1"/>
      <c r="X234" s="1"/>
      <c r="Y234" s="1"/>
    </row>
    <row r="235" spans="2:25" s="3" customFormat="1" x14ac:dyDescent="0.25">
      <c r="B235" s="23"/>
      <c r="K235" s="6"/>
      <c r="L235" s="6"/>
      <c r="M235" s="6"/>
      <c r="N235" s="6"/>
      <c r="U235" s="1"/>
      <c r="V235" s="1"/>
      <c r="W235" s="1"/>
      <c r="X235" s="1"/>
      <c r="Y235" s="1"/>
    </row>
    <row r="236" spans="2:25" s="3" customFormat="1" x14ac:dyDescent="0.25">
      <c r="B236" s="23"/>
      <c r="K236" s="6"/>
      <c r="L236" s="6"/>
      <c r="M236" s="6"/>
      <c r="N236" s="6"/>
      <c r="U236" s="1"/>
      <c r="V236" s="1"/>
      <c r="W236" s="1"/>
      <c r="X236" s="1"/>
      <c r="Y236" s="1"/>
    </row>
    <row r="237" spans="2:25" s="3" customFormat="1" x14ac:dyDescent="0.25">
      <c r="B237" s="23"/>
      <c r="K237" s="6"/>
      <c r="L237" s="6"/>
      <c r="M237" s="6"/>
      <c r="N237" s="6"/>
      <c r="U237" s="1"/>
      <c r="V237" s="1"/>
      <c r="W237" s="1"/>
      <c r="X237" s="1"/>
      <c r="Y237" s="1"/>
    </row>
    <row r="238" spans="2:25" s="3" customFormat="1" x14ac:dyDescent="0.25">
      <c r="B238" s="23"/>
      <c r="J238" s="6"/>
      <c r="K238" s="6"/>
      <c r="L238" s="6"/>
      <c r="M238" s="6"/>
      <c r="N238" s="6"/>
      <c r="U238" s="1"/>
      <c r="V238" s="1"/>
      <c r="W238" s="1"/>
      <c r="X238" s="1"/>
      <c r="Y238" s="1"/>
    </row>
    <row r="239" spans="2:25" s="3" customFormat="1" x14ac:dyDescent="0.25">
      <c r="B239" s="23"/>
      <c r="J239" s="6"/>
      <c r="K239" s="6"/>
      <c r="L239" s="6"/>
      <c r="M239" s="6"/>
      <c r="N239" s="6"/>
      <c r="U239" s="1"/>
      <c r="V239" s="1"/>
      <c r="W239" s="1"/>
      <c r="X239" s="1"/>
      <c r="Y239" s="1"/>
    </row>
    <row r="240" spans="2:25" s="3" customFormat="1" x14ac:dyDescent="0.25">
      <c r="B240" s="23"/>
      <c r="J240" s="6"/>
      <c r="K240" s="6"/>
      <c r="L240" s="6"/>
      <c r="M240" s="6"/>
      <c r="N240" s="6"/>
      <c r="U240" s="1"/>
      <c r="V240" s="1"/>
      <c r="W240" s="1"/>
      <c r="X240" s="1"/>
      <c r="Y240" s="1"/>
    </row>
    <row r="241" spans="1:25" s="3" customFormat="1" x14ac:dyDescent="0.25">
      <c r="B241" s="23"/>
      <c r="J241" s="6"/>
      <c r="K241" s="6"/>
      <c r="L241" s="6"/>
      <c r="M241" s="6"/>
      <c r="N241" s="6"/>
      <c r="U241" s="1"/>
      <c r="V241" s="1"/>
      <c r="W241" s="1"/>
      <c r="X241" s="1"/>
      <c r="Y241" s="1"/>
    </row>
    <row r="242" spans="1:25" s="3" customFormat="1" x14ac:dyDescent="0.25">
      <c r="B242" s="23"/>
      <c r="J242" s="6"/>
      <c r="K242" s="6"/>
      <c r="L242" s="6"/>
      <c r="M242" s="6"/>
      <c r="N242" s="6"/>
      <c r="U242" s="1"/>
      <c r="V242" s="1"/>
      <c r="W242" s="1"/>
      <c r="X242" s="1"/>
      <c r="Y242" s="1"/>
    </row>
    <row r="243" spans="1:25" s="3" customFormat="1" x14ac:dyDescent="0.25">
      <c r="B243" s="23"/>
      <c r="J243" s="6"/>
      <c r="K243" s="6"/>
      <c r="L243" s="6"/>
      <c r="M243" s="6"/>
      <c r="N243" s="6"/>
      <c r="U243" s="1"/>
      <c r="V243" s="1"/>
      <c r="W243" s="1"/>
      <c r="X243" s="1"/>
      <c r="Y243" s="1"/>
    </row>
    <row r="244" spans="1:25" s="3" customFormat="1" x14ac:dyDescent="0.25">
      <c r="A244" s="6"/>
      <c r="B244" s="25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U244" s="1"/>
      <c r="V244" s="1"/>
      <c r="W244" s="1"/>
      <c r="X244" s="1"/>
      <c r="Y244" s="1"/>
    </row>
    <row r="245" spans="1:25" s="3" customFormat="1" x14ac:dyDescent="0.25">
      <c r="A245" s="6"/>
      <c r="B245" s="25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U245" s="1"/>
      <c r="V245" s="1"/>
      <c r="W245" s="1"/>
      <c r="X245" s="1"/>
      <c r="Y245" s="1"/>
    </row>
    <row r="246" spans="1:25" s="3" customFormat="1" x14ac:dyDescent="0.25">
      <c r="A246" s="6"/>
      <c r="B246" s="25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U246" s="1"/>
      <c r="V246" s="1"/>
      <c r="W246" s="1"/>
      <c r="X246" s="1"/>
      <c r="Y246" s="1"/>
    </row>
    <row r="247" spans="1:25" s="3" customFormat="1" x14ac:dyDescent="0.25">
      <c r="A247" s="6"/>
      <c r="B247" s="25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U247" s="1"/>
      <c r="V247" s="1"/>
      <c r="W247" s="1"/>
      <c r="X247" s="1"/>
      <c r="Y247" s="1"/>
    </row>
    <row r="248" spans="1:25" s="3" customFormat="1" x14ac:dyDescent="0.25">
      <c r="A248" s="6"/>
      <c r="B248" s="25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U248" s="1"/>
      <c r="V248" s="1"/>
      <c r="W248" s="1"/>
      <c r="X248" s="1"/>
      <c r="Y248" s="1"/>
    </row>
    <row r="249" spans="1:25" s="3" customFormat="1" x14ac:dyDescent="0.25">
      <c r="A249" s="6"/>
      <c r="B249" s="25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U249" s="1"/>
      <c r="V249" s="1"/>
      <c r="W249" s="1"/>
      <c r="X249" s="1"/>
      <c r="Y249" s="1"/>
    </row>
    <row r="250" spans="1:25" s="3" customFormat="1" x14ac:dyDescent="0.25">
      <c r="A250" s="6"/>
      <c r="B250" s="25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U250" s="1"/>
      <c r="V250" s="1"/>
      <c r="W250" s="1"/>
      <c r="X250" s="1"/>
      <c r="Y250" s="1"/>
    </row>
    <row r="251" spans="1:25" s="3" customFormat="1" x14ac:dyDescent="0.25">
      <c r="A251" s="6"/>
      <c r="B251" s="25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Q251" s="6"/>
      <c r="R251" s="6"/>
      <c r="S251" s="6"/>
      <c r="U251" s="1"/>
      <c r="V251" s="1"/>
      <c r="W251" s="1"/>
      <c r="X251" s="1"/>
      <c r="Y251" s="1"/>
    </row>
  </sheetData>
  <sheetProtection sheet="1" objects="1" scenarios="1"/>
  <mergeCells count="186">
    <mergeCell ref="M31:N31"/>
    <mergeCell ref="M32:N32"/>
    <mergeCell ref="M33:N33"/>
    <mergeCell ref="M34:N34"/>
    <mergeCell ref="M35:N35"/>
    <mergeCell ref="M36:N36"/>
    <mergeCell ref="M37:N37"/>
    <mergeCell ref="A20:C20"/>
    <mergeCell ref="A21:C21"/>
    <mergeCell ref="A24:C24"/>
    <mergeCell ref="A25:C25"/>
    <mergeCell ref="D23:E23"/>
    <mergeCell ref="F23:G23"/>
    <mergeCell ref="H23:I23"/>
    <mergeCell ref="K23:L23"/>
    <mergeCell ref="M23:N23"/>
    <mergeCell ref="D22:E22"/>
    <mergeCell ref="F22:G22"/>
    <mergeCell ref="H22:I22"/>
    <mergeCell ref="K22:L22"/>
    <mergeCell ref="M22:N22"/>
    <mergeCell ref="A22:C22"/>
    <mergeCell ref="A23:C23"/>
    <mergeCell ref="D25:E25"/>
    <mergeCell ref="K18:L18"/>
    <mergeCell ref="M18:N18"/>
    <mergeCell ref="D21:E21"/>
    <mergeCell ref="F21:G21"/>
    <mergeCell ref="H21:I21"/>
    <mergeCell ref="C12:F12"/>
    <mergeCell ref="K12:L12"/>
    <mergeCell ref="D19:E19"/>
    <mergeCell ref="F19:G19"/>
    <mergeCell ref="H19:I19"/>
    <mergeCell ref="K19:L19"/>
    <mergeCell ref="M19:N19"/>
    <mergeCell ref="D18:E18"/>
    <mergeCell ref="F18:G18"/>
    <mergeCell ref="H18:I18"/>
    <mergeCell ref="A18:C18"/>
    <mergeCell ref="A19:C19"/>
    <mergeCell ref="K21:L21"/>
    <mergeCell ref="M21:N21"/>
    <mergeCell ref="D20:E20"/>
    <mergeCell ref="F20:G20"/>
    <mergeCell ref="H20:I20"/>
    <mergeCell ref="K20:L20"/>
    <mergeCell ref="M20:N20"/>
    <mergeCell ref="D2:K4"/>
    <mergeCell ref="L2:N4"/>
    <mergeCell ref="R3:T3"/>
    <mergeCell ref="B5:K5"/>
    <mergeCell ref="L5:N5"/>
    <mergeCell ref="R5:T5"/>
    <mergeCell ref="D17:E17"/>
    <mergeCell ref="F17:G17"/>
    <mergeCell ref="H17:I17"/>
    <mergeCell ref="K17:L17"/>
    <mergeCell ref="M17:N17"/>
    <mergeCell ref="K13:L13"/>
    <mergeCell ref="F15:N15"/>
    <mergeCell ref="A16:C16"/>
    <mergeCell ref="D16:E16"/>
    <mergeCell ref="F16:G16"/>
    <mergeCell ref="H16:I16"/>
    <mergeCell ref="K16:L16"/>
    <mergeCell ref="M16:N16"/>
    <mergeCell ref="A17:C17"/>
    <mergeCell ref="C8:F8"/>
    <mergeCell ref="K8:N8"/>
    <mergeCell ref="C10:F10"/>
    <mergeCell ref="K10:N10"/>
    <mergeCell ref="F25:G25"/>
    <mergeCell ref="H25:I25"/>
    <mergeCell ref="K25:L25"/>
    <mergeCell ref="M25:N25"/>
    <mergeCell ref="D24:E24"/>
    <mergeCell ref="F24:G24"/>
    <mergeCell ref="H24:I24"/>
    <mergeCell ref="K24:L24"/>
    <mergeCell ref="M24:N24"/>
    <mergeCell ref="A28:C28"/>
    <mergeCell ref="A29:C29"/>
    <mergeCell ref="D27:E27"/>
    <mergeCell ref="F27:G27"/>
    <mergeCell ref="H27:I27"/>
    <mergeCell ref="K27:L27"/>
    <mergeCell ref="M27:N27"/>
    <mergeCell ref="D26:E26"/>
    <mergeCell ref="F26:G26"/>
    <mergeCell ref="H26:I26"/>
    <mergeCell ref="K26:L26"/>
    <mergeCell ref="M26:N26"/>
    <mergeCell ref="A26:C26"/>
    <mergeCell ref="A27:C27"/>
    <mergeCell ref="M30:N30"/>
    <mergeCell ref="D29:E29"/>
    <mergeCell ref="F29:G29"/>
    <mergeCell ref="H29:I29"/>
    <mergeCell ref="K29:L29"/>
    <mergeCell ref="M29:N29"/>
    <mergeCell ref="D28:E28"/>
    <mergeCell ref="F28:G28"/>
    <mergeCell ref="H28:I28"/>
    <mergeCell ref="K28:L28"/>
    <mergeCell ref="M28:N28"/>
    <mergeCell ref="D31:E31"/>
    <mergeCell ref="K31:L31"/>
    <mergeCell ref="D32:E32"/>
    <mergeCell ref="K32:L32"/>
    <mergeCell ref="D30:E30"/>
    <mergeCell ref="F30:G30"/>
    <mergeCell ref="H30:I30"/>
    <mergeCell ref="K30:L30"/>
    <mergeCell ref="A30:C30"/>
    <mergeCell ref="A31:C31"/>
    <mergeCell ref="A32:C32"/>
    <mergeCell ref="A37:C37"/>
    <mergeCell ref="A38:C38"/>
    <mergeCell ref="A39:C39"/>
    <mergeCell ref="D35:E35"/>
    <mergeCell ref="K35:L35"/>
    <mergeCell ref="D36:E36"/>
    <mergeCell ref="K36:L36"/>
    <mergeCell ref="D33:E33"/>
    <mergeCell ref="K33:L33"/>
    <mergeCell ref="D34:E34"/>
    <mergeCell ref="K34:L34"/>
    <mergeCell ref="A33:C33"/>
    <mergeCell ref="A34:C34"/>
    <mergeCell ref="A35:C35"/>
    <mergeCell ref="A36:C36"/>
    <mergeCell ref="M38:N38"/>
    <mergeCell ref="D39:E39"/>
    <mergeCell ref="F39:G39"/>
    <mergeCell ref="H39:I39"/>
    <mergeCell ref="K39:L39"/>
    <mergeCell ref="M39:N39"/>
    <mergeCell ref="D37:E37"/>
    <mergeCell ref="K37:L37"/>
    <mergeCell ref="D38:E38"/>
    <mergeCell ref="F38:G38"/>
    <mergeCell ref="H38:I38"/>
    <mergeCell ref="K38:L38"/>
    <mergeCell ref="A40:C40"/>
    <mergeCell ref="A41:C41"/>
    <mergeCell ref="D43:E43"/>
    <mergeCell ref="F43:G43"/>
    <mergeCell ref="H43:I43"/>
    <mergeCell ref="K43:L43"/>
    <mergeCell ref="M43:N43"/>
    <mergeCell ref="D42:E42"/>
    <mergeCell ref="F42:G42"/>
    <mergeCell ref="H42:I42"/>
    <mergeCell ref="K42:L42"/>
    <mergeCell ref="M42:N42"/>
    <mergeCell ref="D41:E41"/>
    <mergeCell ref="F41:G41"/>
    <mergeCell ref="H41:I41"/>
    <mergeCell ref="K41:L41"/>
    <mergeCell ref="M41:N41"/>
    <mergeCell ref="D40:E40"/>
    <mergeCell ref="F40:G40"/>
    <mergeCell ref="H40:I40"/>
    <mergeCell ref="K40:L40"/>
    <mergeCell ref="M40:N40"/>
    <mergeCell ref="A42:C42"/>
    <mergeCell ref="A43:C43"/>
    <mergeCell ref="B52:F57"/>
    <mergeCell ref="J52:N57"/>
    <mergeCell ref="A45:C45"/>
    <mergeCell ref="D45:E45"/>
    <mergeCell ref="F45:G45"/>
    <mergeCell ref="H45:I45"/>
    <mergeCell ref="K45:L45"/>
    <mergeCell ref="M45:N45"/>
    <mergeCell ref="A44:C44"/>
    <mergeCell ref="D44:E44"/>
    <mergeCell ref="F44:G44"/>
    <mergeCell ref="H44:I44"/>
    <mergeCell ref="K44:L44"/>
    <mergeCell ref="M44:N44"/>
    <mergeCell ref="D46:E46"/>
    <mergeCell ref="F46:G46"/>
    <mergeCell ref="H46:I46"/>
    <mergeCell ref="M46:N46"/>
  </mergeCells>
  <conditionalFormatting sqref="D17:D45">
    <cfRule type="expression" dxfId="45" priority="1">
      <formula>#REF!="Non"</formula>
    </cfRule>
    <cfRule type="expression" dxfId="44" priority="2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2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</sheetPr>
  <dimension ref="A1:BD251"/>
  <sheetViews>
    <sheetView topLeftCell="A10" zoomScale="80" zoomScaleNormal="80" workbookViewId="0">
      <selection activeCell="T39" sqref="T39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1.5703125" style="6" customWidth="1"/>
    <col min="4" max="4" width="8.42578125" style="6" customWidth="1"/>
    <col min="5" max="5" width="6.42578125" style="6" customWidth="1"/>
    <col min="6" max="6" width="5.42578125" style="6" customWidth="1"/>
    <col min="7" max="7" width="8" style="6" customWidth="1"/>
    <col min="8" max="8" width="5.85546875" style="6" customWidth="1"/>
    <col min="9" max="9" width="10" style="6" customWidth="1"/>
    <col min="10" max="10" width="14.42578125" style="6" customWidth="1"/>
    <col min="11" max="12" width="8.140625" style="6" customWidth="1"/>
    <col min="13" max="13" width="8" style="6" customWidth="1"/>
    <col min="14" max="14" width="10.42578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69</v>
      </c>
      <c r="E2" s="195"/>
      <c r="F2" s="195"/>
      <c r="G2" s="195"/>
      <c r="H2" s="195"/>
      <c r="I2" s="195"/>
      <c r="J2" s="195"/>
      <c r="K2" s="195"/>
      <c r="L2" s="251">
        <f>'Niveau 1 Août'!L2:N4</f>
        <v>45505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6"/>
      <c r="Q3" s="4"/>
      <c r="R3" s="220"/>
      <c r="S3" s="220"/>
      <c r="T3" s="220"/>
      <c r="U3" s="36"/>
      <c r="V3" s="36"/>
      <c r="W3" s="36"/>
      <c r="X3" s="36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6"/>
      <c r="Q4" s="4"/>
      <c r="R4" s="36"/>
      <c r="S4" s="36"/>
      <c r="T4" s="36"/>
      <c r="U4" s="36"/>
      <c r="V4" s="36"/>
      <c r="W4" s="36"/>
      <c r="X4" s="36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f>+'Niveau 2 Août'!L5:N5</f>
        <v>45503</v>
      </c>
      <c r="M5" s="222"/>
      <c r="N5" s="222"/>
      <c r="O5" s="3"/>
      <c r="P5" s="36"/>
      <c r="Q5" s="5"/>
      <c r="R5" s="220"/>
      <c r="S5" s="220"/>
      <c r="T5" s="220"/>
      <c r="U5" s="36"/>
      <c r="V5" s="36"/>
      <c r="W5" s="36"/>
      <c r="X5" s="36"/>
      <c r="Y5" s="5"/>
    </row>
    <row r="6" spans="1:25" ht="19.5" customHeight="1" x14ac:dyDescent="0.35">
      <c r="A6" s="46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40"/>
      <c r="V6" s="40"/>
      <c r="W6" s="40"/>
      <c r="X6" s="40"/>
      <c r="Y6" s="5"/>
    </row>
    <row r="7" spans="1:25" ht="19.5" customHeight="1" thickBot="1" x14ac:dyDescent="0.4">
      <c r="A7" s="48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40"/>
      <c r="V7" s="40"/>
      <c r="W7" s="40"/>
      <c r="X7" s="40"/>
      <c r="Y7" s="5"/>
    </row>
    <row r="8" spans="1:25" ht="18" customHeight="1" thickBot="1" x14ac:dyDescent="0.3">
      <c r="A8" s="8" t="s">
        <v>2</v>
      </c>
      <c r="B8" s="24"/>
      <c r="C8" s="324"/>
      <c r="D8" s="325"/>
      <c r="E8" s="325"/>
      <c r="F8" s="326"/>
      <c r="G8" s="9"/>
      <c r="H8" s="8" t="s">
        <v>26</v>
      </c>
      <c r="I8" s="8"/>
      <c r="J8" s="8"/>
      <c r="K8" s="324"/>
      <c r="L8" s="325"/>
      <c r="M8" s="325"/>
      <c r="N8" s="326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324"/>
      <c r="D10" s="325"/>
      <c r="E10" s="325"/>
      <c r="F10" s="326"/>
      <c r="G10" s="9"/>
      <c r="H10" s="8" t="s">
        <v>25</v>
      </c>
      <c r="I10" s="8"/>
      <c r="J10" s="8"/>
      <c r="K10" s="324"/>
      <c r="L10" s="325"/>
      <c r="M10" s="325"/>
      <c r="N10" s="326"/>
      <c r="O10" s="26"/>
      <c r="P10" s="26"/>
      <c r="Q10" s="26"/>
      <c r="R10" s="26"/>
      <c r="S10" s="26"/>
      <c r="T10" s="26"/>
      <c r="U10" s="11"/>
    </row>
    <row r="11" spans="1:25" ht="18" customHeight="1" thickBot="1" x14ac:dyDescent="0.35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8" customHeight="1" thickBot="1" x14ac:dyDescent="0.35">
      <c r="A12" s="8" t="s">
        <v>49</v>
      </c>
      <c r="B12" s="24"/>
      <c r="C12" s="324" t="s">
        <v>50</v>
      </c>
      <c r="D12" s="325"/>
      <c r="E12" s="325"/>
      <c r="F12" s="326"/>
      <c r="G12" s="24"/>
      <c r="H12" s="8" t="s">
        <v>52</v>
      </c>
      <c r="I12" s="8"/>
      <c r="J12" s="24"/>
      <c r="K12" s="346"/>
      <c r="L12" s="347"/>
      <c r="M12" s="8" t="s">
        <v>59</v>
      </c>
      <c r="N12" s="24"/>
      <c r="O12" s="26"/>
      <c r="P12" s="26"/>
      <c r="Q12" s="26"/>
      <c r="R12" s="26"/>
      <c r="S12" s="26"/>
      <c r="T12" s="26"/>
      <c r="U12" s="11"/>
    </row>
    <row r="13" spans="1:25" ht="18" customHeight="1" thickBot="1" x14ac:dyDescent="0.35">
      <c r="A13" s="8"/>
      <c r="B13" s="24"/>
      <c r="C13" s="24"/>
      <c r="D13" s="24"/>
      <c r="E13" s="24"/>
      <c r="F13" s="24"/>
      <c r="G13" s="24"/>
      <c r="H13" s="8" t="s">
        <v>51</v>
      </c>
      <c r="I13" s="8"/>
      <c r="J13" s="24"/>
      <c r="K13" s="344"/>
      <c r="L13" s="345"/>
      <c r="M13" s="32" t="s">
        <v>60</v>
      </c>
      <c r="N13" s="24"/>
      <c r="O13" s="26"/>
      <c r="P13" s="26"/>
      <c r="Q13" s="26"/>
      <c r="R13" s="26"/>
      <c r="S13" s="26"/>
      <c r="T13" s="26"/>
      <c r="U13" s="11"/>
    </row>
    <row r="14" spans="1:25" ht="13.5" customHeight="1" thickBot="1" x14ac:dyDescent="0.35">
      <c r="A14" s="8" t="s">
        <v>70</v>
      </c>
      <c r="B14" s="24"/>
      <c r="C14" s="24"/>
      <c r="D14" s="24"/>
      <c r="E14" s="24"/>
      <c r="F14" s="24"/>
      <c r="G14" s="9"/>
      <c r="H14" s="8"/>
      <c r="I14" s="8"/>
      <c r="J14" s="8"/>
      <c r="K14" s="8"/>
      <c r="L14" s="8"/>
      <c r="M14" s="8"/>
      <c r="N14" s="8"/>
      <c r="O14" s="26"/>
      <c r="P14" s="26"/>
      <c r="Q14" s="26"/>
      <c r="R14" s="26"/>
      <c r="S14" s="26"/>
      <c r="T14" s="26"/>
      <c r="U14" s="11"/>
    </row>
    <row r="15" spans="1:25" ht="22.5" customHeight="1" thickBot="1" x14ac:dyDescent="0.35">
      <c r="A15" s="8"/>
      <c r="B15" s="24"/>
      <c r="C15" s="10"/>
      <c r="D15" s="10"/>
      <c r="E15" s="10"/>
      <c r="F15" s="262" t="s">
        <v>28</v>
      </c>
      <c r="G15" s="263"/>
      <c r="H15" s="263"/>
      <c r="I15" s="263"/>
      <c r="J15" s="263"/>
      <c r="K15" s="263"/>
      <c r="L15" s="263"/>
      <c r="M15" s="263"/>
      <c r="N15" s="264"/>
      <c r="O15" s="26"/>
      <c r="P15" s="26"/>
      <c r="Q15" s="26"/>
      <c r="R15" s="26"/>
      <c r="S15" s="26"/>
      <c r="T15" s="26"/>
      <c r="U15" s="11"/>
    </row>
    <row r="16" spans="1:25" s="19" customFormat="1" ht="54.75" customHeight="1" x14ac:dyDescent="0.25">
      <c r="A16" s="200" t="s">
        <v>1</v>
      </c>
      <c r="B16" s="201"/>
      <c r="C16" s="202"/>
      <c r="D16" s="203" t="s">
        <v>58</v>
      </c>
      <c r="E16" s="204"/>
      <c r="F16" s="265" t="s">
        <v>29</v>
      </c>
      <c r="G16" s="265"/>
      <c r="H16" s="266" t="s">
        <v>61</v>
      </c>
      <c r="I16" s="267"/>
      <c r="J16" s="37" t="s">
        <v>63</v>
      </c>
      <c r="K16" s="268" t="s">
        <v>64</v>
      </c>
      <c r="L16" s="269"/>
      <c r="M16" s="266" t="s">
        <v>30</v>
      </c>
      <c r="N16" s="267"/>
      <c r="O16" s="26"/>
      <c r="P16" s="26"/>
      <c r="Q16" s="26"/>
      <c r="R16" s="26"/>
      <c r="S16" s="26"/>
      <c r="T16" s="26"/>
      <c r="U16" s="20"/>
      <c r="V16" s="20"/>
      <c r="W16" s="20"/>
      <c r="X16" s="21"/>
    </row>
    <row r="17" spans="1:24" s="3" customFormat="1" ht="15.75" x14ac:dyDescent="0.25">
      <c r="A17" s="319">
        <v>45474</v>
      </c>
      <c r="B17" s="286"/>
      <c r="C17" s="287"/>
      <c r="D17" s="336"/>
      <c r="E17" s="336"/>
      <c r="F17" s="337"/>
      <c r="G17" s="338"/>
      <c r="H17" s="339"/>
      <c r="I17" s="340"/>
      <c r="J17" s="49"/>
      <c r="K17" s="341"/>
      <c r="L17" s="341"/>
      <c r="M17" s="309">
        <f t="shared" ref="M17" si="0">+K17-J17</f>
        <v>0</v>
      </c>
      <c r="N17" s="310"/>
      <c r="O17" s="26"/>
      <c r="P17" s="26"/>
      <c r="Q17" s="26"/>
      <c r="R17" s="26"/>
      <c r="S17" s="26"/>
      <c r="T17" s="26"/>
      <c r="U17" s="13"/>
      <c r="V17" s="13"/>
      <c r="W17" s="13"/>
      <c r="X17" s="1"/>
    </row>
    <row r="18" spans="1:24" s="3" customFormat="1" ht="15.75" x14ac:dyDescent="0.25">
      <c r="A18" s="319">
        <v>45475</v>
      </c>
      <c r="B18" s="286"/>
      <c r="C18" s="287"/>
      <c r="D18" s="336"/>
      <c r="E18" s="336"/>
      <c r="F18" s="337"/>
      <c r="G18" s="338"/>
      <c r="H18" s="339"/>
      <c r="I18" s="340"/>
      <c r="J18" s="49"/>
      <c r="K18" s="341"/>
      <c r="L18" s="341"/>
      <c r="M18" s="309">
        <f t="shared" ref="M18:M44" si="1">+K18-J18</f>
        <v>0</v>
      </c>
      <c r="N18" s="310"/>
      <c r="P18" s="26"/>
      <c r="Q18" s="26"/>
      <c r="R18" s="26"/>
      <c r="S18" s="26"/>
      <c r="T18" s="26"/>
      <c r="U18" s="13"/>
      <c r="V18" s="13"/>
      <c r="W18" s="13"/>
      <c r="X18" s="1"/>
    </row>
    <row r="19" spans="1:24" s="3" customFormat="1" ht="15.75" x14ac:dyDescent="0.25">
      <c r="A19" s="319">
        <v>45476</v>
      </c>
      <c r="B19" s="286"/>
      <c r="C19" s="287"/>
      <c r="D19" s="336"/>
      <c r="E19" s="336"/>
      <c r="F19" s="337"/>
      <c r="G19" s="338"/>
      <c r="H19" s="339"/>
      <c r="I19" s="340"/>
      <c r="J19" s="49"/>
      <c r="K19" s="341"/>
      <c r="L19" s="341"/>
      <c r="M19" s="309">
        <f t="shared" si="1"/>
        <v>0</v>
      </c>
      <c r="N19" s="310"/>
      <c r="P19" s="26"/>
      <c r="Q19" s="26"/>
      <c r="R19" s="26"/>
      <c r="S19" s="26"/>
      <c r="T19" s="26"/>
      <c r="U19" s="26"/>
      <c r="V19" s="13"/>
      <c r="W19" s="13"/>
      <c r="X19" s="1"/>
    </row>
    <row r="20" spans="1:24" s="3" customFormat="1" x14ac:dyDescent="0.25">
      <c r="A20" s="319">
        <v>45477</v>
      </c>
      <c r="B20" s="286"/>
      <c r="C20" s="287"/>
      <c r="D20" s="336"/>
      <c r="E20" s="336"/>
      <c r="F20" s="337"/>
      <c r="G20" s="338"/>
      <c r="H20" s="339"/>
      <c r="I20" s="340"/>
      <c r="J20" s="49"/>
      <c r="K20" s="341"/>
      <c r="L20" s="341"/>
      <c r="M20" s="309">
        <f t="shared" si="1"/>
        <v>0</v>
      </c>
      <c r="N20" s="310"/>
      <c r="P20" s="12"/>
      <c r="Q20" s="12"/>
      <c r="R20" s="12"/>
      <c r="S20" s="12"/>
      <c r="T20" s="13"/>
      <c r="U20" s="13"/>
      <c r="V20" s="13"/>
      <c r="W20" s="13"/>
      <c r="X20" s="1"/>
    </row>
    <row r="21" spans="1:24" s="3" customFormat="1" x14ac:dyDescent="0.25">
      <c r="A21" s="319">
        <v>45478</v>
      </c>
      <c r="B21" s="286"/>
      <c r="C21" s="287"/>
      <c r="D21" s="336"/>
      <c r="E21" s="336"/>
      <c r="F21" s="337"/>
      <c r="G21" s="338"/>
      <c r="H21" s="339"/>
      <c r="I21" s="340"/>
      <c r="J21" s="49"/>
      <c r="K21" s="341"/>
      <c r="L21" s="341"/>
      <c r="M21" s="309">
        <f t="shared" si="1"/>
        <v>0</v>
      </c>
      <c r="N21" s="310"/>
      <c r="P21" s="12"/>
      <c r="Q21" s="12"/>
      <c r="R21" s="12"/>
      <c r="S21" s="12"/>
      <c r="T21" s="13"/>
      <c r="U21" s="13"/>
      <c r="V21" s="13"/>
      <c r="W21" s="13"/>
      <c r="X21" s="1"/>
    </row>
    <row r="22" spans="1:24" s="3" customFormat="1" x14ac:dyDescent="0.25">
      <c r="A22" s="319">
        <v>45479</v>
      </c>
      <c r="B22" s="286"/>
      <c r="C22" s="287"/>
      <c r="D22" s="336"/>
      <c r="E22" s="336"/>
      <c r="F22" s="337"/>
      <c r="G22" s="338"/>
      <c r="H22" s="339"/>
      <c r="I22" s="340"/>
      <c r="J22" s="49"/>
      <c r="K22" s="341"/>
      <c r="L22" s="341"/>
      <c r="M22" s="309">
        <f t="shared" si="1"/>
        <v>0</v>
      </c>
      <c r="N22" s="310"/>
      <c r="P22" s="12"/>
      <c r="Q22" s="12"/>
      <c r="R22" s="12"/>
      <c r="S22" s="12"/>
      <c r="T22" s="13"/>
      <c r="U22" s="13"/>
      <c r="V22" s="13"/>
      <c r="W22" s="13"/>
      <c r="X22" s="1"/>
    </row>
    <row r="23" spans="1:24" s="3" customFormat="1" x14ac:dyDescent="0.25">
      <c r="A23" s="319">
        <v>45480</v>
      </c>
      <c r="B23" s="286"/>
      <c r="C23" s="287"/>
      <c r="D23" s="336"/>
      <c r="E23" s="336"/>
      <c r="F23" s="337"/>
      <c r="G23" s="338"/>
      <c r="H23" s="339"/>
      <c r="I23" s="340"/>
      <c r="J23" s="49"/>
      <c r="K23" s="341"/>
      <c r="L23" s="341"/>
      <c r="M23" s="309">
        <f t="shared" si="1"/>
        <v>0</v>
      </c>
      <c r="N23" s="310"/>
      <c r="P23" s="12"/>
      <c r="Q23" s="12"/>
      <c r="R23" s="12"/>
      <c r="S23" s="12"/>
      <c r="T23" s="13"/>
      <c r="U23" s="13"/>
      <c r="V23" s="13"/>
      <c r="W23" s="13"/>
      <c r="X23" s="1"/>
    </row>
    <row r="24" spans="1:24" s="3" customFormat="1" x14ac:dyDescent="0.25">
      <c r="A24" s="319">
        <v>45481</v>
      </c>
      <c r="B24" s="286"/>
      <c r="C24" s="287"/>
      <c r="D24" s="336"/>
      <c r="E24" s="336"/>
      <c r="F24" s="337"/>
      <c r="G24" s="338"/>
      <c r="H24" s="339"/>
      <c r="I24" s="340"/>
      <c r="J24" s="49"/>
      <c r="K24" s="341"/>
      <c r="L24" s="341"/>
      <c r="M24" s="309">
        <f t="shared" si="1"/>
        <v>0</v>
      </c>
      <c r="N24" s="310"/>
      <c r="P24" s="12"/>
      <c r="Q24" s="12"/>
      <c r="R24" s="12"/>
      <c r="S24" s="12"/>
      <c r="T24" s="13"/>
      <c r="U24" s="13"/>
      <c r="V24" s="13"/>
      <c r="W24" s="13"/>
      <c r="X24" s="1"/>
    </row>
    <row r="25" spans="1:24" s="3" customFormat="1" x14ac:dyDescent="0.25">
      <c r="A25" s="319">
        <v>45482</v>
      </c>
      <c r="B25" s="286"/>
      <c r="C25" s="287"/>
      <c r="D25" s="336"/>
      <c r="E25" s="336"/>
      <c r="F25" s="337"/>
      <c r="G25" s="338"/>
      <c r="H25" s="339"/>
      <c r="I25" s="340"/>
      <c r="J25" s="49"/>
      <c r="K25" s="341"/>
      <c r="L25" s="341"/>
      <c r="M25" s="309">
        <f t="shared" si="1"/>
        <v>0</v>
      </c>
      <c r="N25" s="310"/>
      <c r="P25" s="12"/>
      <c r="Q25" s="12"/>
      <c r="R25" s="12"/>
      <c r="S25" s="12"/>
      <c r="T25" s="13"/>
      <c r="U25" s="13"/>
      <c r="V25" s="13"/>
      <c r="W25" s="13"/>
      <c r="X25" s="1"/>
    </row>
    <row r="26" spans="1:24" s="3" customFormat="1" x14ac:dyDescent="0.25">
      <c r="A26" s="319">
        <v>45483</v>
      </c>
      <c r="B26" s="286"/>
      <c r="C26" s="287"/>
      <c r="D26" s="336"/>
      <c r="E26" s="336"/>
      <c r="F26" s="337"/>
      <c r="G26" s="338"/>
      <c r="H26" s="339"/>
      <c r="I26" s="340"/>
      <c r="J26" s="49"/>
      <c r="K26" s="341"/>
      <c r="L26" s="341"/>
      <c r="M26" s="309">
        <f t="shared" si="1"/>
        <v>0</v>
      </c>
      <c r="N26" s="310"/>
      <c r="P26" s="12"/>
      <c r="Q26" s="12"/>
      <c r="R26" s="12"/>
      <c r="S26" s="12"/>
      <c r="T26" s="13"/>
      <c r="U26" s="13"/>
      <c r="V26" s="13"/>
      <c r="W26" s="13"/>
      <c r="X26" s="1"/>
    </row>
    <row r="27" spans="1:24" s="3" customFormat="1" x14ac:dyDescent="0.25">
      <c r="A27" s="319">
        <v>45484</v>
      </c>
      <c r="B27" s="286"/>
      <c r="C27" s="287"/>
      <c r="D27" s="336"/>
      <c r="E27" s="336"/>
      <c r="F27" s="337"/>
      <c r="G27" s="338"/>
      <c r="H27" s="339"/>
      <c r="I27" s="340"/>
      <c r="J27" s="49"/>
      <c r="K27" s="341"/>
      <c r="L27" s="341"/>
      <c r="M27" s="309">
        <f t="shared" si="1"/>
        <v>0</v>
      </c>
      <c r="N27" s="310"/>
      <c r="P27" s="12"/>
      <c r="Q27" s="15"/>
      <c r="R27" s="15"/>
      <c r="S27" s="15"/>
      <c r="T27" s="13"/>
      <c r="U27" s="13"/>
      <c r="V27" s="13"/>
      <c r="W27" s="13"/>
      <c r="X27" s="1"/>
    </row>
    <row r="28" spans="1:24" s="3" customFormat="1" x14ac:dyDescent="0.25">
      <c r="A28" s="319">
        <v>45485</v>
      </c>
      <c r="B28" s="286"/>
      <c r="C28" s="287"/>
      <c r="D28" s="336"/>
      <c r="E28" s="336"/>
      <c r="F28" s="337"/>
      <c r="G28" s="338"/>
      <c r="H28" s="339"/>
      <c r="I28" s="340"/>
      <c r="J28" s="49"/>
      <c r="K28" s="341"/>
      <c r="L28" s="341"/>
      <c r="M28" s="309">
        <f t="shared" si="1"/>
        <v>0</v>
      </c>
      <c r="N28" s="310"/>
      <c r="P28" s="12"/>
      <c r="Q28" s="15"/>
      <c r="R28" s="15"/>
      <c r="S28" s="15"/>
      <c r="T28" s="13"/>
      <c r="U28" s="13"/>
      <c r="V28" s="13"/>
      <c r="W28" s="13"/>
      <c r="X28" s="1"/>
    </row>
    <row r="29" spans="1:24" s="3" customFormat="1" x14ac:dyDescent="0.25">
      <c r="A29" s="319">
        <v>45486</v>
      </c>
      <c r="B29" s="286"/>
      <c r="C29" s="287"/>
      <c r="D29" s="336"/>
      <c r="E29" s="336"/>
      <c r="F29" s="337"/>
      <c r="G29" s="338"/>
      <c r="H29" s="339"/>
      <c r="I29" s="340"/>
      <c r="J29" s="49"/>
      <c r="K29" s="341"/>
      <c r="L29" s="341"/>
      <c r="M29" s="309">
        <f t="shared" si="1"/>
        <v>0</v>
      </c>
      <c r="N29" s="310"/>
      <c r="P29" s="12"/>
      <c r="Q29" s="15"/>
      <c r="R29" s="15"/>
      <c r="S29" s="15"/>
      <c r="T29" s="13"/>
      <c r="U29" s="13"/>
      <c r="V29" s="13"/>
      <c r="W29" s="13"/>
      <c r="X29" s="1"/>
    </row>
    <row r="30" spans="1:24" s="3" customFormat="1" x14ac:dyDescent="0.25">
      <c r="A30" s="319">
        <v>45487</v>
      </c>
      <c r="B30" s="286"/>
      <c r="C30" s="287"/>
      <c r="D30" s="336"/>
      <c r="E30" s="336"/>
      <c r="F30" s="337"/>
      <c r="G30" s="338"/>
      <c r="H30" s="339"/>
      <c r="I30" s="340"/>
      <c r="J30" s="49"/>
      <c r="K30" s="341"/>
      <c r="L30" s="341"/>
      <c r="M30" s="309">
        <f t="shared" si="1"/>
        <v>0</v>
      </c>
      <c r="N30" s="310"/>
      <c r="O30" s="1"/>
      <c r="P30" s="12"/>
      <c r="Q30" s="15"/>
      <c r="R30" s="15"/>
      <c r="S30" s="15"/>
      <c r="T30" s="13"/>
      <c r="U30" s="13"/>
      <c r="V30" s="13"/>
      <c r="W30" s="13"/>
      <c r="X30" s="1"/>
    </row>
    <row r="31" spans="1:24" s="3" customFormat="1" x14ac:dyDescent="0.25">
      <c r="A31" s="319">
        <v>45488</v>
      </c>
      <c r="B31" s="286"/>
      <c r="C31" s="287"/>
      <c r="D31" s="342"/>
      <c r="E31" s="343"/>
      <c r="F31" s="50"/>
      <c r="G31" s="51"/>
      <c r="H31" s="52"/>
      <c r="I31" s="53"/>
      <c r="J31" s="49"/>
      <c r="K31" s="309"/>
      <c r="L31" s="310"/>
      <c r="M31" s="309">
        <f t="shared" si="1"/>
        <v>0</v>
      </c>
      <c r="N31" s="310"/>
      <c r="O31" s="1"/>
      <c r="P31" s="12"/>
      <c r="Q31" s="15"/>
      <c r="R31" s="15"/>
      <c r="S31" s="15"/>
      <c r="T31" s="13"/>
      <c r="U31" s="13"/>
      <c r="V31" s="13"/>
      <c r="W31" s="13"/>
      <c r="X31" s="1"/>
    </row>
    <row r="32" spans="1:24" s="3" customFormat="1" x14ac:dyDescent="0.25">
      <c r="A32" s="319">
        <v>45489</v>
      </c>
      <c r="B32" s="286"/>
      <c r="C32" s="287"/>
      <c r="D32" s="342"/>
      <c r="E32" s="343"/>
      <c r="F32" s="50"/>
      <c r="G32" s="51"/>
      <c r="H32" s="52"/>
      <c r="I32" s="53"/>
      <c r="J32" s="49"/>
      <c r="K32" s="309"/>
      <c r="L32" s="310"/>
      <c r="M32" s="309">
        <f t="shared" si="1"/>
        <v>0</v>
      </c>
      <c r="N32" s="310"/>
      <c r="O32" s="1"/>
      <c r="P32" s="12"/>
      <c r="Q32" s="15"/>
      <c r="R32" s="15"/>
      <c r="S32" s="15"/>
      <c r="T32" s="13"/>
      <c r="U32" s="13"/>
      <c r="V32" s="13"/>
      <c r="W32" s="13"/>
      <c r="X32" s="1"/>
    </row>
    <row r="33" spans="1:24" s="3" customFormat="1" x14ac:dyDescent="0.25">
      <c r="A33" s="319">
        <v>45490</v>
      </c>
      <c r="B33" s="286"/>
      <c r="C33" s="287"/>
      <c r="D33" s="342"/>
      <c r="E33" s="343"/>
      <c r="F33" s="50"/>
      <c r="G33" s="51"/>
      <c r="H33" s="52"/>
      <c r="I33" s="53"/>
      <c r="J33" s="49"/>
      <c r="K33" s="309"/>
      <c r="L33" s="310"/>
      <c r="M33" s="309">
        <f t="shared" si="1"/>
        <v>0</v>
      </c>
      <c r="N33" s="310"/>
      <c r="O33" s="1"/>
      <c r="P33" s="12"/>
      <c r="Q33" s="15"/>
      <c r="R33" s="15"/>
      <c r="S33" s="15"/>
      <c r="T33" s="13"/>
      <c r="U33" s="13"/>
      <c r="V33" s="13"/>
      <c r="W33" s="13"/>
      <c r="X33" s="1"/>
    </row>
    <row r="34" spans="1:24" s="3" customFormat="1" x14ac:dyDescent="0.25">
      <c r="A34" s="319">
        <v>45491</v>
      </c>
      <c r="B34" s="286"/>
      <c r="C34" s="287"/>
      <c r="D34" s="342"/>
      <c r="E34" s="343"/>
      <c r="F34" s="50"/>
      <c r="G34" s="51"/>
      <c r="H34" s="52"/>
      <c r="I34" s="53"/>
      <c r="J34" s="49"/>
      <c r="K34" s="309"/>
      <c r="L34" s="310"/>
      <c r="M34" s="309">
        <f t="shared" si="1"/>
        <v>0</v>
      </c>
      <c r="N34" s="310"/>
      <c r="O34" s="1"/>
      <c r="P34" s="12"/>
      <c r="Q34" s="15"/>
      <c r="R34" s="15"/>
      <c r="S34" s="15"/>
      <c r="T34" s="13"/>
      <c r="U34" s="13"/>
      <c r="V34" s="13"/>
      <c r="W34" s="13"/>
      <c r="X34" s="1"/>
    </row>
    <row r="35" spans="1:24" s="3" customFormat="1" x14ac:dyDescent="0.25">
      <c r="A35" s="319">
        <v>45492</v>
      </c>
      <c r="B35" s="286"/>
      <c r="C35" s="287"/>
      <c r="D35" s="342"/>
      <c r="E35" s="343"/>
      <c r="F35" s="50"/>
      <c r="G35" s="51"/>
      <c r="H35" s="52"/>
      <c r="I35" s="53"/>
      <c r="J35" s="49"/>
      <c r="K35" s="309"/>
      <c r="L35" s="310"/>
      <c r="M35" s="309">
        <f t="shared" si="1"/>
        <v>0</v>
      </c>
      <c r="N35" s="310"/>
      <c r="O35" s="1"/>
      <c r="P35" s="12"/>
      <c r="Q35" s="15"/>
      <c r="R35" s="15"/>
      <c r="S35" s="15"/>
      <c r="T35" s="13"/>
      <c r="U35" s="13"/>
      <c r="V35" s="13"/>
      <c r="W35" s="13"/>
      <c r="X35" s="1"/>
    </row>
    <row r="36" spans="1:24" s="3" customFormat="1" x14ac:dyDescent="0.25">
      <c r="A36" s="319">
        <v>45493</v>
      </c>
      <c r="B36" s="286"/>
      <c r="C36" s="287"/>
      <c r="D36" s="342"/>
      <c r="E36" s="343"/>
      <c r="F36" s="50"/>
      <c r="G36" s="51"/>
      <c r="H36" s="52"/>
      <c r="I36" s="53"/>
      <c r="J36" s="49"/>
      <c r="K36" s="309"/>
      <c r="L36" s="310"/>
      <c r="M36" s="309">
        <f t="shared" si="1"/>
        <v>0</v>
      </c>
      <c r="N36" s="310"/>
      <c r="O36" s="1"/>
      <c r="P36" s="12"/>
      <c r="Q36" s="15"/>
      <c r="R36" s="15"/>
      <c r="S36" s="15"/>
      <c r="T36" s="13"/>
      <c r="U36" s="13"/>
      <c r="V36" s="13"/>
      <c r="W36" s="13"/>
      <c r="X36" s="1"/>
    </row>
    <row r="37" spans="1:24" s="3" customFormat="1" x14ac:dyDescent="0.25">
      <c r="A37" s="319">
        <v>45494</v>
      </c>
      <c r="B37" s="286"/>
      <c r="C37" s="287"/>
      <c r="D37" s="342"/>
      <c r="E37" s="343"/>
      <c r="F37" s="50"/>
      <c r="G37" s="51"/>
      <c r="H37" s="52"/>
      <c r="I37" s="53"/>
      <c r="J37" s="49"/>
      <c r="K37" s="309"/>
      <c r="L37" s="310"/>
      <c r="M37" s="309">
        <f t="shared" si="1"/>
        <v>0</v>
      </c>
      <c r="N37" s="310"/>
      <c r="O37" s="1"/>
      <c r="P37" s="12"/>
      <c r="Q37" s="15"/>
      <c r="R37" s="15"/>
      <c r="S37" s="15"/>
      <c r="T37" s="13"/>
      <c r="U37" s="13"/>
      <c r="V37" s="13"/>
      <c r="W37" s="13"/>
      <c r="X37" s="1"/>
    </row>
    <row r="38" spans="1:24" s="3" customFormat="1" x14ac:dyDescent="0.25">
      <c r="A38" s="319">
        <v>45495</v>
      </c>
      <c r="B38" s="286"/>
      <c r="C38" s="287"/>
      <c r="D38" s="336"/>
      <c r="E38" s="336"/>
      <c r="F38" s="337"/>
      <c r="G38" s="338"/>
      <c r="H38" s="339"/>
      <c r="I38" s="340"/>
      <c r="J38" s="49"/>
      <c r="K38" s="341"/>
      <c r="L38" s="341"/>
      <c r="M38" s="309">
        <f t="shared" si="1"/>
        <v>0</v>
      </c>
      <c r="N38" s="310"/>
      <c r="P38" s="12"/>
      <c r="Q38" s="15"/>
      <c r="R38" s="15"/>
      <c r="S38" s="15"/>
      <c r="T38" s="13"/>
      <c r="U38" s="13"/>
      <c r="V38" s="13"/>
      <c r="W38" s="13"/>
      <c r="X38" s="1"/>
    </row>
    <row r="39" spans="1:24" s="3" customFormat="1" x14ac:dyDescent="0.25">
      <c r="A39" s="319">
        <v>45496</v>
      </c>
      <c r="B39" s="286"/>
      <c r="C39" s="287"/>
      <c r="D39" s="336"/>
      <c r="E39" s="336"/>
      <c r="F39" s="337"/>
      <c r="G39" s="338"/>
      <c r="H39" s="339"/>
      <c r="I39" s="340"/>
      <c r="J39" s="49"/>
      <c r="K39" s="341"/>
      <c r="L39" s="341"/>
      <c r="M39" s="309">
        <f t="shared" si="1"/>
        <v>0</v>
      </c>
      <c r="N39" s="310"/>
      <c r="P39" s="12"/>
      <c r="Q39" s="15"/>
      <c r="R39" s="15"/>
      <c r="S39" s="15"/>
      <c r="T39" s="13"/>
      <c r="U39" s="13"/>
      <c r="V39" s="13"/>
      <c r="W39" s="13"/>
      <c r="X39" s="1"/>
    </row>
    <row r="40" spans="1:24" s="3" customFormat="1" x14ac:dyDescent="0.25">
      <c r="A40" s="319">
        <v>45497</v>
      </c>
      <c r="B40" s="286"/>
      <c r="C40" s="287"/>
      <c r="D40" s="336"/>
      <c r="E40" s="336"/>
      <c r="F40" s="337"/>
      <c r="G40" s="338"/>
      <c r="H40" s="339"/>
      <c r="I40" s="340"/>
      <c r="J40" s="49"/>
      <c r="K40" s="341"/>
      <c r="L40" s="341"/>
      <c r="M40" s="309">
        <f t="shared" si="1"/>
        <v>0</v>
      </c>
      <c r="N40" s="310"/>
      <c r="P40" s="12"/>
      <c r="Q40" s="15"/>
      <c r="R40" s="15"/>
      <c r="S40" s="15"/>
      <c r="T40" s="13"/>
      <c r="U40" s="13"/>
      <c r="V40" s="13"/>
      <c r="W40" s="13"/>
      <c r="X40" s="1"/>
    </row>
    <row r="41" spans="1:24" s="3" customFormat="1" x14ac:dyDescent="0.25">
      <c r="A41" s="319">
        <v>45498</v>
      </c>
      <c r="B41" s="286"/>
      <c r="C41" s="287"/>
      <c r="D41" s="336"/>
      <c r="E41" s="336"/>
      <c r="F41" s="337"/>
      <c r="G41" s="338"/>
      <c r="H41" s="339"/>
      <c r="I41" s="340"/>
      <c r="J41" s="49"/>
      <c r="K41" s="341"/>
      <c r="L41" s="341"/>
      <c r="M41" s="309">
        <f t="shared" si="1"/>
        <v>0</v>
      </c>
      <c r="N41" s="310"/>
      <c r="P41" s="12"/>
      <c r="Q41" s="15"/>
      <c r="R41" s="15"/>
      <c r="S41" s="15"/>
      <c r="T41" s="13"/>
      <c r="U41" s="13"/>
      <c r="V41" s="13"/>
      <c r="W41" s="13"/>
      <c r="X41" s="1"/>
    </row>
    <row r="42" spans="1:24" s="3" customFormat="1" x14ac:dyDescent="0.25">
      <c r="A42" s="319">
        <v>45499</v>
      </c>
      <c r="B42" s="286"/>
      <c r="C42" s="287"/>
      <c r="D42" s="336"/>
      <c r="E42" s="336"/>
      <c r="F42" s="337"/>
      <c r="G42" s="338"/>
      <c r="H42" s="339"/>
      <c r="I42" s="340"/>
      <c r="J42" s="49"/>
      <c r="K42" s="341"/>
      <c r="L42" s="341"/>
      <c r="M42" s="309">
        <f t="shared" si="1"/>
        <v>0</v>
      </c>
      <c r="N42" s="310"/>
      <c r="P42" s="12"/>
      <c r="Q42" s="15"/>
      <c r="R42" s="15"/>
      <c r="S42" s="15"/>
      <c r="T42" s="13"/>
      <c r="U42" s="13"/>
      <c r="V42" s="13"/>
      <c r="W42" s="13"/>
      <c r="X42" s="1"/>
    </row>
    <row r="43" spans="1:24" s="3" customFormat="1" x14ac:dyDescent="0.25">
      <c r="A43" s="319">
        <v>45500</v>
      </c>
      <c r="B43" s="286"/>
      <c r="C43" s="287"/>
      <c r="D43" s="336"/>
      <c r="E43" s="336"/>
      <c r="F43" s="337"/>
      <c r="G43" s="338"/>
      <c r="H43" s="339"/>
      <c r="I43" s="340"/>
      <c r="J43" s="49"/>
      <c r="K43" s="341"/>
      <c r="L43" s="341"/>
      <c r="M43" s="309">
        <f t="shared" si="1"/>
        <v>0</v>
      </c>
      <c r="N43" s="310"/>
      <c r="P43" s="12"/>
      <c r="Q43" s="15"/>
      <c r="R43" s="15"/>
      <c r="S43" s="15"/>
      <c r="T43" s="13"/>
      <c r="U43" s="13"/>
      <c r="V43" s="13"/>
      <c r="W43" s="13"/>
      <c r="X43" s="1"/>
    </row>
    <row r="44" spans="1:24" s="3" customFormat="1" x14ac:dyDescent="0.25">
      <c r="A44" s="319">
        <v>45501</v>
      </c>
      <c r="B44" s="286"/>
      <c r="C44" s="287"/>
      <c r="D44" s="336"/>
      <c r="E44" s="336"/>
      <c r="F44" s="337"/>
      <c r="G44" s="338"/>
      <c r="H44" s="339"/>
      <c r="I44" s="340"/>
      <c r="J44" s="49"/>
      <c r="K44" s="341"/>
      <c r="L44" s="341"/>
      <c r="M44" s="309">
        <f t="shared" si="1"/>
        <v>0</v>
      </c>
      <c r="N44" s="310"/>
      <c r="P44" s="12"/>
      <c r="Q44" s="15"/>
      <c r="R44" s="15"/>
      <c r="S44" s="15"/>
      <c r="T44" s="13"/>
      <c r="U44" s="13"/>
      <c r="V44" s="13"/>
      <c r="W44" s="13"/>
      <c r="X44" s="1"/>
    </row>
    <row r="45" spans="1:24" s="3" customFormat="1" ht="15.75" x14ac:dyDescent="0.25">
      <c r="A45" s="231" t="s">
        <v>21</v>
      </c>
      <c r="B45" s="232"/>
      <c r="C45" s="233"/>
      <c r="D45" s="328">
        <f>+COUNTA(D17:E44)</f>
        <v>0</v>
      </c>
      <c r="E45" s="329"/>
      <c r="F45" s="330">
        <f>+COUNTA(F17:G44)</f>
        <v>0</v>
      </c>
      <c r="G45" s="331"/>
      <c r="H45" s="332">
        <f>SUM(H17:I44)</f>
        <v>0</v>
      </c>
      <c r="I45" s="332"/>
      <c r="J45" s="54"/>
      <c r="K45" s="333"/>
      <c r="L45" s="333"/>
      <c r="M45" s="334">
        <f>+SUM(M17:O44)</f>
        <v>0</v>
      </c>
      <c r="N45" s="335"/>
      <c r="P45" s="12"/>
      <c r="Q45" s="15"/>
      <c r="R45" s="15"/>
      <c r="S45" s="15"/>
      <c r="T45" s="13"/>
      <c r="U45" s="13"/>
      <c r="V45" s="13"/>
      <c r="W45" s="13"/>
      <c r="X45" s="1"/>
    </row>
    <row r="46" spans="1:24" s="3" customFormat="1" x14ac:dyDescent="0.25">
      <c r="A46" s="12"/>
      <c r="B46" s="12"/>
      <c r="C46" s="12"/>
      <c r="D46" s="272" t="s">
        <v>65</v>
      </c>
      <c r="E46" s="273"/>
      <c r="F46" s="274" t="s">
        <v>24</v>
      </c>
      <c r="G46" s="274"/>
      <c r="H46" s="275" t="s">
        <v>62</v>
      </c>
      <c r="I46" s="275"/>
      <c r="K46" s="12"/>
      <c r="L46" s="12"/>
      <c r="M46" s="276" t="s">
        <v>66</v>
      </c>
      <c r="N46" s="277"/>
      <c r="P46" s="12"/>
      <c r="Q46" s="15"/>
      <c r="R46" s="15"/>
      <c r="S46" s="15"/>
      <c r="T46" s="13"/>
      <c r="U46" s="13"/>
      <c r="V46" s="13"/>
      <c r="W46" s="13"/>
      <c r="X46" s="1"/>
    </row>
    <row r="47" spans="1:24" s="3" customFormat="1" x14ac:dyDescent="0.25">
      <c r="K47" s="12"/>
      <c r="L47" s="12"/>
      <c r="M47" s="12"/>
      <c r="N47" s="12"/>
      <c r="P47" s="12"/>
      <c r="Q47" s="15"/>
      <c r="R47" s="15"/>
      <c r="S47" s="15"/>
      <c r="T47" s="13"/>
      <c r="U47" s="13"/>
      <c r="V47" s="13"/>
      <c r="W47" s="13"/>
      <c r="X47" s="1"/>
    </row>
    <row r="48" spans="1:24" s="3" customFormat="1" x14ac:dyDescent="0.25">
      <c r="A48" s="28" t="s">
        <v>23</v>
      </c>
      <c r="J48" s="28" t="s">
        <v>27</v>
      </c>
      <c r="N48" s="47"/>
      <c r="P48" s="12"/>
      <c r="Q48" s="15"/>
      <c r="R48" s="15"/>
      <c r="S48" s="15"/>
      <c r="T48" s="13"/>
      <c r="U48" s="13"/>
      <c r="V48" s="13"/>
      <c r="W48" s="13"/>
      <c r="X48" s="1"/>
    </row>
    <row r="49" spans="1:25" s="3" customFormat="1" x14ac:dyDescent="0.25">
      <c r="J49" s="28" t="s">
        <v>31</v>
      </c>
      <c r="N49" s="47"/>
      <c r="P49" s="12"/>
      <c r="Q49" s="15"/>
      <c r="R49" s="15"/>
      <c r="S49" s="15"/>
      <c r="T49" s="13"/>
      <c r="U49" s="13"/>
      <c r="V49" s="13"/>
      <c r="W49" s="13"/>
      <c r="X49" s="1"/>
    </row>
    <row r="50" spans="1:25" s="3" customFormat="1" x14ac:dyDescent="0.25">
      <c r="A50" s="29" t="s">
        <v>20</v>
      </c>
      <c r="B50" s="30"/>
      <c r="C50" s="29"/>
      <c r="D50" s="29"/>
      <c r="E50" s="16"/>
      <c r="H50" s="18"/>
      <c r="P50" s="12"/>
      <c r="Q50" s="15"/>
      <c r="R50" s="15"/>
      <c r="S50" s="15"/>
      <c r="T50" s="13"/>
      <c r="U50" s="13"/>
      <c r="V50" s="13"/>
      <c r="W50" s="13"/>
      <c r="X50" s="1"/>
    </row>
    <row r="51" spans="1:25" s="3" customFormat="1" x14ac:dyDescent="0.25">
      <c r="A51" s="29" t="s">
        <v>7</v>
      </c>
      <c r="B51" s="30"/>
      <c r="C51" s="31">
        <f ca="1">TODAY()</f>
        <v>45320</v>
      </c>
      <c r="D51" s="29"/>
      <c r="E51" s="16"/>
      <c r="J51" s="28" t="s">
        <v>22</v>
      </c>
      <c r="P51" s="12"/>
      <c r="Q51" s="15"/>
      <c r="R51" s="15"/>
      <c r="S51" s="15"/>
      <c r="T51" s="13"/>
      <c r="U51" s="13"/>
      <c r="V51" s="13"/>
      <c r="W51" s="13"/>
      <c r="X51" s="1"/>
    </row>
    <row r="52" spans="1:25" s="3" customFormat="1" x14ac:dyDescent="0.25">
      <c r="A52" s="28"/>
      <c r="B52" s="315" t="s">
        <v>47</v>
      </c>
      <c r="C52" s="315"/>
      <c r="D52" s="315"/>
      <c r="E52" s="315"/>
      <c r="F52" s="315"/>
      <c r="J52" s="315" t="s">
        <v>48</v>
      </c>
      <c r="K52" s="315"/>
      <c r="L52" s="315"/>
      <c r="M52" s="315"/>
      <c r="N52" s="315"/>
      <c r="P52" s="12"/>
      <c r="Q52" s="12"/>
      <c r="R52" s="12"/>
      <c r="S52" s="12"/>
      <c r="T52" s="13"/>
      <c r="U52" s="13"/>
      <c r="V52" s="13"/>
      <c r="W52" s="13"/>
      <c r="X52" s="1"/>
    </row>
    <row r="53" spans="1:25" s="3" customFormat="1" x14ac:dyDescent="0.25">
      <c r="B53" s="315"/>
      <c r="C53" s="315"/>
      <c r="D53" s="315"/>
      <c r="E53" s="315"/>
      <c r="F53" s="315"/>
      <c r="J53" s="315"/>
      <c r="K53" s="315"/>
      <c r="L53" s="315"/>
      <c r="M53" s="315"/>
      <c r="N53" s="315"/>
      <c r="O53" s="12"/>
      <c r="P53" s="12"/>
      <c r="Q53" s="12"/>
      <c r="R53" s="12"/>
      <c r="S53" s="12"/>
      <c r="T53" s="13"/>
      <c r="U53" s="13"/>
      <c r="V53" s="13"/>
      <c r="W53" s="13"/>
      <c r="X53" s="1"/>
    </row>
    <row r="54" spans="1:25" s="3" customFormat="1" x14ac:dyDescent="0.25">
      <c r="B54" s="315"/>
      <c r="C54" s="315"/>
      <c r="D54" s="315"/>
      <c r="E54" s="315"/>
      <c r="F54" s="315"/>
      <c r="J54" s="315"/>
      <c r="K54" s="315"/>
      <c r="L54" s="315"/>
      <c r="M54" s="315"/>
      <c r="N54" s="315"/>
      <c r="O54" s="12"/>
      <c r="P54" s="12"/>
      <c r="U54" s="1"/>
      <c r="V54" s="1"/>
      <c r="W54" s="1"/>
      <c r="X54" s="1"/>
      <c r="Y54" s="1"/>
    </row>
    <row r="55" spans="1:25" s="3" customFormat="1" x14ac:dyDescent="0.25">
      <c r="B55" s="315"/>
      <c r="C55" s="315"/>
      <c r="D55" s="315"/>
      <c r="E55" s="315"/>
      <c r="F55" s="315"/>
      <c r="J55" s="315"/>
      <c r="K55" s="315"/>
      <c r="L55" s="315"/>
      <c r="M55" s="315"/>
      <c r="N55" s="315"/>
      <c r="P55" s="12"/>
      <c r="U55" s="1"/>
      <c r="V55" s="1"/>
      <c r="W55" s="1"/>
      <c r="X55" s="1"/>
      <c r="Y55" s="1"/>
    </row>
    <row r="56" spans="1:25" s="3" customFormat="1" x14ac:dyDescent="0.25">
      <c r="B56" s="315"/>
      <c r="C56" s="315"/>
      <c r="D56" s="315"/>
      <c r="E56" s="315"/>
      <c r="F56" s="315"/>
      <c r="J56" s="315"/>
      <c r="K56" s="315"/>
      <c r="L56" s="315"/>
      <c r="M56" s="315"/>
      <c r="N56" s="315"/>
      <c r="P56" s="12"/>
      <c r="U56" s="1"/>
      <c r="V56" s="1"/>
      <c r="W56" s="1"/>
      <c r="X56" s="1"/>
      <c r="Y56" s="1"/>
    </row>
    <row r="57" spans="1:25" s="3" customFormat="1" x14ac:dyDescent="0.25">
      <c r="B57" s="315"/>
      <c r="C57" s="315"/>
      <c r="D57" s="315"/>
      <c r="E57" s="315"/>
      <c r="F57" s="315"/>
      <c r="J57" s="315"/>
      <c r="K57" s="315"/>
      <c r="L57" s="315"/>
      <c r="M57" s="315"/>
      <c r="N57" s="315"/>
      <c r="P57" s="12"/>
      <c r="U57" s="1"/>
      <c r="V57" s="1"/>
      <c r="W57" s="1"/>
      <c r="X57" s="1"/>
      <c r="Y57" s="1"/>
    </row>
    <row r="58" spans="1:25" s="3" customFormat="1" x14ac:dyDescent="0.25">
      <c r="A58" s="3" t="s">
        <v>46</v>
      </c>
      <c r="B58" s="23"/>
      <c r="J58" s="3" t="s">
        <v>39</v>
      </c>
      <c r="P58" s="12"/>
      <c r="U58" s="1"/>
      <c r="V58" s="1"/>
      <c r="W58" s="1"/>
      <c r="X58" s="1"/>
      <c r="Y58" s="1"/>
    </row>
    <row r="59" spans="1:25" s="3" customFormat="1" x14ac:dyDescent="0.25">
      <c r="B59" s="23"/>
      <c r="U59" s="1"/>
      <c r="V59" s="1"/>
      <c r="W59" s="1"/>
      <c r="X59" s="1"/>
      <c r="Y59" s="1"/>
    </row>
    <row r="60" spans="1:25" s="3" customFormat="1" x14ac:dyDescent="0.25">
      <c r="B60" s="23"/>
      <c r="U60" s="1"/>
      <c r="V60" s="1"/>
      <c r="W60" s="1"/>
      <c r="X60" s="1"/>
      <c r="Y60" s="1"/>
    </row>
    <row r="61" spans="1:25" s="3" customFormat="1" x14ac:dyDescent="0.25">
      <c r="A61" s="29"/>
      <c r="B61" s="23"/>
      <c r="D61" s="29"/>
      <c r="U61" s="1"/>
      <c r="V61" s="1"/>
      <c r="W61" s="1"/>
      <c r="X61" s="1"/>
      <c r="Y61" s="1"/>
    </row>
    <row r="62" spans="1:25" s="3" customFormat="1" x14ac:dyDescent="0.25">
      <c r="U62" s="1"/>
      <c r="V62" s="1"/>
      <c r="W62" s="1"/>
      <c r="X62" s="1"/>
      <c r="Y62" s="1"/>
    </row>
    <row r="63" spans="1:25" s="3" customFormat="1" x14ac:dyDescent="0.25">
      <c r="B63" s="23"/>
      <c r="U63" s="1"/>
      <c r="V63" s="1"/>
      <c r="W63" s="1"/>
      <c r="X63" s="1"/>
      <c r="Y63" s="1"/>
    </row>
    <row r="64" spans="1:25" s="3" customFormat="1" x14ac:dyDescent="0.25">
      <c r="B64" s="23"/>
      <c r="U64" s="1"/>
      <c r="V64" s="1"/>
      <c r="W64" s="1"/>
      <c r="X64" s="1"/>
      <c r="Y64" s="1"/>
    </row>
    <row r="65" spans="2:25" s="3" customFormat="1" x14ac:dyDescent="0.25">
      <c r="B65" s="23"/>
      <c r="U65" s="1"/>
      <c r="V65" s="1"/>
      <c r="W65" s="1"/>
      <c r="X65" s="1"/>
      <c r="Y65" s="1"/>
    </row>
    <row r="66" spans="2:25" s="3" customFormat="1" x14ac:dyDescent="0.25">
      <c r="B66" s="23"/>
      <c r="U66" s="1"/>
      <c r="V66" s="1"/>
      <c r="W66" s="1"/>
      <c r="X66" s="1"/>
      <c r="Y66" s="1"/>
    </row>
    <row r="67" spans="2:25" s="3" customFormat="1" x14ac:dyDescent="0.25">
      <c r="B67" s="23"/>
      <c r="U67" s="1"/>
      <c r="V67" s="1"/>
      <c r="W67" s="1"/>
      <c r="X67" s="1"/>
      <c r="Y67" s="1"/>
    </row>
    <row r="68" spans="2:25" s="3" customFormat="1" x14ac:dyDescent="0.25">
      <c r="B68" s="23"/>
      <c r="U68" s="1"/>
      <c r="V68" s="1"/>
      <c r="W68" s="1"/>
      <c r="X68" s="1"/>
      <c r="Y68" s="1"/>
    </row>
    <row r="69" spans="2:25" s="3" customFormat="1" x14ac:dyDescent="0.25">
      <c r="B69" s="23"/>
      <c r="U69" s="1"/>
      <c r="V69" s="1"/>
      <c r="W69" s="1"/>
      <c r="X69" s="1"/>
      <c r="Y69" s="1"/>
    </row>
    <row r="70" spans="2:25" s="3" customFormat="1" x14ac:dyDescent="0.25">
      <c r="B70" s="23"/>
      <c r="U70" s="1"/>
      <c r="V70" s="1"/>
      <c r="W70" s="1"/>
      <c r="X70" s="1"/>
      <c r="Y70" s="1"/>
    </row>
    <row r="71" spans="2:25" s="3" customFormat="1" x14ac:dyDescent="0.25">
      <c r="B71" s="23"/>
      <c r="U71" s="1"/>
      <c r="V71" s="1"/>
      <c r="W71" s="1"/>
      <c r="X71" s="1"/>
      <c r="Y71" s="1"/>
    </row>
    <row r="72" spans="2:25" s="3" customFormat="1" x14ac:dyDescent="0.25">
      <c r="B72" s="23"/>
      <c r="U72" s="1"/>
      <c r="V72" s="1"/>
      <c r="W72" s="1"/>
      <c r="X72" s="1"/>
      <c r="Y72" s="1"/>
    </row>
    <row r="73" spans="2:25" s="3" customFormat="1" x14ac:dyDescent="0.25">
      <c r="B73" s="23"/>
      <c r="U73" s="1"/>
      <c r="V73" s="1"/>
      <c r="W73" s="1"/>
      <c r="X73" s="1"/>
      <c r="Y73" s="1"/>
    </row>
    <row r="74" spans="2:25" s="3" customFormat="1" x14ac:dyDescent="0.25">
      <c r="B74" s="23"/>
      <c r="U74" s="1"/>
      <c r="V74" s="1"/>
      <c r="W74" s="1"/>
      <c r="X74" s="1"/>
      <c r="Y74" s="1"/>
    </row>
    <row r="75" spans="2:25" s="3" customFormat="1" x14ac:dyDescent="0.25">
      <c r="B75" s="23"/>
      <c r="U75" s="1"/>
      <c r="V75" s="1"/>
      <c r="W75" s="1"/>
      <c r="X75" s="1"/>
      <c r="Y75" s="1"/>
    </row>
    <row r="76" spans="2:25" s="3" customFormat="1" x14ac:dyDescent="0.25">
      <c r="B76" s="23"/>
      <c r="U76" s="1"/>
      <c r="V76" s="1"/>
      <c r="W76" s="1"/>
      <c r="X76" s="1"/>
      <c r="Y76" s="1"/>
    </row>
    <row r="77" spans="2:25" s="3" customFormat="1" x14ac:dyDescent="0.25">
      <c r="B77" s="23"/>
      <c r="U77" s="1"/>
      <c r="V77" s="1"/>
      <c r="W77" s="1"/>
      <c r="X77" s="1"/>
      <c r="Y77" s="1"/>
    </row>
    <row r="78" spans="2:25" s="3" customFormat="1" x14ac:dyDescent="0.25">
      <c r="B78" s="23"/>
      <c r="U78" s="1"/>
      <c r="V78" s="1"/>
      <c r="W78" s="1"/>
      <c r="X78" s="1"/>
      <c r="Y78" s="1"/>
    </row>
    <row r="79" spans="2:25" s="3" customFormat="1" x14ac:dyDescent="0.25">
      <c r="B79" s="23"/>
      <c r="U79" s="1"/>
      <c r="V79" s="1"/>
      <c r="W79" s="1"/>
      <c r="X79" s="1"/>
      <c r="Y79" s="1"/>
    </row>
    <row r="80" spans="2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2:25" s="3" customFormat="1" x14ac:dyDescent="0.25">
      <c r="B225" s="23"/>
      <c r="U225" s="1"/>
      <c r="V225" s="1"/>
      <c r="W225" s="1"/>
      <c r="X225" s="1"/>
      <c r="Y225" s="1"/>
    </row>
    <row r="226" spans="2:25" s="3" customFormat="1" x14ac:dyDescent="0.25">
      <c r="B226" s="23"/>
      <c r="U226" s="1"/>
      <c r="V226" s="1"/>
      <c r="W226" s="1"/>
      <c r="X226" s="1"/>
      <c r="Y226" s="1"/>
    </row>
    <row r="227" spans="2:25" s="3" customFormat="1" x14ac:dyDescent="0.25">
      <c r="B227" s="23"/>
      <c r="U227" s="1"/>
      <c r="V227" s="1"/>
      <c r="W227" s="1"/>
      <c r="X227" s="1"/>
      <c r="Y227" s="1"/>
    </row>
    <row r="228" spans="2:25" s="3" customFormat="1" x14ac:dyDescent="0.25">
      <c r="B228" s="23"/>
      <c r="U228" s="1"/>
      <c r="V228" s="1"/>
      <c r="W228" s="1"/>
      <c r="X228" s="1"/>
      <c r="Y228" s="1"/>
    </row>
    <row r="229" spans="2:25" s="3" customFormat="1" x14ac:dyDescent="0.25">
      <c r="B229" s="23"/>
      <c r="U229" s="1"/>
      <c r="V229" s="1"/>
      <c r="W229" s="1"/>
      <c r="X229" s="1"/>
      <c r="Y229" s="1"/>
    </row>
    <row r="230" spans="2:25" s="3" customFormat="1" x14ac:dyDescent="0.25">
      <c r="B230" s="23"/>
      <c r="U230" s="1"/>
      <c r="V230" s="1"/>
      <c r="W230" s="1"/>
      <c r="X230" s="1"/>
      <c r="Y230" s="1"/>
    </row>
    <row r="231" spans="2:25" s="3" customFormat="1" x14ac:dyDescent="0.25">
      <c r="B231" s="23"/>
      <c r="U231" s="1"/>
      <c r="V231" s="1"/>
      <c r="W231" s="1"/>
      <c r="X231" s="1"/>
      <c r="Y231" s="1"/>
    </row>
    <row r="232" spans="2:25" s="3" customFormat="1" x14ac:dyDescent="0.25">
      <c r="B232" s="23"/>
      <c r="U232" s="1"/>
      <c r="V232" s="1"/>
      <c r="W232" s="1"/>
      <c r="X232" s="1"/>
      <c r="Y232" s="1"/>
    </row>
    <row r="233" spans="2:25" s="3" customFormat="1" x14ac:dyDescent="0.25">
      <c r="B233" s="23"/>
      <c r="U233" s="1"/>
      <c r="V233" s="1"/>
      <c r="W233" s="1"/>
      <c r="X233" s="1"/>
      <c r="Y233" s="1"/>
    </row>
    <row r="234" spans="2:25" s="3" customFormat="1" x14ac:dyDescent="0.25">
      <c r="B234" s="23"/>
      <c r="U234" s="1"/>
      <c r="V234" s="1"/>
      <c r="W234" s="1"/>
      <c r="X234" s="1"/>
      <c r="Y234" s="1"/>
    </row>
    <row r="235" spans="2:25" s="3" customFormat="1" x14ac:dyDescent="0.25">
      <c r="B235" s="23"/>
      <c r="K235" s="6"/>
      <c r="L235" s="6"/>
      <c r="M235" s="6"/>
      <c r="N235" s="6"/>
      <c r="U235" s="1"/>
      <c r="V235" s="1"/>
      <c r="W235" s="1"/>
      <c r="X235" s="1"/>
      <c r="Y235" s="1"/>
    </row>
    <row r="236" spans="2:25" s="3" customFormat="1" x14ac:dyDescent="0.25">
      <c r="B236" s="23"/>
      <c r="K236" s="6"/>
      <c r="L236" s="6"/>
      <c r="M236" s="6"/>
      <c r="N236" s="6"/>
      <c r="U236" s="1"/>
      <c r="V236" s="1"/>
      <c r="W236" s="1"/>
      <c r="X236" s="1"/>
      <c r="Y236" s="1"/>
    </row>
    <row r="237" spans="2:25" s="3" customFormat="1" x14ac:dyDescent="0.25">
      <c r="B237" s="23"/>
      <c r="K237" s="6"/>
      <c r="L237" s="6"/>
      <c r="M237" s="6"/>
      <c r="N237" s="6"/>
      <c r="U237" s="1"/>
      <c r="V237" s="1"/>
      <c r="W237" s="1"/>
      <c r="X237" s="1"/>
      <c r="Y237" s="1"/>
    </row>
    <row r="238" spans="2:25" s="3" customFormat="1" x14ac:dyDescent="0.25">
      <c r="B238" s="23"/>
      <c r="J238" s="6"/>
      <c r="K238" s="6"/>
      <c r="L238" s="6"/>
      <c r="M238" s="6"/>
      <c r="N238" s="6"/>
      <c r="U238" s="1"/>
      <c r="V238" s="1"/>
      <c r="W238" s="1"/>
      <c r="X238" s="1"/>
      <c r="Y238" s="1"/>
    </row>
    <row r="239" spans="2:25" s="3" customFormat="1" x14ac:dyDescent="0.25">
      <c r="B239" s="23"/>
      <c r="J239" s="6"/>
      <c r="K239" s="6"/>
      <c r="L239" s="6"/>
      <c r="M239" s="6"/>
      <c r="N239" s="6"/>
      <c r="U239" s="1"/>
      <c r="V239" s="1"/>
      <c r="W239" s="1"/>
      <c r="X239" s="1"/>
      <c r="Y239" s="1"/>
    </row>
    <row r="240" spans="2:25" s="3" customFormat="1" x14ac:dyDescent="0.25">
      <c r="B240" s="23"/>
      <c r="J240" s="6"/>
      <c r="K240" s="6"/>
      <c r="L240" s="6"/>
      <c r="M240" s="6"/>
      <c r="N240" s="6"/>
      <c r="U240" s="1"/>
      <c r="V240" s="1"/>
      <c r="W240" s="1"/>
      <c r="X240" s="1"/>
      <c r="Y240" s="1"/>
    </row>
    <row r="241" spans="1:25" s="3" customFormat="1" x14ac:dyDescent="0.25">
      <c r="B241" s="23"/>
      <c r="J241" s="6"/>
      <c r="K241" s="6"/>
      <c r="L241" s="6"/>
      <c r="M241" s="6"/>
      <c r="N241" s="6"/>
      <c r="U241" s="1"/>
      <c r="V241" s="1"/>
      <c r="W241" s="1"/>
      <c r="X241" s="1"/>
      <c r="Y241" s="1"/>
    </row>
    <row r="242" spans="1:25" s="3" customFormat="1" x14ac:dyDescent="0.25">
      <c r="B242" s="23"/>
      <c r="J242" s="6"/>
      <c r="K242" s="6"/>
      <c r="L242" s="6"/>
      <c r="M242" s="6"/>
      <c r="N242" s="6"/>
      <c r="U242" s="1"/>
      <c r="V242" s="1"/>
      <c r="W242" s="1"/>
      <c r="X242" s="1"/>
      <c r="Y242" s="1"/>
    </row>
    <row r="243" spans="1:25" s="3" customFormat="1" x14ac:dyDescent="0.25">
      <c r="B243" s="23"/>
      <c r="J243" s="6"/>
      <c r="K243" s="6"/>
      <c r="L243" s="6"/>
      <c r="M243" s="6"/>
      <c r="N243" s="6"/>
      <c r="U243" s="1"/>
      <c r="V243" s="1"/>
      <c r="W243" s="1"/>
      <c r="X243" s="1"/>
      <c r="Y243" s="1"/>
    </row>
    <row r="244" spans="1:25" s="3" customFormat="1" x14ac:dyDescent="0.25">
      <c r="A244" s="6"/>
      <c r="B244" s="25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U244" s="1"/>
      <c r="V244" s="1"/>
      <c r="W244" s="1"/>
      <c r="X244" s="1"/>
      <c r="Y244" s="1"/>
    </row>
    <row r="245" spans="1:25" s="3" customFormat="1" x14ac:dyDescent="0.25">
      <c r="A245" s="6"/>
      <c r="B245" s="25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U245" s="1"/>
      <c r="V245" s="1"/>
      <c r="W245" s="1"/>
      <c r="X245" s="1"/>
      <c r="Y245" s="1"/>
    </row>
    <row r="246" spans="1:25" s="3" customFormat="1" x14ac:dyDescent="0.25">
      <c r="A246" s="6"/>
      <c r="B246" s="25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U246" s="1"/>
      <c r="V246" s="1"/>
      <c r="W246" s="1"/>
      <c r="X246" s="1"/>
      <c r="Y246" s="1"/>
    </row>
    <row r="247" spans="1:25" s="3" customFormat="1" x14ac:dyDescent="0.25">
      <c r="A247" s="6"/>
      <c r="B247" s="25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U247" s="1"/>
      <c r="V247" s="1"/>
      <c r="W247" s="1"/>
      <c r="X247" s="1"/>
      <c r="Y247" s="1"/>
    </row>
    <row r="248" spans="1:25" s="3" customFormat="1" x14ac:dyDescent="0.25">
      <c r="A248" s="6"/>
      <c r="B248" s="25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U248" s="1"/>
      <c r="V248" s="1"/>
      <c r="W248" s="1"/>
      <c r="X248" s="1"/>
      <c r="Y248" s="1"/>
    </row>
    <row r="249" spans="1:25" s="3" customFormat="1" x14ac:dyDescent="0.25">
      <c r="A249" s="6"/>
      <c r="B249" s="25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U249" s="1"/>
      <c r="V249" s="1"/>
      <c r="W249" s="1"/>
      <c r="X249" s="1"/>
      <c r="Y249" s="1"/>
    </row>
    <row r="250" spans="1:25" s="3" customFormat="1" x14ac:dyDescent="0.25">
      <c r="A250" s="6"/>
      <c r="B250" s="25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U250" s="1"/>
      <c r="V250" s="1"/>
      <c r="W250" s="1"/>
      <c r="X250" s="1"/>
      <c r="Y250" s="1"/>
    </row>
    <row r="251" spans="1:25" s="3" customFormat="1" x14ac:dyDescent="0.25">
      <c r="A251" s="6"/>
      <c r="B251" s="25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Q251" s="6"/>
      <c r="R251" s="6"/>
      <c r="S251" s="6"/>
      <c r="U251" s="1"/>
      <c r="V251" s="1"/>
      <c r="W251" s="1"/>
      <c r="X251" s="1"/>
      <c r="Y251" s="1"/>
    </row>
  </sheetData>
  <sheetProtection sheet="1" objects="1" scenarios="1"/>
  <mergeCells count="186">
    <mergeCell ref="M31:N31"/>
    <mergeCell ref="M32:N32"/>
    <mergeCell ref="M33:N33"/>
    <mergeCell ref="M34:N34"/>
    <mergeCell ref="M35:N35"/>
    <mergeCell ref="M36:N36"/>
    <mergeCell ref="M37:N37"/>
    <mergeCell ref="A20:C20"/>
    <mergeCell ref="A21:C21"/>
    <mergeCell ref="A24:C24"/>
    <mergeCell ref="A25:C25"/>
    <mergeCell ref="D23:E23"/>
    <mergeCell ref="F23:G23"/>
    <mergeCell ref="H23:I23"/>
    <mergeCell ref="K23:L23"/>
    <mergeCell ref="M23:N23"/>
    <mergeCell ref="D22:E22"/>
    <mergeCell ref="F22:G22"/>
    <mergeCell ref="H22:I22"/>
    <mergeCell ref="K22:L22"/>
    <mergeCell ref="M22:N22"/>
    <mergeCell ref="A22:C22"/>
    <mergeCell ref="A23:C23"/>
    <mergeCell ref="D25:E25"/>
    <mergeCell ref="K18:L18"/>
    <mergeCell ref="M18:N18"/>
    <mergeCell ref="D21:E21"/>
    <mergeCell ref="F21:G21"/>
    <mergeCell ref="H21:I21"/>
    <mergeCell ref="C12:F12"/>
    <mergeCell ref="K12:L12"/>
    <mergeCell ref="D19:E19"/>
    <mergeCell ref="F19:G19"/>
    <mergeCell ref="H19:I19"/>
    <mergeCell ref="K19:L19"/>
    <mergeCell ref="M19:N19"/>
    <mergeCell ref="D18:E18"/>
    <mergeCell ref="F18:G18"/>
    <mergeCell ref="H18:I18"/>
    <mergeCell ref="A18:C18"/>
    <mergeCell ref="A19:C19"/>
    <mergeCell ref="K21:L21"/>
    <mergeCell ref="M21:N21"/>
    <mergeCell ref="D20:E20"/>
    <mergeCell ref="F20:G20"/>
    <mergeCell ref="H20:I20"/>
    <mergeCell ref="K20:L20"/>
    <mergeCell ref="M20:N20"/>
    <mergeCell ref="D2:K4"/>
    <mergeCell ref="L2:N4"/>
    <mergeCell ref="R3:T3"/>
    <mergeCell ref="B5:K5"/>
    <mergeCell ref="L5:N5"/>
    <mergeCell ref="R5:T5"/>
    <mergeCell ref="D17:E17"/>
    <mergeCell ref="F17:G17"/>
    <mergeCell ref="H17:I17"/>
    <mergeCell ref="K17:L17"/>
    <mergeCell ref="M17:N17"/>
    <mergeCell ref="K13:L13"/>
    <mergeCell ref="F15:N15"/>
    <mergeCell ref="A16:C16"/>
    <mergeCell ref="D16:E16"/>
    <mergeCell ref="F16:G16"/>
    <mergeCell ref="H16:I16"/>
    <mergeCell ref="K16:L16"/>
    <mergeCell ref="M16:N16"/>
    <mergeCell ref="A17:C17"/>
    <mergeCell ref="C8:F8"/>
    <mergeCell ref="K8:N8"/>
    <mergeCell ref="C10:F10"/>
    <mergeCell ref="K10:N10"/>
    <mergeCell ref="F25:G25"/>
    <mergeCell ref="H25:I25"/>
    <mergeCell ref="K25:L25"/>
    <mergeCell ref="M25:N25"/>
    <mergeCell ref="D24:E24"/>
    <mergeCell ref="F24:G24"/>
    <mergeCell ref="H24:I24"/>
    <mergeCell ref="K24:L24"/>
    <mergeCell ref="M24:N24"/>
    <mergeCell ref="A28:C28"/>
    <mergeCell ref="A29:C29"/>
    <mergeCell ref="D27:E27"/>
    <mergeCell ref="F27:G27"/>
    <mergeCell ref="H27:I27"/>
    <mergeCell ref="K27:L27"/>
    <mergeCell ref="M27:N27"/>
    <mergeCell ref="D26:E26"/>
    <mergeCell ref="F26:G26"/>
    <mergeCell ref="H26:I26"/>
    <mergeCell ref="K26:L26"/>
    <mergeCell ref="M26:N26"/>
    <mergeCell ref="A26:C26"/>
    <mergeCell ref="A27:C27"/>
    <mergeCell ref="M30:N30"/>
    <mergeCell ref="D29:E29"/>
    <mergeCell ref="F29:G29"/>
    <mergeCell ref="H29:I29"/>
    <mergeCell ref="K29:L29"/>
    <mergeCell ref="M29:N29"/>
    <mergeCell ref="D28:E28"/>
    <mergeCell ref="F28:G28"/>
    <mergeCell ref="H28:I28"/>
    <mergeCell ref="K28:L28"/>
    <mergeCell ref="M28:N28"/>
    <mergeCell ref="D31:E31"/>
    <mergeCell ref="K31:L31"/>
    <mergeCell ref="D32:E32"/>
    <mergeCell ref="K32:L32"/>
    <mergeCell ref="D30:E30"/>
    <mergeCell ref="F30:G30"/>
    <mergeCell ref="H30:I30"/>
    <mergeCell ref="K30:L30"/>
    <mergeCell ref="A30:C30"/>
    <mergeCell ref="A31:C31"/>
    <mergeCell ref="A32:C32"/>
    <mergeCell ref="A37:C37"/>
    <mergeCell ref="A38:C38"/>
    <mergeCell ref="A39:C39"/>
    <mergeCell ref="D35:E35"/>
    <mergeCell ref="K35:L35"/>
    <mergeCell ref="D36:E36"/>
    <mergeCell ref="K36:L36"/>
    <mergeCell ref="D33:E33"/>
    <mergeCell ref="K33:L33"/>
    <mergeCell ref="D34:E34"/>
    <mergeCell ref="K34:L34"/>
    <mergeCell ref="A33:C33"/>
    <mergeCell ref="A34:C34"/>
    <mergeCell ref="A35:C35"/>
    <mergeCell ref="A36:C36"/>
    <mergeCell ref="M38:N38"/>
    <mergeCell ref="D39:E39"/>
    <mergeCell ref="F39:G39"/>
    <mergeCell ref="H39:I39"/>
    <mergeCell ref="K39:L39"/>
    <mergeCell ref="M39:N39"/>
    <mergeCell ref="D37:E37"/>
    <mergeCell ref="K37:L37"/>
    <mergeCell ref="D38:E38"/>
    <mergeCell ref="F38:G38"/>
    <mergeCell ref="H38:I38"/>
    <mergeCell ref="K38:L38"/>
    <mergeCell ref="A40:C40"/>
    <mergeCell ref="A41:C41"/>
    <mergeCell ref="D43:E43"/>
    <mergeCell ref="F43:G43"/>
    <mergeCell ref="H43:I43"/>
    <mergeCell ref="K43:L43"/>
    <mergeCell ref="M43:N43"/>
    <mergeCell ref="D42:E42"/>
    <mergeCell ref="F42:G42"/>
    <mergeCell ref="H42:I42"/>
    <mergeCell ref="K42:L42"/>
    <mergeCell ref="M42:N42"/>
    <mergeCell ref="D41:E41"/>
    <mergeCell ref="F41:G41"/>
    <mergeCell ref="H41:I41"/>
    <mergeCell ref="K41:L41"/>
    <mergeCell ref="M41:N41"/>
    <mergeCell ref="D40:E40"/>
    <mergeCell ref="F40:G40"/>
    <mergeCell ref="H40:I40"/>
    <mergeCell ref="K40:L40"/>
    <mergeCell ref="M40:N40"/>
    <mergeCell ref="A42:C42"/>
    <mergeCell ref="A43:C43"/>
    <mergeCell ref="B52:F57"/>
    <mergeCell ref="J52:N57"/>
    <mergeCell ref="A45:C45"/>
    <mergeCell ref="D45:E45"/>
    <mergeCell ref="F45:G45"/>
    <mergeCell ref="H45:I45"/>
    <mergeCell ref="K45:L45"/>
    <mergeCell ref="M45:N45"/>
    <mergeCell ref="A44:C44"/>
    <mergeCell ref="D44:E44"/>
    <mergeCell ref="F44:G44"/>
    <mergeCell ref="H44:I44"/>
    <mergeCell ref="K44:L44"/>
    <mergeCell ref="M44:N44"/>
    <mergeCell ref="D46:E46"/>
    <mergeCell ref="F46:G46"/>
    <mergeCell ref="H46:I46"/>
    <mergeCell ref="M46:N46"/>
  </mergeCells>
  <conditionalFormatting sqref="D17:D45">
    <cfRule type="expression" dxfId="43" priority="1">
      <formula>#REF!="Non"</formula>
    </cfRule>
    <cfRule type="expression" dxfId="42" priority="2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2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99"/>
    <pageSetUpPr fitToPage="1"/>
  </sheetPr>
  <dimension ref="A1:BD232"/>
  <sheetViews>
    <sheetView topLeftCell="A10" zoomScale="90" zoomScaleNormal="90" workbookViewId="0">
      <selection activeCell="T39" sqref="T39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1.85546875" style="6" customWidth="1"/>
    <col min="4" max="4" width="8.42578125" style="6" customWidth="1"/>
    <col min="5" max="5" width="10.42578125" style="6" customWidth="1"/>
    <col min="6" max="6" width="5.42578125" style="6" customWidth="1"/>
    <col min="7" max="7" width="9.85546875" style="6" customWidth="1"/>
    <col min="8" max="8" width="5.85546875" style="6" customWidth="1"/>
    <col min="9" max="9" width="1.85546875" style="6" customWidth="1"/>
    <col min="10" max="10" width="11.85546875" style="6" customWidth="1"/>
    <col min="11" max="12" width="8.140625" style="6" customWidth="1"/>
    <col min="13" max="13" width="9.5703125" style="6" customWidth="1"/>
    <col min="14" max="14" width="8.8554687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68</v>
      </c>
      <c r="E2" s="195"/>
      <c r="F2" s="195"/>
      <c r="G2" s="195"/>
      <c r="H2" s="195"/>
      <c r="I2" s="195"/>
      <c r="J2" s="195"/>
      <c r="K2" s="195"/>
      <c r="L2" s="251">
        <v>45536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6"/>
      <c r="Q3" s="4"/>
      <c r="R3" s="220"/>
      <c r="S3" s="220"/>
      <c r="T3" s="220"/>
      <c r="U3" s="36"/>
      <c r="V3" s="36"/>
      <c r="W3" s="36"/>
      <c r="X3" s="36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6"/>
      <c r="Q4" s="4"/>
      <c r="R4" s="36"/>
      <c r="S4" s="36"/>
      <c r="T4" s="36"/>
      <c r="U4" s="36"/>
      <c r="V4" s="36"/>
      <c r="W4" s="36"/>
      <c r="X4" s="36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v>45531</v>
      </c>
      <c r="M5" s="222"/>
      <c r="N5" s="222"/>
      <c r="O5" s="3"/>
      <c r="P5" s="36"/>
      <c r="Q5" s="5"/>
      <c r="R5" s="220"/>
      <c r="S5" s="220"/>
      <c r="T5" s="220"/>
      <c r="U5" s="36"/>
      <c r="V5" s="36"/>
      <c r="W5" s="36"/>
      <c r="X5" s="36"/>
      <c r="Y5" s="5"/>
    </row>
    <row r="6" spans="1:25" ht="19.5" customHeight="1" x14ac:dyDescent="0.35">
      <c r="A6" s="46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36"/>
      <c r="V6" s="36"/>
      <c r="W6" s="36"/>
      <c r="X6" s="36"/>
      <c r="Y6" s="5"/>
    </row>
    <row r="7" spans="1:25" ht="19.5" customHeight="1" thickBot="1" x14ac:dyDescent="0.4">
      <c r="A7" s="48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38"/>
      <c r="V7" s="38"/>
      <c r="W7" s="38"/>
      <c r="X7" s="38"/>
      <c r="Y7" s="5"/>
    </row>
    <row r="8" spans="1:25" ht="18" customHeight="1" thickBot="1" x14ac:dyDescent="0.3">
      <c r="A8" s="8" t="s">
        <v>2</v>
      </c>
      <c r="B8" s="24"/>
      <c r="C8" s="324"/>
      <c r="D8" s="325"/>
      <c r="E8" s="325"/>
      <c r="F8" s="326"/>
      <c r="G8" s="9"/>
      <c r="H8" s="8" t="s">
        <v>26</v>
      </c>
      <c r="I8" s="8"/>
      <c r="J8" s="8"/>
      <c r="K8" s="324"/>
      <c r="L8" s="325"/>
      <c r="M8" s="325"/>
      <c r="N8" s="326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324"/>
      <c r="D10" s="325"/>
      <c r="E10" s="325"/>
      <c r="F10" s="326"/>
      <c r="G10" s="9"/>
      <c r="H10" s="8" t="s">
        <v>25</v>
      </c>
      <c r="I10" s="8"/>
      <c r="J10" s="8"/>
      <c r="K10" s="324"/>
      <c r="L10" s="325"/>
      <c r="M10" s="325"/>
      <c r="N10" s="326"/>
      <c r="O10" s="26"/>
      <c r="P10" s="26"/>
      <c r="Q10" s="26"/>
      <c r="R10" s="26"/>
      <c r="S10" s="26"/>
      <c r="T10" s="26"/>
      <c r="U10" s="11"/>
    </row>
    <row r="11" spans="1:25" ht="13.5" customHeight="1" x14ac:dyDescent="0.3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3.5" customHeight="1" x14ac:dyDescent="0.3">
      <c r="A12" s="8"/>
      <c r="B12" s="24"/>
      <c r="C12" s="24"/>
      <c r="D12" s="24"/>
      <c r="E12" s="24"/>
      <c r="F12" s="24"/>
      <c r="G12" s="9"/>
      <c r="H12" s="8"/>
      <c r="I12" s="8"/>
      <c r="J12" s="8"/>
      <c r="K12" s="8"/>
      <c r="L12" s="8"/>
      <c r="M12" s="8"/>
      <c r="N12" s="8"/>
      <c r="O12" s="26"/>
      <c r="P12" s="26"/>
      <c r="Q12" s="26"/>
      <c r="R12" s="26"/>
      <c r="S12" s="26"/>
      <c r="T12" s="26"/>
      <c r="U12" s="11"/>
    </row>
    <row r="13" spans="1:25" s="19" customFormat="1" ht="54.75" customHeight="1" x14ac:dyDescent="0.25">
      <c r="A13" s="200" t="s">
        <v>1</v>
      </c>
      <c r="B13" s="201"/>
      <c r="C13" s="202"/>
      <c r="D13" s="203" t="s">
        <v>55</v>
      </c>
      <c r="E13" s="204"/>
      <c r="F13" s="205" t="s">
        <v>54</v>
      </c>
      <c r="G13" s="205"/>
      <c r="H13" s="203" t="s">
        <v>56</v>
      </c>
      <c r="I13" s="206"/>
      <c r="J13" s="207"/>
      <c r="K13" s="203" t="s">
        <v>57</v>
      </c>
      <c r="L13" s="208"/>
      <c r="M13" s="205" t="s">
        <v>53</v>
      </c>
      <c r="N13" s="205"/>
      <c r="O13" s="26"/>
      <c r="P13" s="26"/>
      <c r="Q13" s="26"/>
      <c r="R13" s="26"/>
      <c r="S13" s="26"/>
      <c r="T13" s="26"/>
      <c r="U13" s="20"/>
      <c r="V13" s="20"/>
      <c r="W13" s="20"/>
      <c r="X13" s="21"/>
    </row>
    <row r="14" spans="1:25" s="3" customFormat="1" ht="15.75" x14ac:dyDescent="0.25">
      <c r="A14" s="191">
        <v>45502</v>
      </c>
      <c r="B14" s="286"/>
      <c r="C14" s="287"/>
      <c r="D14" s="357"/>
      <c r="E14" s="357"/>
      <c r="F14" s="354"/>
      <c r="G14" s="354"/>
      <c r="H14" s="354"/>
      <c r="I14" s="354"/>
      <c r="J14" s="354"/>
      <c r="K14" s="354"/>
      <c r="L14" s="354"/>
      <c r="M14" s="350"/>
      <c r="N14" s="351"/>
      <c r="O14" s="26"/>
      <c r="P14" s="26"/>
      <c r="Q14" s="26"/>
      <c r="R14" s="26"/>
      <c r="S14" s="26"/>
      <c r="T14" s="26"/>
      <c r="U14" s="13"/>
      <c r="V14" s="13"/>
      <c r="W14" s="13"/>
      <c r="X14" s="1"/>
    </row>
    <row r="15" spans="1:25" s="3" customFormat="1" ht="15.75" x14ac:dyDescent="0.25">
      <c r="A15" s="191">
        <v>45503</v>
      </c>
      <c r="B15" s="286"/>
      <c r="C15" s="287"/>
      <c r="D15" s="357"/>
      <c r="E15" s="357"/>
      <c r="F15" s="354"/>
      <c r="G15" s="354"/>
      <c r="H15" s="354"/>
      <c r="I15" s="354"/>
      <c r="J15" s="354"/>
      <c r="K15" s="354"/>
      <c r="L15" s="354"/>
      <c r="M15" s="350"/>
      <c r="N15" s="351"/>
      <c r="P15" s="26"/>
      <c r="Q15" s="26"/>
      <c r="R15" s="26"/>
      <c r="S15" s="26"/>
      <c r="T15" s="26"/>
      <c r="U15" s="13"/>
      <c r="V15" s="13"/>
      <c r="W15" s="13"/>
      <c r="X15" s="1"/>
    </row>
    <row r="16" spans="1:25" s="3" customFormat="1" ht="15.75" x14ac:dyDescent="0.25">
      <c r="A16" s="191">
        <v>45504</v>
      </c>
      <c r="B16" s="286"/>
      <c r="C16" s="287"/>
      <c r="D16" s="357"/>
      <c r="E16" s="357"/>
      <c r="F16" s="354"/>
      <c r="G16" s="354"/>
      <c r="H16" s="354"/>
      <c r="I16" s="354"/>
      <c r="J16" s="354"/>
      <c r="K16" s="354"/>
      <c r="L16" s="354"/>
      <c r="M16" s="350"/>
      <c r="N16" s="351"/>
      <c r="P16" s="26"/>
      <c r="Q16" s="26"/>
      <c r="R16" s="26"/>
      <c r="S16" s="26"/>
      <c r="T16" s="26"/>
      <c r="U16" s="26"/>
      <c r="V16" s="13"/>
      <c r="W16" s="13"/>
      <c r="X16" s="1"/>
    </row>
    <row r="17" spans="1:24" s="3" customFormat="1" x14ac:dyDescent="0.25">
      <c r="A17" s="191">
        <v>45505</v>
      </c>
      <c r="B17" s="286"/>
      <c r="C17" s="287"/>
      <c r="D17" s="357"/>
      <c r="E17" s="357"/>
      <c r="F17" s="354"/>
      <c r="G17" s="354"/>
      <c r="H17" s="354"/>
      <c r="I17" s="354"/>
      <c r="J17" s="354"/>
      <c r="K17" s="354"/>
      <c r="L17" s="354"/>
      <c r="M17" s="350"/>
      <c r="N17" s="351"/>
      <c r="P17" s="12"/>
      <c r="Q17" s="12"/>
      <c r="R17" s="12"/>
      <c r="S17" s="12"/>
      <c r="T17" s="13"/>
      <c r="U17" s="13"/>
      <c r="V17" s="13"/>
      <c r="W17" s="13"/>
      <c r="X17" s="1"/>
    </row>
    <row r="18" spans="1:24" s="3" customFormat="1" x14ac:dyDescent="0.25">
      <c r="A18" s="191">
        <v>45506</v>
      </c>
      <c r="B18" s="286"/>
      <c r="C18" s="287"/>
      <c r="D18" s="357"/>
      <c r="E18" s="357"/>
      <c r="F18" s="354"/>
      <c r="G18" s="354"/>
      <c r="H18" s="350"/>
      <c r="I18" s="358"/>
      <c r="J18" s="351"/>
      <c r="K18" s="354"/>
      <c r="L18" s="354"/>
      <c r="M18" s="350"/>
      <c r="N18" s="351"/>
      <c r="P18" s="12"/>
      <c r="Q18" s="12"/>
      <c r="R18" s="12"/>
      <c r="S18" s="12"/>
      <c r="T18" s="13"/>
      <c r="U18" s="13"/>
      <c r="V18" s="13"/>
      <c r="W18" s="13"/>
      <c r="X18" s="1"/>
    </row>
    <row r="19" spans="1:24" s="3" customFormat="1" x14ac:dyDescent="0.25">
      <c r="A19" s="191">
        <v>45507</v>
      </c>
      <c r="B19" s="286"/>
      <c r="C19" s="287"/>
      <c r="D19" s="357"/>
      <c r="E19" s="357"/>
      <c r="F19" s="354"/>
      <c r="G19" s="354"/>
      <c r="H19" s="354"/>
      <c r="I19" s="354"/>
      <c r="J19" s="354"/>
      <c r="K19" s="354"/>
      <c r="L19" s="354"/>
      <c r="M19" s="350"/>
      <c r="N19" s="351"/>
      <c r="P19" s="12"/>
      <c r="Q19" s="12"/>
      <c r="R19" s="12"/>
      <c r="S19" s="12"/>
      <c r="T19" s="13"/>
      <c r="U19" s="13"/>
      <c r="V19" s="13"/>
      <c r="W19" s="13"/>
      <c r="X19" s="1"/>
    </row>
    <row r="20" spans="1:24" s="3" customFormat="1" x14ac:dyDescent="0.25">
      <c r="A20" s="191">
        <v>45508</v>
      </c>
      <c r="B20" s="286"/>
      <c r="C20" s="287"/>
      <c r="D20" s="357"/>
      <c r="E20" s="357"/>
      <c r="F20" s="354"/>
      <c r="G20" s="354"/>
      <c r="H20" s="354"/>
      <c r="I20" s="354"/>
      <c r="J20" s="354"/>
      <c r="K20" s="354"/>
      <c r="L20" s="354"/>
      <c r="M20" s="350"/>
      <c r="N20" s="351"/>
      <c r="P20" s="12"/>
      <c r="Q20" s="12"/>
      <c r="R20" s="12"/>
      <c r="S20" s="12"/>
      <c r="T20" s="13"/>
      <c r="U20" s="13"/>
      <c r="V20" s="13"/>
      <c r="W20" s="13"/>
      <c r="X20" s="1"/>
    </row>
    <row r="21" spans="1:24" s="3" customFormat="1" x14ac:dyDescent="0.25">
      <c r="A21" s="191">
        <v>45509</v>
      </c>
      <c r="B21" s="286"/>
      <c r="C21" s="287"/>
      <c r="D21" s="357"/>
      <c r="E21" s="357"/>
      <c r="F21" s="354"/>
      <c r="G21" s="354"/>
      <c r="H21" s="354"/>
      <c r="I21" s="354"/>
      <c r="J21" s="354"/>
      <c r="K21" s="354"/>
      <c r="L21" s="354"/>
      <c r="M21" s="350"/>
      <c r="N21" s="351"/>
      <c r="P21" s="12"/>
      <c r="Q21" s="12"/>
      <c r="R21" s="12"/>
      <c r="S21" s="12"/>
      <c r="T21" s="13"/>
      <c r="U21" s="13"/>
      <c r="V21" s="13"/>
      <c r="W21" s="13"/>
      <c r="X21" s="1"/>
    </row>
    <row r="22" spans="1:24" s="3" customFormat="1" x14ac:dyDescent="0.25">
      <c r="A22" s="191">
        <v>45510</v>
      </c>
      <c r="B22" s="286"/>
      <c r="C22" s="287"/>
      <c r="D22" s="357"/>
      <c r="E22" s="357"/>
      <c r="F22" s="354"/>
      <c r="G22" s="354"/>
      <c r="H22" s="354"/>
      <c r="I22" s="354"/>
      <c r="J22" s="354"/>
      <c r="K22" s="354"/>
      <c r="L22" s="354"/>
      <c r="M22" s="350"/>
      <c r="N22" s="351"/>
      <c r="P22" s="12"/>
      <c r="Q22" s="12"/>
      <c r="R22" s="12"/>
      <c r="S22" s="12"/>
      <c r="T22" s="13"/>
      <c r="U22" s="13"/>
      <c r="V22" s="13"/>
      <c r="W22" s="13"/>
      <c r="X22" s="1"/>
    </row>
    <row r="23" spans="1:24" s="3" customFormat="1" x14ac:dyDescent="0.25">
      <c r="A23" s="191">
        <v>45511</v>
      </c>
      <c r="B23" s="286"/>
      <c r="C23" s="287"/>
      <c r="D23" s="357"/>
      <c r="E23" s="357"/>
      <c r="F23" s="354"/>
      <c r="G23" s="354"/>
      <c r="H23" s="354"/>
      <c r="I23" s="354"/>
      <c r="J23" s="354"/>
      <c r="K23" s="354"/>
      <c r="L23" s="354"/>
      <c r="M23" s="350"/>
      <c r="N23" s="351"/>
      <c r="P23" s="12"/>
      <c r="Q23" s="12"/>
      <c r="R23" s="12"/>
      <c r="S23" s="12"/>
      <c r="T23" s="13"/>
      <c r="U23" s="13"/>
      <c r="V23" s="13"/>
      <c r="W23" s="13"/>
      <c r="X23" s="1"/>
    </row>
    <row r="24" spans="1:24" s="3" customFormat="1" x14ac:dyDescent="0.25">
      <c r="A24" s="191">
        <v>45512</v>
      </c>
      <c r="B24" s="286"/>
      <c r="C24" s="287"/>
      <c r="D24" s="357"/>
      <c r="E24" s="357"/>
      <c r="F24" s="354"/>
      <c r="G24" s="354"/>
      <c r="H24" s="354"/>
      <c r="I24" s="354"/>
      <c r="J24" s="354"/>
      <c r="K24" s="354"/>
      <c r="L24" s="354"/>
      <c r="M24" s="350"/>
      <c r="N24" s="351"/>
      <c r="P24" s="12"/>
      <c r="Q24" s="15"/>
      <c r="R24" s="15"/>
      <c r="S24" s="15"/>
      <c r="T24" s="13"/>
      <c r="U24" s="13"/>
      <c r="V24" s="13"/>
      <c r="W24" s="13"/>
      <c r="X24" s="1"/>
    </row>
    <row r="25" spans="1:24" s="3" customFormat="1" x14ac:dyDescent="0.25">
      <c r="A25" s="191">
        <v>45513</v>
      </c>
      <c r="B25" s="286"/>
      <c r="C25" s="287"/>
      <c r="D25" s="357"/>
      <c r="E25" s="357"/>
      <c r="F25" s="354"/>
      <c r="G25" s="354"/>
      <c r="H25" s="354"/>
      <c r="I25" s="354"/>
      <c r="J25" s="354"/>
      <c r="K25" s="354"/>
      <c r="L25" s="354"/>
      <c r="M25" s="350"/>
      <c r="N25" s="351"/>
      <c r="P25" s="12"/>
      <c r="Q25" s="15"/>
      <c r="R25" s="15"/>
      <c r="S25" s="15"/>
      <c r="T25" s="13"/>
      <c r="U25" s="13"/>
      <c r="V25" s="13"/>
      <c r="W25" s="13"/>
      <c r="X25" s="1"/>
    </row>
    <row r="26" spans="1:24" s="3" customFormat="1" x14ac:dyDescent="0.25">
      <c r="A26" s="191">
        <v>45514</v>
      </c>
      <c r="B26" s="286"/>
      <c r="C26" s="287"/>
      <c r="D26" s="357"/>
      <c r="E26" s="357"/>
      <c r="F26" s="354"/>
      <c r="G26" s="354"/>
      <c r="H26" s="354"/>
      <c r="I26" s="354"/>
      <c r="J26" s="354"/>
      <c r="K26" s="354"/>
      <c r="L26" s="354"/>
      <c r="M26" s="350"/>
      <c r="N26" s="351"/>
      <c r="P26" s="12"/>
      <c r="Q26" s="15"/>
      <c r="R26" s="15"/>
      <c r="S26" s="15"/>
      <c r="T26" s="13"/>
      <c r="U26" s="13"/>
      <c r="V26" s="13"/>
      <c r="W26" s="13"/>
      <c r="X26" s="1"/>
    </row>
    <row r="27" spans="1:24" s="3" customFormat="1" x14ac:dyDescent="0.25">
      <c r="A27" s="191">
        <v>45515</v>
      </c>
      <c r="B27" s="286"/>
      <c r="C27" s="287"/>
      <c r="D27" s="357"/>
      <c r="E27" s="357"/>
      <c r="F27" s="354"/>
      <c r="G27" s="354"/>
      <c r="H27" s="354"/>
      <c r="I27" s="354"/>
      <c r="J27" s="354"/>
      <c r="K27" s="354"/>
      <c r="L27" s="354"/>
      <c r="M27" s="350"/>
      <c r="N27" s="351"/>
      <c r="O27" s="1"/>
      <c r="P27" s="12"/>
      <c r="Q27" s="15"/>
      <c r="R27" s="15"/>
      <c r="S27" s="15"/>
      <c r="T27" s="13"/>
      <c r="U27" s="13"/>
      <c r="V27" s="13"/>
      <c r="W27" s="13"/>
      <c r="X27" s="1"/>
    </row>
    <row r="28" spans="1:24" s="3" customFormat="1" x14ac:dyDescent="0.25">
      <c r="A28" s="191">
        <v>45516</v>
      </c>
      <c r="B28" s="286"/>
      <c r="C28" s="287"/>
      <c r="D28" s="357"/>
      <c r="E28" s="357"/>
      <c r="F28" s="354"/>
      <c r="G28" s="354"/>
      <c r="H28" s="354"/>
      <c r="I28" s="354"/>
      <c r="J28" s="354"/>
      <c r="K28" s="354"/>
      <c r="L28" s="354"/>
      <c r="M28" s="350"/>
      <c r="N28" s="351"/>
      <c r="P28" s="12"/>
      <c r="Q28" s="15"/>
      <c r="R28" s="15"/>
      <c r="S28" s="15"/>
      <c r="T28" s="13"/>
      <c r="U28" s="13"/>
      <c r="V28" s="13"/>
      <c r="W28" s="13"/>
      <c r="X28" s="1"/>
    </row>
    <row r="29" spans="1:24" s="3" customFormat="1" x14ac:dyDescent="0.25">
      <c r="A29" s="191">
        <v>45517</v>
      </c>
      <c r="B29" s="286"/>
      <c r="C29" s="287"/>
      <c r="D29" s="357"/>
      <c r="E29" s="357"/>
      <c r="F29" s="354"/>
      <c r="G29" s="354"/>
      <c r="H29" s="354"/>
      <c r="I29" s="354"/>
      <c r="J29" s="354"/>
      <c r="K29" s="354"/>
      <c r="L29" s="354"/>
      <c r="M29" s="350"/>
      <c r="N29" s="351"/>
      <c r="P29" s="12"/>
      <c r="Q29" s="15"/>
      <c r="R29" s="15"/>
      <c r="S29" s="15"/>
      <c r="T29" s="13"/>
      <c r="U29" s="13"/>
      <c r="V29" s="13"/>
      <c r="W29" s="13"/>
      <c r="X29" s="1"/>
    </row>
    <row r="30" spans="1:24" s="3" customFormat="1" x14ac:dyDescent="0.25">
      <c r="A30" s="191">
        <v>45518</v>
      </c>
      <c r="B30" s="286"/>
      <c r="C30" s="287"/>
      <c r="D30" s="357"/>
      <c r="E30" s="357"/>
      <c r="F30" s="354"/>
      <c r="G30" s="354"/>
      <c r="H30" s="354"/>
      <c r="I30" s="354"/>
      <c r="J30" s="354"/>
      <c r="K30" s="354"/>
      <c r="L30" s="354"/>
      <c r="M30" s="350"/>
      <c r="N30" s="351"/>
      <c r="P30" s="12"/>
      <c r="Q30" s="15"/>
      <c r="R30" s="15"/>
      <c r="S30" s="15"/>
      <c r="T30" s="13"/>
      <c r="U30" s="13"/>
      <c r="V30" s="13"/>
      <c r="W30" s="13"/>
      <c r="X30" s="1"/>
    </row>
    <row r="31" spans="1:24" s="3" customFormat="1" x14ac:dyDescent="0.25">
      <c r="A31" s="191">
        <v>45519</v>
      </c>
      <c r="B31" s="286"/>
      <c r="C31" s="287"/>
      <c r="D31" s="357"/>
      <c r="E31" s="357"/>
      <c r="F31" s="354"/>
      <c r="G31" s="354"/>
      <c r="H31" s="354"/>
      <c r="I31" s="354"/>
      <c r="J31" s="354"/>
      <c r="K31" s="354"/>
      <c r="L31" s="354"/>
      <c r="M31" s="350"/>
      <c r="N31" s="351"/>
      <c r="P31" s="12"/>
      <c r="Q31" s="15"/>
      <c r="R31" s="15"/>
      <c r="S31" s="15"/>
      <c r="T31" s="13"/>
      <c r="U31" s="13"/>
      <c r="V31" s="13"/>
      <c r="W31" s="13"/>
      <c r="X31" s="1"/>
    </row>
    <row r="32" spans="1:24" s="3" customFormat="1" x14ac:dyDescent="0.25">
      <c r="A32" s="191">
        <v>45520</v>
      </c>
      <c r="B32" s="286"/>
      <c r="C32" s="287"/>
      <c r="D32" s="357"/>
      <c r="E32" s="357"/>
      <c r="F32" s="354"/>
      <c r="G32" s="354"/>
      <c r="H32" s="354"/>
      <c r="I32" s="354"/>
      <c r="J32" s="354"/>
      <c r="K32" s="354"/>
      <c r="L32" s="354"/>
      <c r="M32" s="350"/>
      <c r="N32" s="351"/>
      <c r="P32" s="12"/>
      <c r="Q32" s="15"/>
      <c r="R32" s="15"/>
      <c r="S32" s="15"/>
      <c r="T32" s="13"/>
      <c r="U32" s="13"/>
      <c r="V32" s="13"/>
      <c r="W32" s="13"/>
      <c r="X32" s="1"/>
    </row>
    <row r="33" spans="1:25" s="3" customFormat="1" x14ac:dyDescent="0.25">
      <c r="A33" s="191">
        <v>45521</v>
      </c>
      <c r="B33" s="286"/>
      <c r="C33" s="287"/>
      <c r="D33" s="357"/>
      <c r="E33" s="357"/>
      <c r="F33" s="354"/>
      <c r="G33" s="354"/>
      <c r="H33" s="354"/>
      <c r="I33" s="354"/>
      <c r="J33" s="354"/>
      <c r="K33" s="354"/>
      <c r="L33" s="354"/>
      <c r="M33" s="350"/>
      <c r="N33" s="351"/>
      <c r="P33" s="12"/>
      <c r="Q33" s="15"/>
      <c r="R33" s="15"/>
      <c r="S33" s="15"/>
      <c r="T33" s="13"/>
      <c r="U33" s="13"/>
      <c r="V33" s="13"/>
      <c r="W33" s="13"/>
      <c r="X33" s="1"/>
    </row>
    <row r="34" spans="1:25" s="3" customFormat="1" x14ac:dyDescent="0.25">
      <c r="A34" s="191">
        <v>45522</v>
      </c>
      <c r="B34" s="286"/>
      <c r="C34" s="287"/>
      <c r="D34" s="357"/>
      <c r="E34" s="357"/>
      <c r="F34" s="354"/>
      <c r="G34" s="354"/>
      <c r="H34" s="354"/>
      <c r="I34" s="354"/>
      <c r="J34" s="354"/>
      <c r="K34" s="354"/>
      <c r="L34" s="354"/>
      <c r="M34" s="350"/>
      <c r="N34" s="351"/>
      <c r="P34" s="12"/>
      <c r="Q34" s="15"/>
      <c r="R34" s="15"/>
      <c r="S34" s="15"/>
      <c r="T34" s="13"/>
      <c r="U34" s="13"/>
      <c r="V34" s="13"/>
      <c r="W34" s="13"/>
      <c r="X34" s="1"/>
    </row>
    <row r="35" spans="1:25" s="3" customFormat="1" x14ac:dyDescent="0.25">
      <c r="A35" s="191">
        <v>45523</v>
      </c>
      <c r="B35" s="286"/>
      <c r="C35" s="287"/>
      <c r="D35" s="348"/>
      <c r="E35" s="349"/>
      <c r="F35" s="350"/>
      <c r="G35" s="351"/>
      <c r="H35" s="354"/>
      <c r="I35" s="354"/>
      <c r="J35" s="354"/>
      <c r="K35" s="350"/>
      <c r="L35" s="351"/>
      <c r="M35" s="55"/>
      <c r="N35" s="57"/>
      <c r="P35" s="12"/>
      <c r="Q35" s="15"/>
      <c r="R35" s="15"/>
      <c r="S35" s="15"/>
      <c r="T35" s="13"/>
      <c r="U35" s="13"/>
      <c r="V35" s="13"/>
      <c r="W35" s="13"/>
      <c r="X35" s="1"/>
    </row>
    <row r="36" spans="1:25" s="3" customFormat="1" x14ac:dyDescent="0.25">
      <c r="A36" s="191">
        <v>45524</v>
      </c>
      <c r="B36" s="286"/>
      <c r="C36" s="287"/>
      <c r="D36" s="348"/>
      <c r="E36" s="349"/>
      <c r="F36" s="350"/>
      <c r="G36" s="351"/>
      <c r="H36" s="354"/>
      <c r="I36" s="354"/>
      <c r="J36" s="354"/>
      <c r="K36" s="350"/>
      <c r="L36" s="351"/>
      <c r="M36" s="55"/>
      <c r="N36" s="57"/>
      <c r="P36" s="12"/>
      <c r="Q36" s="15"/>
      <c r="R36" s="15"/>
      <c r="S36" s="15"/>
      <c r="T36" s="13"/>
      <c r="U36" s="13"/>
      <c r="V36" s="13"/>
      <c r="W36" s="13"/>
      <c r="X36" s="1"/>
    </row>
    <row r="37" spans="1:25" s="3" customFormat="1" x14ac:dyDescent="0.25">
      <c r="A37" s="191">
        <v>45525</v>
      </c>
      <c r="B37" s="286"/>
      <c r="C37" s="287"/>
      <c r="D37" s="348"/>
      <c r="E37" s="349"/>
      <c r="F37" s="350"/>
      <c r="G37" s="351"/>
      <c r="H37" s="354"/>
      <c r="I37" s="354"/>
      <c r="J37" s="354"/>
      <c r="K37" s="350"/>
      <c r="L37" s="351"/>
      <c r="M37" s="55"/>
      <c r="N37" s="57"/>
      <c r="P37" s="12"/>
      <c r="Q37" s="15"/>
      <c r="R37" s="15"/>
      <c r="S37" s="15"/>
      <c r="T37" s="13"/>
      <c r="U37" s="13"/>
      <c r="V37" s="13"/>
      <c r="W37" s="13"/>
      <c r="X37" s="1"/>
    </row>
    <row r="38" spans="1:25" s="3" customFormat="1" x14ac:dyDescent="0.25">
      <c r="A38" s="191">
        <v>45526</v>
      </c>
      <c r="B38" s="286"/>
      <c r="C38" s="287"/>
      <c r="D38" s="348"/>
      <c r="E38" s="349"/>
      <c r="F38" s="350"/>
      <c r="G38" s="351"/>
      <c r="H38" s="354"/>
      <c r="I38" s="354"/>
      <c r="J38" s="354"/>
      <c r="K38" s="350"/>
      <c r="L38" s="351"/>
      <c r="M38" s="55"/>
      <c r="N38" s="57"/>
      <c r="P38" s="12"/>
      <c r="Q38" s="15"/>
      <c r="R38" s="15"/>
      <c r="S38" s="15"/>
      <c r="T38" s="13"/>
      <c r="U38" s="13"/>
      <c r="V38" s="13"/>
      <c r="W38" s="13"/>
      <c r="X38" s="1"/>
    </row>
    <row r="39" spans="1:25" s="3" customFormat="1" x14ac:dyDescent="0.25">
      <c r="A39" s="191">
        <v>45527</v>
      </c>
      <c r="B39" s="286"/>
      <c r="C39" s="287"/>
      <c r="D39" s="348"/>
      <c r="E39" s="349"/>
      <c r="F39" s="350"/>
      <c r="G39" s="351"/>
      <c r="H39" s="354"/>
      <c r="I39" s="354"/>
      <c r="J39" s="354"/>
      <c r="K39" s="350"/>
      <c r="L39" s="351"/>
      <c r="M39" s="55"/>
      <c r="N39" s="57"/>
      <c r="P39" s="12"/>
      <c r="Q39" s="15"/>
      <c r="R39" s="15"/>
      <c r="S39" s="15"/>
      <c r="T39" s="13"/>
      <c r="U39" s="13"/>
      <c r="V39" s="13"/>
      <c r="W39" s="13"/>
      <c r="X39" s="1"/>
    </row>
    <row r="40" spans="1:25" s="3" customFormat="1" x14ac:dyDescent="0.25">
      <c r="A40" s="191">
        <v>45528</v>
      </c>
      <c r="B40" s="286"/>
      <c r="C40" s="287"/>
      <c r="D40" s="348"/>
      <c r="E40" s="349"/>
      <c r="F40" s="350"/>
      <c r="G40" s="351"/>
      <c r="H40" s="354"/>
      <c r="I40" s="354"/>
      <c r="J40" s="354"/>
      <c r="K40" s="350"/>
      <c r="L40" s="351"/>
      <c r="M40" s="55"/>
      <c r="N40" s="57"/>
      <c r="P40" s="12"/>
      <c r="Q40" s="15"/>
      <c r="R40" s="15"/>
      <c r="S40" s="15"/>
      <c r="T40" s="13"/>
      <c r="U40" s="13"/>
      <c r="V40" s="13"/>
      <c r="W40" s="13"/>
      <c r="X40" s="1"/>
    </row>
    <row r="41" spans="1:25" s="3" customFormat="1" x14ac:dyDescent="0.25">
      <c r="A41" s="191">
        <v>45529</v>
      </c>
      <c r="B41" s="286"/>
      <c r="C41" s="287"/>
      <c r="D41" s="348"/>
      <c r="E41" s="349"/>
      <c r="F41" s="350"/>
      <c r="G41" s="351"/>
      <c r="H41" s="354"/>
      <c r="I41" s="354"/>
      <c r="J41" s="354"/>
      <c r="K41" s="350"/>
      <c r="L41" s="351"/>
      <c r="M41" s="55"/>
      <c r="N41" s="57"/>
      <c r="P41" s="12"/>
      <c r="Q41" s="15"/>
      <c r="R41" s="15"/>
      <c r="S41" s="15"/>
      <c r="T41" s="13"/>
      <c r="U41" s="13"/>
      <c r="V41" s="13"/>
      <c r="W41" s="13"/>
      <c r="X41" s="1"/>
    </row>
    <row r="42" spans="1:25" s="3" customFormat="1" ht="15.75" x14ac:dyDescent="0.25">
      <c r="A42" s="231" t="s">
        <v>21</v>
      </c>
      <c r="B42" s="232"/>
      <c r="C42" s="233"/>
      <c r="D42" s="352">
        <f>+COUNTA(D14:E41)</f>
        <v>0</v>
      </c>
      <c r="E42" s="353"/>
      <c r="F42" s="355">
        <f>+COUNTA(F14:F41)</f>
        <v>0</v>
      </c>
      <c r="G42" s="356"/>
      <c r="H42" s="354"/>
      <c r="I42" s="354"/>
      <c r="J42" s="354"/>
      <c r="K42" s="354"/>
      <c r="L42" s="354"/>
      <c r="M42" s="350"/>
      <c r="N42" s="351"/>
      <c r="U42" s="1"/>
      <c r="V42" s="1"/>
      <c r="W42" s="1"/>
      <c r="X42" s="1"/>
      <c r="Y42" s="1"/>
    </row>
    <row r="43" spans="1:25" s="3" customFormat="1" x14ac:dyDescent="0.25">
      <c r="D43" s="238" t="s">
        <v>38</v>
      </c>
      <c r="E43" s="239"/>
      <c r="R43" s="1"/>
      <c r="S43" s="1"/>
      <c r="T43" s="1"/>
      <c r="U43" s="1"/>
      <c r="V43" s="1"/>
    </row>
    <row r="44" spans="1:25" s="3" customFormat="1" x14ac:dyDescent="0.25">
      <c r="U44" s="1"/>
      <c r="V44" s="1"/>
      <c r="W44" s="1"/>
      <c r="X44" s="1"/>
      <c r="Y44" s="1"/>
    </row>
    <row r="45" spans="1:25" s="3" customFormat="1" x14ac:dyDescent="0.25">
      <c r="U45" s="1"/>
      <c r="V45" s="1"/>
      <c r="W45" s="1"/>
      <c r="X45" s="1"/>
      <c r="Y45" s="1"/>
    </row>
    <row r="46" spans="1:25" s="3" customFormat="1" x14ac:dyDescent="0.25">
      <c r="U46" s="1"/>
      <c r="V46" s="1"/>
      <c r="W46" s="1"/>
      <c r="X46" s="1"/>
      <c r="Y46" s="1"/>
    </row>
    <row r="47" spans="1:25" s="3" customFormat="1" x14ac:dyDescent="0.25">
      <c r="A47" s="29" t="s">
        <v>20</v>
      </c>
      <c r="B47" s="30"/>
      <c r="C47" s="29"/>
      <c r="D47" s="29"/>
      <c r="E47" s="16"/>
      <c r="H47" s="18"/>
      <c r="U47" s="1"/>
      <c r="V47" s="1"/>
      <c r="W47" s="1"/>
      <c r="X47" s="1"/>
      <c r="Y47" s="1"/>
    </row>
    <row r="48" spans="1:25" s="3" customFormat="1" x14ac:dyDescent="0.25">
      <c r="A48" s="29" t="s">
        <v>7</v>
      </c>
      <c r="B48" s="30"/>
      <c r="C48" s="31">
        <f ca="1">TODAY()</f>
        <v>45320</v>
      </c>
      <c r="D48" s="29"/>
      <c r="E48" s="16"/>
      <c r="J48" s="28" t="s">
        <v>22</v>
      </c>
      <c r="U48" s="1"/>
      <c r="V48" s="1"/>
      <c r="W48" s="1"/>
      <c r="X48" s="1"/>
      <c r="Y48" s="1"/>
    </row>
    <row r="49" spans="1:25" s="3" customFormat="1" x14ac:dyDescent="0.25">
      <c r="A49" s="28"/>
      <c r="B49" s="315" t="s">
        <v>47</v>
      </c>
      <c r="C49" s="315"/>
      <c r="D49" s="315"/>
      <c r="E49" s="315"/>
      <c r="F49" s="315"/>
      <c r="J49" s="315" t="s">
        <v>48</v>
      </c>
      <c r="K49" s="315"/>
      <c r="L49" s="315"/>
      <c r="M49" s="315"/>
      <c r="N49" s="315"/>
      <c r="U49" s="1"/>
      <c r="V49" s="1"/>
      <c r="W49" s="1"/>
      <c r="X49" s="1"/>
      <c r="Y49" s="1"/>
    </row>
    <row r="50" spans="1:25" s="3" customFormat="1" x14ac:dyDescent="0.25">
      <c r="B50" s="315"/>
      <c r="C50" s="315"/>
      <c r="D50" s="315"/>
      <c r="E50" s="315"/>
      <c r="F50" s="315"/>
      <c r="J50" s="315"/>
      <c r="K50" s="315"/>
      <c r="L50" s="315"/>
      <c r="M50" s="315"/>
      <c r="N50" s="315"/>
      <c r="U50" s="1"/>
      <c r="V50" s="1"/>
      <c r="W50" s="1"/>
      <c r="X50" s="1"/>
      <c r="Y50" s="1"/>
    </row>
    <row r="51" spans="1:25" s="3" customFormat="1" x14ac:dyDescent="0.25">
      <c r="B51" s="315"/>
      <c r="C51" s="315"/>
      <c r="D51" s="315"/>
      <c r="E51" s="315"/>
      <c r="F51" s="315"/>
      <c r="J51" s="315"/>
      <c r="K51" s="315"/>
      <c r="L51" s="315"/>
      <c r="M51" s="315"/>
      <c r="N51" s="315"/>
      <c r="U51" s="1"/>
      <c r="V51" s="1"/>
      <c r="W51" s="1"/>
      <c r="X51" s="1"/>
      <c r="Y51" s="1"/>
    </row>
    <row r="52" spans="1:25" s="3" customFormat="1" x14ac:dyDescent="0.25">
      <c r="B52" s="315"/>
      <c r="C52" s="315"/>
      <c r="D52" s="315"/>
      <c r="E52" s="315"/>
      <c r="F52" s="315"/>
      <c r="J52" s="315"/>
      <c r="K52" s="315"/>
      <c r="L52" s="315"/>
      <c r="M52" s="315"/>
      <c r="N52" s="315"/>
      <c r="U52" s="1"/>
      <c r="V52" s="1"/>
      <c r="W52" s="1"/>
      <c r="X52" s="1"/>
      <c r="Y52" s="1"/>
    </row>
    <row r="53" spans="1:25" s="3" customFormat="1" x14ac:dyDescent="0.25">
      <c r="B53" s="315"/>
      <c r="C53" s="315"/>
      <c r="D53" s="315"/>
      <c r="E53" s="315"/>
      <c r="F53" s="315"/>
      <c r="J53" s="315"/>
      <c r="K53" s="315"/>
      <c r="L53" s="315"/>
      <c r="M53" s="315"/>
      <c r="N53" s="315"/>
      <c r="U53" s="1"/>
      <c r="V53" s="1"/>
      <c r="W53" s="1"/>
      <c r="X53" s="1"/>
      <c r="Y53" s="1"/>
    </row>
    <row r="54" spans="1:25" s="3" customFormat="1" x14ac:dyDescent="0.25">
      <c r="B54" s="315"/>
      <c r="C54" s="315"/>
      <c r="D54" s="315"/>
      <c r="E54" s="315"/>
      <c r="F54" s="315"/>
      <c r="J54" s="315"/>
      <c r="K54" s="315"/>
      <c r="L54" s="315"/>
      <c r="M54" s="315"/>
      <c r="N54" s="315"/>
      <c r="U54" s="1"/>
      <c r="V54" s="1"/>
      <c r="W54" s="1"/>
      <c r="X54" s="1"/>
      <c r="Y54" s="1"/>
    </row>
    <row r="55" spans="1:25" s="3" customFormat="1" x14ac:dyDescent="0.25">
      <c r="A55" s="3" t="s">
        <v>46</v>
      </c>
      <c r="B55" s="23"/>
      <c r="J55" s="3" t="s">
        <v>39</v>
      </c>
      <c r="U55" s="1"/>
      <c r="V55" s="1"/>
      <c r="W55" s="1"/>
      <c r="X55" s="1"/>
      <c r="Y55" s="1"/>
    </row>
    <row r="56" spans="1:25" s="3" customFormat="1" x14ac:dyDescent="0.25">
      <c r="B56" s="23"/>
      <c r="U56" s="1"/>
      <c r="V56" s="1"/>
      <c r="W56" s="1"/>
      <c r="X56" s="1"/>
      <c r="Y56" s="1"/>
    </row>
    <row r="57" spans="1:25" s="3" customFormat="1" x14ac:dyDescent="0.25">
      <c r="B57" s="23"/>
      <c r="U57" s="1"/>
      <c r="V57" s="1"/>
      <c r="W57" s="1"/>
      <c r="X57" s="1"/>
      <c r="Y57" s="1"/>
    </row>
    <row r="58" spans="1:25" s="3" customFormat="1" x14ac:dyDescent="0.25">
      <c r="B58" s="23"/>
      <c r="U58" s="1"/>
      <c r="V58" s="1"/>
      <c r="W58" s="1"/>
      <c r="X58" s="1"/>
      <c r="Y58" s="1"/>
    </row>
    <row r="59" spans="1:25" s="3" customFormat="1" x14ac:dyDescent="0.25">
      <c r="B59" s="23"/>
      <c r="U59" s="1"/>
      <c r="V59" s="1"/>
      <c r="W59" s="1"/>
      <c r="X59" s="1"/>
      <c r="Y59" s="1"/>
    </row>
    <row r="60" spans="1:25" s="3" customFormat="1" x14ac:dyDescent="0.25">
      <c r="B60" s="23"/>
      <c r="U60" s="1"/>
      <c r="V60" s="1"/>
      <c r="W60" s="1"/>
      <c r="X60" s="1"/>
      <c r="Y60" s="1"/>
    </row>
    <row r="61" spans="1:25" s="3" customFormat="1" x14ac:dyDescent="0.25">
      <c r="B61" s="23"/>
      <c r="U61" s="1"/>
      <c r="V61" s="1"/>
      <c r="W61" s="1"/>
      <c r="X61" s="1"/>
      <c r="Y61" s="1"/>
    </row>
    <row r="62" spans="1:25" s="3" customFormat="1" x14ac:dyDescent="0.25">
      <c r="B62" s="23"/>
      <c r="U62" s="1"/>
      <c r="V62" s="1"/>
      <c r="W62" s="1"/>
      <c r="X62" s="1"/>
      <c r="Y62" s="1"/>
    </row>
    <row r="63" spans="1:25" s="3" customFormat="1" x14ac:dyDescent="0.25">
      <c r="B63" s="23"/>
      <c r="U63" s="1"/>
      <c r="V63" s="1"/>
      <c r="W63" s="1"/>
      <c r="X63" s="1"/>
      <c r="Y63" s="1"/>
    </row>
    <row r="64" spans="1:25" s="3" customFormat="1" x14ac:dyDescent="0.25">
      <c r="B64" s="23"/>
      <c r="U64" s="1"/>
      <c r="V64" s="1"/>
      <c r="W64" s="1"/>
      <c r="X64" s="1"/>
      <c r="Y64" s="1"/>
    </row>
    <row r="65" spans="2:25" s="3" customFormat="1" x14ac:dyDescent="0.25">
      <c r="B65" s="23"/>
      <c r="U65" s="1"/>
      <c r="V65" s="1"/>
      <c r="W65" s="1"/>
      <c r="X65" s="1"/>
      <c r="Y65" s="1"/>
    </row>
    <row r="66" spans="2:25" s="3" customFormat="1" x14ac:dyDescent="0.25">
      <c r="B66" s="23"/>
      <c r="U66" s="1"/>
      <c r="V66" s="1"/>
      <c r="W66" s="1"/>
      <c r="X66" s="1"/>
      <c r="Y66" s="1"/>
    </row>
    <row r="67" spans="2:25" s="3" customFormat="1" x14ac:dyDescent="0.25">
      <c r="B67" s="23"/>
      <c r="U67" s="1"/>
      <c r="V67" s="1"/>
      <c r="W67" s="1"/>
      <c r="X67" s="1"/>
      <c r="Y67" s="1"/>
    </row>
    <row r="68" spans="2:25" s="3" customFormat="1" x14ac:dyDescent="0.25">
      <c r="B68" s="23"/>
      <c r="U68" s="1"/>
      <c r="V68" s="1"/>
      <c r="W68" s="1"/>
      <c r="X68" s="1"/>
      <c r="Y68" s="1"/>
    </row>
    <row r="69" spans="2:25" s="3" customFormat="1" x14ac:dyDescent="0.25">
      <c r="B69" s="23"/>
      <c r="U69" s="1"/>
      <c r="V69" s="1"/>
      <c r="W69" s="1"/>
      <c r="X69" s="1"/>
      <c r="Y69" s="1"/>
    </row>
    <row r="70" spans="2:25" s="3" customFormat="1" x14ac:dyDescent="0.25">
      <c r="B70" s="23"/>
      <c r="U70" s="1"/>
      <c r="V70" s="1"/>
      <c r="W70" s="1"/>
      <c r="X70" s="1"/>
      <c r="Y70" s="1"/>
    </row>
    <row r="71" spans="2:25" s="3" customFormat="1" x14ac:dyDescent="0.25">
      <c r="B71" s="23"/>
      <c r="U71" s="1"/>
      <c r="V71" s="1"/>
      <c r="W71" s="1"/>
      <c r="X71" s="1"/>
      <c r="Y71" s="1"/>
    </row>
    <row r="72" spans="2:25" s="3" customFormat="1" x14ac:dyDescent="0.25">
      <c r="B72" s="23"/>
      <c r="U72" s="1"/>
      <c r="V72" s="1"/>
      <c r="W72" s="1"/>
      <c r="X72" s="1"/>
      <c r="Y72" s="1"/>
    </row>
    <row r="73" spans="2:25" s="3" customFormat="1" x14ac:dyDescent="0.25">
      <c r="B73" s="23"/>
      <c r="U73" s="1"/>
      <c r="V73" s="1"/>
      <c r="W73" s="1"/>
      <c r="X73" s="1"/>
      <c r="Y73" s="1"/>
    </row>
    <row r="74" spans="2:25" s="3" customFormat="1" x14ac:dyDescent="0.25">
      <c r="B74" s="23"/>
      <c r="U74" s="1"/>
      <c r="V74" s="1"/>
      <c r="W74" s="1"/>
      <c r="X74" s="1"/>
      <c r="Y74" s="1"/>
    </row>
    <row r="75" spans="2:25" s="3" customFormat="1" x14ac:dyDescent="0.25">
      <c r="B75" s="23"/>
      <c r="U75" s="1"/>
      <c r="V75" s="1"/>
      <c r="W75" s="1"/>
      <c r="X75" s="1"/>
      <c r="Y75" s="1"/>
    </row>
    <row r="76" spans="2:25" s="3" customFormat="1" x14ac:dyDescent="0.25">
      <c r="B76" s="23"/>
      <c r="U76" s="1"/>
      <c r="V76" s="1"/>
      <c r="W76" s="1"/>
      <c r="X76" s="1"/>
      <c r="Y76" s="1"/>
    </row>
    <row r="77" spans="2:25" s="3" customFormat="1" x14ac:dyDescent="0.25">
      <c r="B77" s="23"/>
      <c r="U77" s="1"/>
      <c r="V77" s="1"/>
      <c r="W77" s="1"/>
      <c r="X77" s="1"/>
      <c r="Y77" s="1"/>
    </row>
    <row r="78" spans="2:25" s="3" customFormat="1" x14ac:dyDescent="0.25">
      <c r="B78" s="23"/>
      <c r="U78" s="1"/>
      <c r="V78" s="1"/>
      <c r="W78" s="1"/>
      <c r="X78" s="1"/>
      <c r="Y78" s="1"/>
    </row>
    <row r="79" spans="2:25" s="3" customFormat="1" x14ac:dyDescent="0.25">
      <c r="B79" s="23"/>
      <c r="U79" s="1"/>
      <c r="V79" s="1"/>
      <c r="W79" s="1"/>
      <c r="X79" s="1"/>
      <c r="Y79" s="1"/>
    </row>
    <row r="80" spans="2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K223" s="6"/>
      <c r="L223" s="6"/>
      <c r="M223" s="6"/>
      <c r="N223" s="6"/>
      <c r="U223" s="1"/>
      <c r="V223" s="1"/>
      <c r="W223" s="1"/>
      <c r="X223" s="1"/>
      <c r="Y223" s="1"/>
    </row>
    <row r="224" spans="2:25" s="3" customFormat="1" x14ac:dyDescent="0.25">
      <c r="B224" s="23"/>
      <c r="K224" s="6"/>
      <c r="L224" s="6"/>
      <c r="M224" s="6"/>
      <c r="N224" s="6"/>
      <c r="U224" s="1"/>
      <c r="V224" s="1"/>
      <c r="W224" s="1"/>
      <c r="X224" s="1"/>
      <c r="Y224" s="1"/>
    </row>
    <row r="225" spans="1:25" s="3" customFormat="1" x14ac:dyDescent="0.25">
      <c r="B225" s="23"/>
      <c r="K225" s="6"/>
      <c r="L225" s="6"/>
      <c r="M225" s="6"/>
      <c r="N225" s="6"/>
      <c r="U225" s="1"/>
      <c r="V225" s="1"/>
      <c r="W225" s="1"/>
      <c r="X225" s="1"/>
      <c r="Y225" s="1"/>
    </row>
    <row r="226" spans="1:25" s="3" customFormat="1" x14ac:dyDescent="0.25">
      <c r="B226" s="23"/>
      <c r="J226" s="6"/>
      <c r="K226" s="6"/>
      <c r="L226" s="6"/>
      <c r="M226" s="6"/>
      <c r="N226" s="6"/>
      <c r="U226" s="1"/>
      <c r="V226" s="1"/>
      <c r="W226" s="1"/>
      <c r="X226" s="1"/>
      <c r="Y226" s="1"/>
    </row>
    <row r="227" spans="1:25" s="3" customFormat="1" x14ac:dyDescent="0.25">
      <c r="B227" s="23"/>
      <c r="J227" s="6"/>
      <c r="K227" s="6"/>
      <c r="L227" s="6"/>
      <c r="M227" s="6"/>
      <c r="N227" s="6"/>
      <c r="U227" s="1"/>
      <c r="V227" s="1"/>
      <c r="W227" s="1"/>
      <c r="X227" s="1"/>
      <c r="Y227" s="1"/>
    </row>
    <row r="228" spans="1:25" s="3" customFormat="1" x14ac:dyDescent="0.25">
      <c r="B228" s="23"/>
      <c r="J228" s="6"/>
      <c r="K228" s="6"/>
      <c r="L228" s="6"/>
      <c r="M228" s="6"/>
      <c r="N228" s="6"/>
      <c r="U228" s="1"/>
      <c r="V228" s="1"/>
      <c r="W228" s="1"/>
      <c r="X228" s="1"/>
      <c r="Y228" s="1"/>
    </row>
    <row r="229" spans="1:25" s="3" customFormat="1" x14ac:dyDescent="0.25">
      <c r="B229" s="23"/>
      <c r="J229" s="6"/>
      <c r="K229" s="6"/>
      <c r="L229" s="6"/>
      <c r="M229" s="6"/>
      <c r="N229" s="6"/>
      <c r="U229" s="1"/>
      <c r="V229" s="1"/>
      <c r="W229" s="1"/>
      <c r="X229" s="1"/>
      <c r="Y229" s="1"/>
    </row>
    <row r="230" spans="1:25" s="3" customFormat="1" x14ac:dyDescent="0.25">
      <c r="B230" s="23"/>
      <c r="J230" s="6"/>
      <c r="K230" s="6"/>
      <c r="L230" s="6"/>
      <c r="M230" s="6"/>
      <c r="N230" s="6"/>
      <c r="O230" s="6"/>
      <c r="U230" s="1"/>
      <c r="V230" s="1"/>
      <c r="W230" s="1"/>
      <c r="X230" s="1"/>
      <c r="Y230" s="1"/>
    </row>
    <row r="231" spans="1:25" s="3" customFormat="1" x14ac:dyDescent="0.25">
      <c r="B231" s="23"/>
      <c r="J231" s="6"/>
      <c r="K231" s="6"/>
      <c r="L231" s="6"/>
      <c r="M231" s="6"/>
      <c r="N231" s="6"/>
      <c r="O231" s="6"/>
      <c r="U231" s="1"/>
      <c r="V231" s="1"/>
      <c r="W231" s="1"/>
      <c r="X231" s="1"/>
      <c r="Y231" s="1"/>
    </row>
    <row r="232" spans="1:25" s="3" customFormat="1" x14ac:dyDescent="0.25">
      <c r="A232" s="6"/>
      <c r="B232" s="25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Q232" s="6"/>
      <c r="R232" s="6"/>
      <c r="S232" s="6"/>
      <c r="U232" s="1"/>
      <c r="V232" s="1"/>
      <c r="W232" s="1"/>
      <c r="X232" s="1"/>
      <c r="Y232" s="1"/>
    </row>
  </sheetData>
  <sheetProtection sheet="1" objects="1" scenarios="1"/>
  <mergeCells count="186">
    <mergeCell ref="H39:J39"/>
    <mergeCell ref="H40:J40"/>
    <mergeCell ref="H41:J41"/>
    <mergeCell ref="A15:C15"/>
    <mergeCell ref="D2:K4"/>
    <mergeCell ref="L2:N4"/>
    <mergeCell ref="A17:C17"/>
    <mergeCell ref="M15:N15"/>
    <mergeCell ref="D14:E14"/>
    <mergeCell ref="F14:G14"/>
    <mergeCell ref="H14:J14"/>
    <mergeCell ref="K14:L14"/>
    <mergeCell ref="M14:N14"/>
    <mergeCell ref="A14:C14"/>
    <mergeCell ref="D18:E18"/>
    <mergeCell ref="F18:G18"/>
    <mergeCell ref="H18:J18"/>
    <mergeCell ref="K18:L18"/>
    <mergeCell ref="M18:N18"/>
    <mergeCell ref="A18:C18"/>
    <mergeCell ref="A19:C19"/>
    <mergeCell ref="D17:E17"/>
    <mergeCell ref="F17:G17"/>
    <mergeCell ref="H17:J17"/>
    <mergeCell ref="R3:T3"/>
    <mergeCell ref="B5:K5"/>
    <mergeCell ref="L5:N5"/>
    <mergeCell ref="R5:T5"/>
    <mergeCell ref="C8:F8"/>
    <mergeCell ref="K8:N8"/>
    <mergeCell ref="C10:F10"/>
    <mergeCell ref="K10:N10"/>
    <mergeCell ref="D16:E16"/>
    <mergeCell ref="F16:G16"/>
    <mergeCell ref="H16:J16"/>
    <mergeCell ref="K16:L16"/>
    <mergeCell ref="M16:N16"/>
    <mergeCell ref="A16:C16"/>
    <mergeCell ref="A13:C13"/>
    <mergeCell ref="D13:E13"/>
    <mergeCell ref="F13:G13"/>
    <mergeCell ref="H13:J13"/>
    <mergeCell ref="K13:L13"/>
    <mergeCell ref="M13:N13"/>
    <mergeCell ref="D15:E15"/>
    <mergeCell ref="F15:G15"/>
    <mergeCell ref="H15:J15"/>
    <mergeCell ref="K15:L15"/>
    <mergeCell ref="K17:L17"/>
    <mergeCell ref="M17:N17"/>
    <mergeCell ref="D20:E20"/>
    <mergeCell ref="F20:G20"/>
    <mergeCell ref="H20:J20"/>
    <mergeCell ref="K20:L20"/>
    <mergeCell ref="M20:N20"/>
    <mergeCell ref="A20:C20"/>
    <mergeCell ref="D19:E19"/>
    <mergeCell ref="F19:G19"/>
    <mergeCell ref="H19:J19"/>
    <mergeCell ref="K19:L19"/>
    <mergeCell ref="M19:N19"/>
    <mergeCell ref="D24:E24"/>
    <mergeCell ref="F24:G24"/>
    <mergeCell ref="H24:J24"/>
    <mergeCell ref="K24:L24"/>
    <mergeCell ref="M24:N24"/>
    <mergeCell ref="A24:C24"/>
    <mergeCell ref="A21:C21"/>
    <mergeCell ref="A22:C22"/>
    <mergeCell ref="D23:E23"/>
    <mergeCell ref="F23:G23"/>
    <mergeCell ref="H23:J23"/>
    <mergeCell ref="K23:L23"/>
    <mergeCell ref="M23:N23"/>
    <mergeCell ref="D22:E22"/>
    <mergeCell ref="F22:G22"/>
    <mergeCell ref="H22:J22"/>
    <mergeCell ref="K22:L22"/>
    <mergeCell ref="M22:N22"/>
    <mergeCell ref="A23:C23"/>
    <mergeCell ref="D21:E21"/>
    <mergeCell ref="F21:G21"/>
    <mergeCell ref="H21:J21"/>
    <mergeCell ref="K21:L21"/>
    <mergeCell ref="M21:N21"/>
    <mergeCell ref="D28:E28"/>
    <mergeCell ref="F28:G28"/>
    <mergeCell ref="H28:J28"/>
    <mergeCell ref="K28:L28"/>
    <mergeCell ref="M28:N28"/>
    <mergeCell ref="A28:C28"/>
    <mergeCell ref="A25:C25"/>
    <mergeCell ref="A26:C26"/>
    <mergeCell ref="D27:E27"/>
    <mergeCell ref="F27:G27"/>
    <mergeCell ref="H27:J27"/>
    <mergeCell ref="K27:L27"/>
    <mergeCell ref="M27:N27"/>
    <mergeCell ref="D26:E26"/>
    <mergeCell ref="F26:G26"/>
    <mergeCell ref="H26:J26"/>
    <mergeCell ref="K26:L26"/>
    <mergeCell ref="M26:N26"/>
    <mergeCell ref="A27:C27"/>
    <mergeCell ref="D25:E25"/>
    <mergeCell ref="F25:G25"/>
    <mergeCell ref="H25:J25"/>
    <mergeCell ref="K25:L25"/>
    <mergeCell ref="M25:N25"/>
    <mergeCell ref="D32:E32"/>
    <mergeCell ref="F32:G32"/>
    <mergeCell ref="H32:J32"/>
    <mergeCell ref="K32:L32"/>
    <mergeCell ref="M32:N32"/>
    <mergeCell ref="A32:C32"/>
    <mergeCell ref="A29:C29"/>
    <mergeCell ref="A30:C30"/>
    <mergeCell ref="D31:E31"/>
    <mergeCell ref="F31:G31"/>
    <mergeCell ref="H31:J31"/>
    <mergeCell ref="K31:L31"/>
    <mergeCell ref="M31:N31"/>
    <mergeCell ref="D30:E30"/>
    <mergeCell ref="F30:G30"/>
    <mergeCell ref="H30:J30"/>
    <mergeCell ref="K30:L30"/>
    <mergeCell ref="M30:N30"/>
    <mergeCell ref="A31:C31"/>
    <mergeCell ref="D29:E29"/>
    <mergeCell ref="F29:G29"/>
    <mergeCell ref="H29:J29"/>
    <mergeCell ref="K29:L29"/>
    <mergeCell ref="M29:N29"/>
    <mergeCell ref="D34:E34"/>
    <mergeCell ref="F34:G34"/>
    <mergeCell ref="H34:J34"/>
    <mergeCell ref="K34:L34"/>
    <mergeCell ref="A35:C35"/>
    <mergeCell ref="A36:C36"/>
    <mergeCell ref="M34:N34"/>
    <mergeCell ref="D33:E33"/>
    <mergeCell ref="F33:G33"/>
    <mergeCell ref="H33:J33"/>
    <mergeCell ref="K33:L33"/>
    <mergeCell ref="M33:N33"/>
    <mergeCell ref="H35:J35"/>
    <mergeCell ref="H36:J36"/>
    <mergeCell ref="A33:C33"/>
    <mergeCell ref="A34:C34"/>
    <mergeCell ref="A37:C37"/>
    <mergeCell ref="A38:C38"/>
    <mergeCell ref="A39:C39"/>
    <mergeCell ref="A40:C40"/>
    <mergeCell ref="D35:E35"/>
    <mergeCell ref="F35:G35"/>
    <mergeCell ref="K35:L35"/>
    <mergeCell ref="D36:E36"/>
    <mergeCell ref="F36:G36"/>
    <mergeCell ref="K36:L36"/>
    <mergeCell ref="D39:E39"/>
    <mergeCell ref="F39:G39"/>
    <mergeCell ref="K39:L39"/>
    <mergeCell ref="D40:E40"/>
    <mergeCell ref="F40:G40"/>
    <mergeCell ref="K40:L40"/>
    <mergeCell ref="D37:E37"/>
    <mergeCell ref="F37:G37"/>
    <mergeCell ref="K37:L37"/>
    <mergeCell ref="D38:E38"/>
    <mergeCell ref="F38:G38"/>
    <mergeCell ref="K38:L38"/>
    <mergeCell ref="H37:J37"/>
    <mergeCell ref="H38:J38"/>
    <mergeCell ref="B49:F54"/>
    <mergeCell ref="J49:N54"/>
    <mergeCell ref="D41:E41"/>
    <mergeCell ref="F41:G41"/>
    <mergeCell ref="K41:L41"/>
    <mergeCell ref="A41:C41"/>
    <mergeCell ref="A42:C42"/>
    <mergeCell ref="D42:E42"/>
    <mergeCell ref="D43:E43"/>
    <mergeCell ref="M42:N42"/>
    <mergeCell ref="K42:L42"/>
    <mergeCell ref="F42:G42"/>
    <mergeCell ref="H42:J42"/>
  </mergeCells>
  <conditionalFormatting sqref="D14:D41">
    <cfRule type="expression" dxfId="41" priority="3">
      <formula>#REF!="Non"</formula>
    </cfRule>
    <cfRule type="expression" dxfId="40" priority="4">
      <formula>#REF!="Oui"</formula>
    </cfRule>
  </conditionalFormatting>
  <conditionalFormatting sqref="D42">
    <cfRule type="expression" dxfId="39" priority="1">
      <formula>#REF!="Non"</formula>
    </cfRule>
    <cfRule type="expression" dxfId="38" priority="2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99"/>
    <pageSetUpPr fitToPage="1"/>
  </sheetPr>
  <dimension ref="A1:BD237"/>
  <sheetViews>
    <sheetView topLeftCell="A13" zoomScale="90" zoomScaleNormal="90" workbookViewId="0">
      <selection activeCell="T39" sqref="T39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1.5703125" style="6" customWidth="1"/>
    <col min="4" max="4" width="8.42578125" style="6" customWidth="1"/>
    <col min="5" max="5" width="6.42578125" style="6" customWidth="1"/>
    <col min="6" max="6" width="5.42578125" style="6" customWidth="1"/>
    <col min="7" max="7" width="8" style="6" customWidth="1"/>
    <col min="8" max="8" width="5.85546875" style="6" customWidth="1"/>
    <col min="9" max="9" width="9.42578125" style="6" customWidth="1"/>
    <col min="10" max="10" width="14.42578125" style="6" customWidth="1"/>
    <col min="11" max="12" width="8.140625" style="6" customWidth="1"/>
    <col min="13" max="13" width="8" style="6" customWidth="1"/>
    <col min="14" max="14" width="10.42578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67</v>
      </c>
      <c r="E2" s="195"/>
      <c r="F2" s="195"/>
      <c r="G2" s="195"/>
      <c r="H2" s="195"/>
      <c r="I2" s="195"/>
      <c r="J2" s="195"/>
      <c r="K2" s="195"/>
      <c r="L2" s="251">
        <f>'Niveau 1 Sept'!L2:N4</f>
        <v>45536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6"/>
      <c r="Q3" s="4"/>
      <c r="R3" s="220"/>
      <c r="S3" s="220"/>
      <c r="T3" s="220"/>
      <c r="U3" s="36"/>
      <c r="V3" s="36"/>
      <c r="W3" s="36"/>
      <c r="X3" s="36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6"/>
      <c r="Q4" s="4"/>
      <c r="R4" s="36"/>
      <c r="S4" s="36"/>
      <c r="T4" s="36"/>
      <c r="U4" s="36"/>
      <c r="V4" s="36"/>
      <c r="W4" s="36"/>
      <c r="X4" s="36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f>+'Niveau 1 Sept'!L5:N5</f>
        <v>45531</v>
      </c>
      <c r="M5" s="222"/>
      <c r="N5" s="222"/>
      <c r="O5" s="3"/>
      <c r="P5" s="36"/>
      <c r="Q5" s="5"/>
      <c r="R5" s="220"/>
      <c r="S5" s="220"/>
      <c r="T5" s="220"/>
      <c r="U5" s="36"/>
      <c r="V5" s="36"/>
      <c r="W5" s="36"/>
      <c r="X5" s="36"/>
      <c r="Y5" s="5"/>
    </row>
    <row r="6" spans="1:25" ht="19.5" customHeight="1" x14ac:dyDescent="0.35">
      <c r="A6" s="46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36"/>
      <c r="V6" s="36"/>
      <c r="W6" s="36"/>
      <c r="X6" s="36"/>
      <c r="Y6" s="5"/>
    </row>
    <row r="7" spans="1:25" ht="19.5" customHeight="1" thickBot="1" x14ac:dyDescent="0.4">
      <c r="A7" s="48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38"/>
      <c r="V7" s="38"/>
      <c r="W7" s="38"/>
      <c r="X7" s="38"/>
      <c r="Y7" s="5"/>
    </row>
    <row r="8" spans="1:25" ht="18" customHeight="1" thickBot="1" x14ac:dyDescent="0.3">
      <c r="A8" s="8" t="s">
        <v>2</v>
      </c>
      <c r="B8" s="24"/>
      <c r="C8" s="324"/>
      <c r="D8" s="325"/>
      <c r="E8" s="325"/>
      <c r="F8" s="326"/>
      <c r="G8" s="9"/>
      <c r="H8" s="8" t="s">
        <v>26</v>
      </c>
      <c r="I8" s="8"/>
      <c r="J8" s="8"/>
      <c r="K8" s="324"/>
      <c r="L8" s="325"/>
      <c r="M8" s="325"/>
      <c r="N8" s="326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324"/>
      <c r="D10" s="325"/>
      <c r="E10" s="325"/>
      <c r="F10" s="326"/>
      <c r="G10" s="9"/>
      <c r="H10" s="8" t="s">
        <v>25</v>
      </c>
      <c r="I10" s="8"/>
      <c r="J10" s="8"/>
      <c r="K10" s="324"/>
      <c r="L10" s="325"/>
      <c r="M10" s="325"/>
      <c r="N10" s="326"/>
      <c r="O10" s="26"/>
      <c r="P10" s="26"/>
      <c r="Q10" s="26"/>
      <c r="R10" s="26"/>
      <c r="S10" s="26"/>
      <c r="T10" s="26"/>
      <c r="U10" s="11"/>
    </row>
    <row r="11" spans="1:25" ht="18" customHeight="1" thickBot="1" x14ac:dyDescent="0.35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8" customHeight="1" thickBot="1" x14ac:dyDescent="0.35">
      <c r="A12" s="8" t="s">
        <v>49</v>
      </c>
      <c r="B12" s="24"/>
      <c r="C12" s="324"/>
      <c r="D12" s="325"/>
      <c r="E12" s="325"/>
      <c r="F12" s="326"/>
      <c r="G12" s="24"/>
      <c r="H12" s="8" t="s">
        <v>52</v>
      </c>
      <c r="I12" s="8"/>
      <c r="J12" s="24"/>
      <c r="K12" s="346"/>
      <c r="L12" s="347"/>
      <c r="M12" s="8" t="s">
        <v>59</v>
      </c>
      <c r="N12" s="24"/>
      <c r="O12" s="26"/>
      <c r="P12" s="26"/>
      <c r="Q12" s="26"/>
      <c r="R12" s="26"/>
      <c r="S12" s="26"/>
      <c r="T12" s="26"/>
      <c r="U12" s="11"/>
    </row>
    <row r="13" spans="1:25" ht="18" customHeight="1" thickBot="1" x14ac:dyDescent="0.35">
      <c r="A13" s="8"/>
      <c r="B13" s="24"/>
      <c r="C13" s="24"/>
      <c r="D13" s="24"/>
      <c r="E13" s="24"/>
      <c r="F13" s="24"/>
      <c r="G13" s="24"/>
      <c r="H13" s="8" t="s">
        <v>51</v>
      </c>
      <c r="I13" s="8"/>
      <c r="J13" s="24"/>
      <c r="K13" s="344"/>
      <c r="L13" s="345"/>
      <c r="M13" s="32" t="s">
        <v>60</v>
      </c>
      <c r="N13" s="24"/>
      <c r="O13" s="26"/>
      <c r="P13" s="26"/>
      <c r="Q13" s="26"/>
      <c r="R13" s="26"/>
      <c r="S13" s="26"/>
      <c r="T13" s="26"/>
      <c r="U13" s="11"/>
    </row>
    <row r="14" spans="1:25" ht="13.5" customHeight="1" thickBot="1" x14ac:dyDescent="0.35">
      <c r="A14" s="8"/>
      <c r="B14" s="24"/>
      <c r="C14" s="24"/>
      <c r="D14" s="24"/>
      <c r="E14" s="24"/>
      <c r="F14" s="24"/>
      <c r="G14" s="9"/>
      <c r="H14" s="8"/>
      <c r="I14" s="8"/>
      <c r="J14" s="8"/>
      <c r="K14" s="8"/>
      <c r="L14" s="8"/>
      <c r="M14" s="8"/>
      <c r="N14" s="8"/>
      <c r="O14" s="26"/>
      <c r="P14" s="26"/>
      <c r="Q14" s="26"/>
      <c r="R14" s="26"/>
      <c r="S14" s="26"/>
      <c r="T14" s="26"/>
      <c r="U14" s="11"/>
    </row>
    <row r="15" spans="1:25" ht="22.5" customHeight="1" thickBot="1" x14ac:dyDescent="0.35">
      <c r="A15" s="8"/>
      <c r="B15" s="24"/>
      <c r="C15" s="10"/>
      <c r="D15" s="10"/>
      <c r="E15" s="10"/>
      <c r="F15" s="262" t="s">
        <v>28</v>
      </c>
      <c r="G15" s="263"/>
      <c r="H15" s="263"/>
      <c r="I15" s="263"/>
      <c r="J15" s="263"/>
      <c r="K15" s="263"/>
      <c r="L15" s="263"/>
      <c r="M15" s="263"/>
      <c r="N15" s="264"/>
      <c r="O15" s="26"/>
      <c r="P15" s="26"/>
      <c r="Q15" s="26"/>
      <c r="R15" s="26"/>
      <c r="S15" s="26"/>
      <c r="T15" s="26"/>
      <c r="U15" s="11"/>
    </row>
    <row r="16" spans="1:25" s="19" customFormat="1" ht="54.75" customHeight="1" x14ac:dyDescent="0.25">
      <c r="A16" s="200" t="s">
        <v>1</v>
      </c>
      <c r="B16" s="201"/>
      <c r="C16" s="202"/>
      <c r="D16" s="203" t="s">
        <v>58</v>
      </c>
      <c r="E16" s="204"/>
      <c r="F16" s="265" t="s">
        <v>29</v>
      </c>
      <c r="G16" s="265"/>
      <c r="H16" s="266" t="s">
        <v>61</v>
      </c>
      <c r="I16" s="267"/>
      <c r="J16" s="37" t="s">
        <v>63</v>
      </c>
      <c r="K16" s="268" t="s">
        <v>64</v>
      </c>
      <c r="L16" s="269"/>
      <c r="M16" s="266" t="s">
        <v>30</v>
      </c>
      <c r="N16" s="267"/>
      <c r="O16" s="26"/>
      <c r="P16" s="26"/>
      <c r="Q16" s="26"/>
      <c r="R16" s="26"/>
      <c r="S16" s="26"/>
      <c r="T16" s="26"/>
      <c r="U16" s="20"/>
      <c r="V16" s="20"/>
      <c r="W16" s="20"/>
      <c r="X16" s="21"/>
    </row>
    <row r="17" spans="1:24" s="3" customFormat="1" ht="15.75" x14ac:dyDescent="0.25">
      <c r="A17" s="191">
        <v>45502</v>
      </c>
      <c r="B17" s="286"/>
      <c r="C17" s="287"/>
      <c r="D17" s="359"/>
      <c r="E17" s="359"/>
      <c r="F17" s="360"/>
      <c r="G17" s="361"/>
      <c r="H17" s="362"/>
      <c r="I17" s="363"/>
      <c r="J17" s="58"/>
      <c r="K17" s="364"/>
      <c r="L17" s="364"/>
      <c r="M17" s="365">
        <f t="shared" ref="M17" si="0">+K17-J17</f>
        <v>0</v>
      </c>
      <c r="N17" s="366"/>
      <c r="O17" s="26"/>
      <c r="P17" s="26"/>
      <c r="Q17" s="26"/>
      <c r="R17" s="26"/>
      <c r="S17" s="26"/>
      <c r="T17" s="26"/>
      <c r="U17" s="13"/>
      <c r="V17" s="13"/>
      <c r="W17" s="13"/>
      <c r="X17" s="1"/>
    </row>
    <row r="18" spans="1:24" s="3" customFormat="1" ht="15.75" x14ac:dyDescent="0.25">
      <c r="A18" s="191">
        <v>45503</v>
      </c>
      <c r="B18" s="286"/>
      <c r="C18" s="287"/>
      <c r="D18" s="359"/>
      <c r="E18" s="359"/>
      <c r="F18" s="360"/>
      <c r="G18" s="361"/>
      <c r="H18" s="362"/>
      <c r="I18" s="363"/>
      <c r="J18" s="58"/>
      <c r="K18" s="364"/>
      <c r="L18" s="364"/>
      <c r="M18" s="365">
        <f t="shared" ref="M18:M44" si="1">+K18-J18</f>
        <v>0</v>
      </c>
      <c r="N18" s="366"/>
      <c r="P18" s="26"/>
      <c r="Q18" s="26"/>
      <c r="R18" s="26"/>
      <c r="S18" s="26"/>
      <c r="T18" s="26"/>
      <c r="U18" s="13"/>
      <c r="V18" s="13"/>
      <c r="W18" s="13"/>
      <c r="X18" s="1"/>
    </row>
    <row r="19" spans="1:24" s="3" customFormat="1" ht="15.75" x14ac:dyDescent="0.25">
      <c r="A19" s="191">
        <v>45504</v>
      </c>
      <c r="B19" s="286"/>
      <c r="C19" s="287"/>
      <c r="D19" s="359"/>
      <c r="E19" s="359"/>
      <c r="F19" s="360"/>
      <c r="G19" s="361"/>
      <c r="H19" s="362"/>
      <c r="I19" s="363"/>
      <c r="J19" s="58"/>
      <c r="K19" s="364"/>
      <c r="L19" s="364"/>
      <c r="M19" s="365">
        <f t="shared" si="1"/>
        <v>0</v>
      </c>
      <c r="N19" s="366"/>
      <c r="P19" s="26"/>
      <c r="Q19" s="26"/>
      <c r="R19" s="26"/>
      <c r="S19" s="26"/>
      <c r="T19" s="26"/>
      <c r="U19" s="26"/>
      <c r="V19" s="13"/>
      <c r="W19" s="13"/>
      <c r="X19" s="1"/>
    </row>
    <row r="20" spans="1:24" s="3" customFormat="1" x14ac:dyDescent="0.25">
      <c r="A20" s="191">
        <v>45505</v>
      </c>
      <c r="B20" s="286"/>
      <c r="C20" s="287"/>
      <c r="D20" s="359"/>
      <c r="E20" s="359"/>
      <c r="F20" s="360"/>
      <c r="G20" s="361"/>
      <c r="H20" s="362"/>
      <c r="I20" s="363"/>
      <c r="J20" s="58"/>
      <c r="K20" s="364"/>
      <c r="L20" s="364"/>
      <c r="M20" s="365">
        <f t="shared" si="1"/>
        <v>0</v>
      </c>
      <c r="N20" s="366"/>
      <c r="P20" s="12"/>
      <c r="Q20" s="12"/>
      <c r="R20" s="12"/>
      <c r="S20" s="12"/>
      <c r="T20" s="13"/>
      <c r="U20" s="13"/>
      <c r="V20" s="13"/>
      <c r="W20" s="13"/>
      <c r="X20" s="1"/>
    </row>
    <row r="21" spans="1:24" s="3" customFormat="1" x14ac:dyDescent="0.25">
      <c r="A21" s="191">
        <v>45506</v>
      </c>
      <c r="B21" s="286"/>
      <c r="C21" s="287"/>
      <c r="D21" s="359"/>
      <c r="E21" s="359"/>
      <c r="F21" s="360"/>
      <c r="G21" s="361"/>
      <c r="H21" s="362"/>
      <c r="I21" s="363"/>
      <c r="J21" s="58"/>
      <c r="K21" s="364"/>
      <c r="L21" s="364"/>
      <c r="M21" s="365">
        <f t="shared" si="1"/>
        <v>0</v>
      </c>
      <c r="N21" s="366"/>
      <c r="P21" s="12"/>
      <c r="Q21" s="12"/>
      <c r="R21" s="12"/>
      <c r="S21" s="12"/>
      <c r="T21" s="13"/>
      <c r="U21" s="13"/>
      <c r="V21" s="13"/>
      <c r="W21" s="13"/>
      <c r="X21" s="1"/>
    </row>
    <row r="22" spans="1:24" s="3" customFormat="1" x14ac:dyDescent="0.25">
      <c r="A22" s="191">
        <v>45507</v>
      </c>
      <c r="B22" s="286"/>
      <c r="C22" s="287"/>
      <c r="D22" s="359"/>
      <c r="E22" s="359"/>
      <c r="F22" s="360"/>
      <c r="G22" s="361"/>
      <c r="H22" s="362"/>
      <c r="I22" s="363"/>
      <c r="J22" s="58"/>
      <c r="K22" s="364"/>
      <c r="L22" s="364"/>
      <c r="M22" s="365">
        <f t="shared" si="1"/>
        <v>0</v>
      </c>
      <c r="N22" s="366"/>
      <c r="P22" s="12"/>
      <c r="Q22" s="12"/>
      <c r="R22" s="12"/>
      <c r="S22" s="12"/>
      <c r="T22" s="13"/>
      <c r="U22" s="13"/>
      <c r="V22" s="13"/>
      <c r="W22" s="13"/>
      <c r="X22" s="1"/>
    </row>
    <row r="23" spans="1:24" s="3" customFormat="1" x14ac:dyDescent="0.25">
      <c r="A23" s="191">
        <v>45508</v>
      </c>
      <c r="B23" s="286"/>
      <c r="C23" s="287"/>
      <c r="D23" s="359"/>
      <c r="E23" s="359"/>
      <c r="F23" s="360"/>
      <c r="G23" s="361"/>
      <c r="H23" s="362"/>
      <c r="I23" s="363"/>
      <c r="J23" s="58"/>
      <c r="K23" s="364"/>
      <c r="L23" s="364"/>
      <c r="M23" s="365">
        <f t="shared" si="1"/>
        <v>0</v>
      </c>
      <c r="N23" s="366"/>
      <c r="P23" s="12"/>
      <c r="Q23" s="12"/>
      <c r="R23" s="12"/>
      <c r="S23" s="12"/>
      <c r="T23" s="13"/>
      <c r="U23" s="13"/>
      <c r="V23" s="13"/>
      <c r="W23" s="13"/>
      <c r="X23" s="1"/>
    </row>
    <row r="24" spans="1:24" s="3" customFormat="1" x14ac:dyDescent="0.25">
      <c r="A24" s="191">
        <v>45509</v>
      </c>
      <c r="B24" s="286"/>
      <c r="C24" s="287"/>
      <c r="D24" s="359"/>
      <c r="E24" s="359"/>
      <c r="F24" s="360"/>
      <c r="G24" s="361"/>
      <c r="H24" s="362"/>
      <c r="I24" s="363"/>
      <c r="J24" s="58"/>
      <c r="K24" s="364"/>
      <c r="L24" s="364"/>
      <c r="M24" s="365">
        <f t="shared" si="1"/>
        <v>0</v>
      </c>
      <c r="N24" s="366"/>
      <c r="P24" s="12"/>
      <c r="Q24" s="12"/>
      <c r="R24" s="12"/>
      <c r="S24" s="12"/>
      <c r="T24" s="13"/>
      <c r="U24" s="13"/>
      <c r="V24" s="13"/>
      <c r="W24" s="13"/>
      <c r="X24" s="1"/>
    </row>
    <row r="25" spans="1:24" s="3" customFormat="1" x14ac:dyDescent="0.25">
      <c r="A25" s="191">
        <v>45510</v>
      </c>
      <c r="B25" s="286"/>
      <c r="C25" s="287"/>
      <c r="D25" s="359"/>
      <c r="E25" s="359"/>
      <c r="F25" s="360"/>
      <c r="G25" s="361"/>
      <c r="H25" s="362"/>
      <c r="I25" s="363"/>
      <c r="J25" s="58"/>
      <c r="K25" s="364"/>
      <c r="L25" s="364"/>
      <c r="M25" s="365">
        <f t="shared" si="1"/>
        <v>0</v>
      </c>
      <c r="N25" s="366"/>
      <c r="P25" s="12"/>
      <c r="Q25" s="12"/>
      <c r="R25" s="12"/>
      <c r="S25" s="12"/>
      <c r="T25" s="13"/>
      <c r="U25" s="13"/>
      <c r="V25" s="13"/>
      <c r="W25" s="13"/>
      <c r="X25" s="1"/>
    </row>
    <row r="26" spans="1:24" s="3" customFormat="1" x14ac:dyDescent="0.25">
      <c r="A26" s="191">
        <v>45511</v>
      </c>
      <c r="B26" s="286"/>
      <c r="C26" s="287"/>
      <c r="D26" s="359"/>
      <c r="E26" s="359"/>
      <c r="F26" s="360"/>
      <c r="G26" s="361"/>
      <c r="H26" s="362"/>
      <c r="I26" s="363"/>
      <c r="J26" s="58"/>
      <c r="K26" s="364"/>
      <c r="L26" s="364"/>
      <c r="M26" s="365">
        <f t="shared" si="1"/>
        <v>0</v>
      </c>
      <c r="N26" s="366"/>
      <c r="P26" s="12"/>
      <c r="Q26" s="12"/>
      <c r="R26" s="12"/>
      <c r="S26" s="12"/>
      <c r="T26" s="13"/>
      <c r="U26" s="13"/>
      <c r="V26" s="13"/>
      <c r="W26" s="13"/>
      <c r="X26" s="1"/>
    </row>
    <row r="27" spans="1:24" s="3" customFormat="1" x14ac:dyDescent="0.25">
      <c r="A27" s="191">
        <v>45512</v>
      </c>
      <c r="B27" s="286"/>
      <c r="C27" s="287"/>
      <c r="D27" s="359"/>
      <c r="E27" s="359"/>
      <c r="F27" s="360"/>
      <c r="G27" s="361"/>
      <c r="H27" s="362"/>
      <c r="I27" s="363"/>
      <c r="J27" s="58"/>
      <c r="K27" s="364"/>
      <c r="L27" s="364"/>
      <c r="M27" s="365">
        <f t="shared" si="1"/>
        <v>0</v>
      </c>
      <c r="N27" s="366"/>
      <c r="P27" s="12"/>
      <c r="Q27" s="15"/>
      <c r="R27" s="15"/>
      <c r="S27" s="15"/>
      <c r="T27" s="13"/>
      <c r="U27" s="13"/>
      <c r="V27" s="13"/>
      <c r="W27" s="13"/>
      <c r="X27" s="1"/>
    </row>
    <row r="28" spans="1:24" s="3" customFormat="1" x14ac:dyDescent="0.25">
      <c r="A28" s="191">
        <v>45513</v>
      </c>
      <c r="B28" s="286"/>
      <c r="C28" s="287"/>
      <c r="D28" s="359"/>
      <c r="E28" s="359"/>
      <c r="F28" s="360"/>
      <c r="G28" s="361"/>
      <c r="H28" s="362"/>
      <c r="I28" s="363"/>
      <c r="J28" s="58"/>
      <c r="K28" s="364"/>
      <c r="L28" s="364"/>
      <c r="M28" s="365">
        <f t="shared" si="1"/>
        <v>0</v>
      </c>
      <c r="N28" s="366"/>
      <c r="P28" s="12"/>
      <c r="Q28" s="15"/>
      <c r="R28" s="15"/>
      <c r="S28" s="15"/>
      <c r="T28" s="13"/>
      <c r="U28" s="13"/>
      <c r="V28" s="13"/>
      <c r="W28" s="13"/>
      <c r="X28" s="1"/>
    </row>
    <row r="29" spans="1:24" s="3" customFormat="1" x14ac:dyDescent="0.25">
      <c r="A29" s="191">
        <v>45514</v>
      </c>
      <c r="B29" s="286"/>
      <c r="C29" s="287"/>
      <c r="D29" s="359"/>
      <c r="E29" s="359"/>
      <c r="F29" s="360"/>
      <c r="G29" s="361"/>
      <c r="H29" s="362"/>
      <c r="I29" s="363"/>
      <c r="J29" s="58"/>
      <c r="K29" s="364"/>
      <c r="L29" s="364"/>
      <c r="M29" s="365">
        <f t="shared" si="1"/>
        <v>0</v>
      </c>
      <c r="N29" s="366"/>
      <c r="P29" s="12"/>
      <c r="Q29" s="15"/>
      <c r="R29" s="15"/>
      <c r="S29" s="15"/>
      <c r="T29" s="13"/>
      <c r="U29" s="13"/>
      <c r="V29" s="13"/>
      <c r="W29" s="13"/>
      <c r="X29" s="1"/>
    </row>
    <row r="30" spans="1:24" s="3" customFormat="1" x14ac:dyDescent="0.25">
      <c r="A30" s="191">
        <v>45515</v>
      </c>
      <c r="B30" s="286"/>
      <c r="C30" s="287"/>
      <c r="D30" s="359"/>
      <c r="E30" s="359"/>
      <c r="F30" s="360"/>
      <c r="G30" s="361"/>
      <c r="H30" s="362"/>
      <c r="I30" s="363"/>
      <c r="J30" s="58"/>
      <c r="K30" s="364"/>
      <c r="L30" s="364"/>
      <c r="M30" s="365">
        <f t="shared" si="1"/>
        <v>0</v>
      </c>
      <c r="N30" s="366"/>
      <c r="O30" s="1"/>
      <c r="P30" s="12"/>
      <c r="Q30" s="15"/>
      <c r="R30" s="15"/>
      <c r="S30" s="15"/>
      <c r="T30" s="13"/>
      <c r="U30" s="13"/>
      <c r="V30" s="13"/>
      <c r="W30" s="13"/>
      <c r="X30" s="1"/>
    </row>
    <row r="31" spans="1:24" s="3" customFormat="1" x14ac:dyDescent="0.25">
      <c r="A31" s="191">
        <v>45516</v>
      </c>
      <c r="B31" s="286"/>
      <c r="C31" s="287"/>
      <c r="D31" s="372"/>
      <c r="E31" s="373"/>
      <c r="F31" s="59"/>
      <c r="G31" s="60"/>
      <c r="H31" s="61"/>
      <c r="I31" s="62"/>
      <c r="J31" s="58"/>
      <c r="K31" s="374"/>
      <c r="L31" s="375"/>
      <c r="M31" s="365">
        <f t="shared" si="1"/>
        <v>0</v>
      </c>
      <c r="N31" s="366"/>
      <c r="O31" s="1"/>
      <c r="P31" s="12"/>
      <c r="Q31" s="15"/>
      <c r="R31" s="15"/>
      <c r="S31" s="15"/>
      <c r="T31" s="13"/>
      <c r="U31" s="13"/>
      <c r="V31" s="13"/>
      <c r="W31" s="13"/>
      <c r="X31" s="1"/>
    </row>
    <row r="32" spans="1:24" s="3" customFormat="1" x14ac:dyDescent="0.25">
      <c r="A32" s="191">
        <v>45517</v>
      </c>
      <c r="B32" s="286"/>
      <c r="C32" s="287"/>
      <c r="D32" s="372"/>
      <c r="E32" s="373"/>
      <c r="F32" s="59"/>
      <c r="G32" s="60"/>
      <c r="H32" s="61"/>
      <c r="I32" s="62"/>
      <c r="J32" s="58"/>
      <c r="K32" s="374"/>
      <c r="L32" s="375"/>
      <c r="M32" s="365">
        <f t="shared" si="1"/>
        <v>0</v>
      </c>
      <c r="N32" s="366"/>
      <c r="O32" s="1"/>
      <c r="P32" s="12"/>
      <c r="Q32" s="15"/>
      <c r="R32" s="15"/>
      <c r="S32" s="15"/>
      <c r="T32" s="13"/>
      <c r="U32" s="13"/>
      <c r="V32" s="13"/>
      <c r="W32" s="13"/>
      <c r="X32" s="1"/>
    </row>
    <row r="33" spans="1:24" s="3" customFormat="1" x14ac:dyDescent="0.25">
      <c r="A33" s="191">
        <v>45518</v>
      </c>
      <c r="B33" s="286"/>
      <c r="C33" s="287"/>
      <c r="D33" s="372"/>
      <c r="E33" s="373"/>
      <c r="F33" s="59"/>
      <c r="G33" s="60"/>
      <c r="H33" s="61"/>
      <c r="I33" s="62"/>
      <c r="J33" s="58"/>
      <c r="K33" s="374"/>
      <c r="L33" s="375"/>
      <c r="M33" s="365">
        <f t="shared" si="1"/>
        <v>0</v>
      </c>
      <c r="N33" s="366"/>
      <c r="O33" s="1"/>
      <c r="P33" s="12"/>
      <c r="Q33" s="15"/>
      <c r="R33" s="15"/>
      <c r="S33" s="15"/>
      <c r="T33" s="13"/>
      <c r="U33" s="13"/>
      <c r="V33" s="13"/>
      <c r="W33" s="13"/>
      <c r="X33" s="1"/>
    </row>
    <row r="34" spans="1:24" s="3" customFormat="1" x14ac:dyDescent="0.25">
      <c r="A34" s="191">
        <v>45519</v>
      </c>
      <c r="B34" s="286"/>
      <c r="C34" s="287"/>
      <c r="D34" s="372"/>
      <c r="E34" s="373"/>
      <c r="F34" s="59"/>
      <c r="G34" s="60"/>
      <c r="H34" s="61"/>
      <c r="I34" s="62"/>
      <c r="J34" s="58"/>
      <c r="K34" s="374"/>
      <c r="L34" s="375"/>
      <c r="M34" s="365">
        <f t="shared" si="1"/>
        <v>0</v>
      </c>
      <c r="N34" s="366"/>
      <c r="O34" s="1"/>
      <c r="P34" s="12"/>
      <c r="Q34" s="15"/>
      <c r="R34" s="15"/>
      <c r="S34" s="15"/>
      <c r="T34" s="13"/>
      <c r="U34" s="13"/>
      <c r="V34" s="13"/>
      <c r="W34" s="13"/>
      <c r="X34" s="1"/>
    </row>
    <row r="35" spans="1:24" s="3" customFormat="1" x14ac:dyDescent="0.25">
      <c r="A35" s="191">
        <v>45520</v>
      </c>
      <c r="B35" s="286"/>
      <c r="C35" s="287"/>
      <c r="D35" s="372"/>
      <c r="E35" s="373"/>
      <c r="F35" s="59"/>
      <c r="G35" s="60"/>
      <c r="H35" s="61"/>
      <c r="I35" s="62"/>
      <c r="J35" s="58"/>
      <c r="K35" s="374"/>
      <c r="L35" s="375"/>
      <c r="M35" s="365">
        <f t="shared" si="1"/>
        <v>0</v>
      </c>
      <c r="N35" s="366"/>
      <c r="O35" s="1"/>
      <c r="P35" s="12"/>
      <c r="Q35" s="15"/>
      <c r="R35" s="15"/>
      <c r="S35" s="15"/>
      <c r="T35" s="13"/>
      <c r="U35" s="13"/>
      <c r="V35" s="13"/>
      <c r="W35" s="13"/>
      <c r="X35" s="1"/>
    </row>
    <row r="36" spans="1:24" s="3" customFormat="1" x14ac:dyDescent="0.25">
      <c r="A36" s="191">
        <v>45521</v>
      </c>
      <c r="B36" s="286"/>
      <c r="C36" s="287"/>
      <c r="D36" s="372"/>
      <c r="E36" s="373"/>
      <c r="F36" s="59"/>
      <c r="G36" s="60"/>
      <c r="H36" s="61"/>
      <c r="I36" s="62"/>
      <c r="J36" s="58"/>
      <c r="K36" s="374"/>
      <c r="L36" s="375"/>
      <c r="M36" s="365">
        <f t="shared" si="1"/>
        <v>0</v>
      </c>
      <c r="N36" s="366"/>
      <c r="O36" s="1"/>
      <c r="P36" s="12"/>
      <c r="Q36" s="15"/>
      <c r="R36" s="15"/>
      <c r="S36" s="15"/>
      <c r="T36" s="13"/>
      <c r="U36" s="13"/>
      <c r="V36" s="13"/>
      <c r="W36" s="13"/>
      <c r="X36" s="1"/>
    </row>
    <row r="37" spans="1:24" s="3" customFormat="1" x14ac:dyDescent="0.25">
      <c r="A37" s="191">
        <v>45522</v>
      </c>
      <c r="B37" s="286"/>
      <c r="C37" s="287"/>
      <c r="D37" s="372"/>
      <c r="E37" s="373"/>
      <c r="F37" s="59"/>
      <c r="G37" s="60"/>
      <c r="H37" s="61"/>
      <c r="I37" s="62"/>
      <c r="J37" s="58"/>
      <c r="K37" s="374"/>
      <c r="L37" s="375"/>
      <c r="M37" s="365">
        <f t="shared" si="1"/>
        <v>0</v>
      </c>
      <c r="N37" s="366"/>
      <c r="O37" s="1"/>
      <c r="P37" s="12"/>
      <c r="Q37" s="15"/>
      <c r="R37" s="15"/>
      <c r="S37" s="15"/>
      <c r="T37" s="13"/>
      <c r="U37" s="13"/>
      <c r="V37" s="13"/>
      <c r="W37" s="13"/>
      <c r="X37" s="1"/>
    </row>
    <row r="38" spans="1:24" s="3" customFormat="1" x14ac:dyDescent="0.25">
      <c r="A38" s="191">
        <v>45523</v>
      </c>
      <c r="B38" s="286"/>
      <c r="C38" s="287"/>
      <c r="D38" s="359"/>
      <c r="E38" s="359"/>
      <c r="F38" s="360"/>
      <c r="G38" s="361"/>
      <c r="H38" s="362"/>
      <c r="I38" s="363"/>
      <c r="J38" s="58"/>
      <c r="K38" s="364"/>
      <c r="L38" s="364"/>
      <c r="M38" s="365">
        <f t="shared" si="1"/>
        <v>0</v>
      </c>
      <c r="N38" s="366"/>
      <c r="P38" s="12"/>
      <c r="Q38" s="15"/>
      <c r="R38" s="15"/>
      <c r="S38" s="15"/>
      <c r="T38" s="13"/>
      <c r="U38" s="13"/>
      <c r="V38" s="13"/>
      <c r="W38" s="13"/>
      <c r="X38" s="1"/>
    </row>
    <row r="39" spans="1:24" s="3" customFormat="1" x14ac:dyDescent="0.25">
      <c r="A39" s="191">
        <v>45524</v>
      </c>
      <c r="B39" s="286"/>
      <c r="C39" s="287"/>
      <c r="D39" s="359"/>
      <c r="E39" s="359"/>
      <c r="F39" s="360"/>
      <c r="G39" s="361"/>
      <c r="H39" s="362"/>
      <c r="I39" s="363"/>
      <c r="J39" s="58"/>
      <c r="K39" s="364"/>
      <c r="L39" s="364"/>
      <c r="M39" s="365">
        <f t="shared" si="1"/>
        <v>0</v>
      </c>
      <c r="N39" s="366"/>
      <c r="P39" s="12"/>
      <c r="Q39" s="15"/>
      <c r="R39" s="15"/>
      <c r="S39" s="15"/>
      <c r="T39" s="13"/>
      <c r="U39" s="13"/>
      <c r="V39" s="13"/>
      <c r="W39" s="13"/>
      <c r="X39" s="1"/>
    </row>
    <row r="40" spans="1:24" s="3" customFormat="1" x14ac:dyDescent="0.25">
      <c r="A40" s="191">
        <v>45525</v>
      </c>
      <c r="B40" s="286"/>
      <c r="C40" s="287"/>
      <c r="D40" s="359"/>
      <c r="E40" s="359"/>
      <c r="F40" s="360"/>
      <c r="G40" s="361"/>
      <c r="H40" s="362"/>
      <c r="I40" s="363"/>
      <c r="J40" s="58"/>
      <c r="K40" s="364"/>
      <c r="L40" s="364"/>
      <c r="M40" s="365">
        <f t="shared" si="1"/>
        <v>0</v>
      </c>
      <c r="N40" s="366"/>
      <c r="P40" s="12"/>
      <c r="Q40" s="15"/>
      <c r="R40" s="15"/>
      <c r="S40" s="15"/>
      <c r="T40" s="13"/>
      <c r="U40" s="13"/>
      <c r="V40" s="13"/>
      <c r="W40" s="13"/>
      <c r="X40" s="1"/>
    </row>
    <row r="41" spans="1:24" s="3" customFormat="1" x14ac:dyDescent="0.25">
      <c r="A41" s="191">
        <v>45526</v>
      </c>
      <c r="B41" s="286"/>
      <c r="C41" s="287"/>
      <c r="D41" s="359"/>
      <c r="E41" s="359"/>
      <c r="F41" s="360"/>
      <c r="G41" s="361"/>
      <c r="H41" s="362"/>
      <c r="I41" s="363"/>
      <c r="J41" s="58"/>
      <c r="K41" s="364"/>
      <c r="L41" s="364"/>
      <c r="M41" s="365">
        <f t="shared" si="1"/>
        <v>0</v>
      </c>
      <c r="N41" s="366"/>
      <c r="P41" s="12"/>
      <c r="Q41" s="15"/>
      <c r="R41" s="15"/>
      <c r="S41" s="15"/>
      <c r="T41" s="13"/>
      <c r="U41" s="13"/>
      <c r="V41" s="13"/>
      <c r="W41" s="13"/>
      <c r="X41" s="1"/>
    </row>
    <row r="42" spans="1:24" s="3" customFormat="1" x14ac:dyDescent="0.25">
      <c r="A42" s="191">
        <v>45527</v>
      </c>
      <c r="B42" s="286"/>
      <c r="C42" s="287"/>
      <c r="D42" s="359"/>
      <c r="E42" s="359"/>
      <c r="F42" s="360"/>
      <c r="G42" s="361"/>
      <c r="H42" s="362"/>
      <c r="I42" s="363"/>
      <c r="J42" s="58"/>
      <c r="K42" s="364"/>
      <c r="L42" s="364"/>
      <c r="M42" s="365">
        <f t="shared" si="1"/>
        <v>0</v>
      </c>
      <c r="N42" s="366"/>
      <c r="P42" s="12"/>
      <c r="Q42" s="15"/>
      <c r="R42" s="15"/>
      <c r="S42" s="15"/>
      <c r="T42" s="13"/>
      <c r="U42" s="13"/>
      <c r="V42" s="13"/>
      <c r="W42" s="13"/>
      <c r="X42" s="1"/>
    </row>
    <row r="43" spans="1:24" s="3" customFormat="1" x14ac:dyDescent="0.25">
      <c r="A43" s="191">
        <v>45528</v>
      </c>
      <c r="B43" s="286"/>
      <c r="C43" s="287"/>
      <c r="D43" s="359"/>
      <c r="E43" s="359"/>
      <c r="F43" s="360"/>
      <c r="G43" s="361"/>
      <c r="H43" s="362"/>
      <c r="I43" s="363"/>
      <c r="J43" s="58"/>
      <c r="K43" s="364"/>
      <c r="L43" s="364"/>
      <c r="M43" s="365">
        <f t="shared" si="1"/>
        <v>0</v>
      </c>
      <c r="N43" s="366"/>
      <c r="P43" s="12"/>
      <c r="Q43" s="15"/>
      <c r="R43" s="15"/>
      <c r="S43" s="15"/>
      <c r="T43" s="13"/>
      <c r="U43" s="13"/>
      <c r="V43" s="13"/>
      <c r="W43" s="13"/>
      <c r="X43" s="1"/>
    </row>
    <row r="44" spans="1:24" s="3" customFormat="1" x14ac:dyDescent="0.25">
      <c r="A44" s="191">
        <v>45529</v>
      </c>
      <c r="B44" s="286"/>
      <c r="C44" s="287"/>
      <c r="D44" s="367"/>
      <c r="E44" s="367"/>
      <c r="F44" s="368"/>
      <c r="G44" s="369"/>
      <c r="H44" s="370"/>
      <c r="I44" s="371"/>
      <c r="J44" s="63"/>
      <c r="K44" s="364"/>
      <c r="L44" s="364"/>
      <c r="M44" s="365">
        <f t="shared" si="1"/>
        <v>0</v>
      </c>
      <c r="N44" s="366"/>
      <c r="P44" s="12"/>
      <c r="Q44" s="15"/>
      <c r="R44" s="15"/>
      <c r="S44" s="15"/>
      <c r="T44" s="13"/>
      <c r="U44" s="13"/>
      <c r="V44" s="13"/>
      <c r="W44" s="13"/>
      <c r="X44" s="1"/>
    </row>
    <row r="45" spans="1:24" s="3" customFormat="1" ht="15.75" x14ac:dyDescent="0.25">
      <c r="A45" s="231" t="s">
        <v>21</v>
      </c>
      <c r="B45" s="232"/>
      <c r="C45" s="233"/>
      <c r="D45" s="376">
        <f>+COUNTA(D17:E44)</f>
        <v>0</v>
      </c>
      <c r="E45" s="377"/>
      <c r="F45" s="378">
        <f>+COUNTA(F17:G44)</f>
        <v>0</v>
      </c>
      <c r="G45" s="379"/>
      <c r="H45" s="380">
        <f>SUM(H17:I44)</f>
        <v>0</v>
      </c>
      <c r="I45" s="380"/>
      <c r="J45" s="137"/>
      <c r="K45" s="381"/>
      <c r="L45" s="381"/>
      <c r="M45" s="382">
        <f>+SUM(M17:O44)</f>
        <v>0</v>
      </c>
      <c r="N45" s="383"/>
      <c r="R45" s="1"/>
      <c r="S45" s="1"/>
      <c r="T45" s="1"/>
      <c r="U45" s="1"/>
      <c r="V45" s="1"/>
    </row>
    <row r="46" spans="1:24" s="3" customFormat="1" x14ac:dyDescent="0.25">
      <c r="D46" s="272" t="s">
        <v>65</v>
      </c>
      <c r="E46" s="273"/>
      <c r="F46" s="274" t="s">
        <v>24</v>
      </c>
      <c r="G46" s="274"/>
      <c r="H46" s="275" t="s">
        <v>62</v>
      </c>
      <c r="I46" s="275"/>
      <c r="K46" s="12"/>
      <c r="L46" s="12"/>
      <c r="M46" s="276" t="s">
        <v>66</v>
      </c>
      <c r="N46" s="277"/>
      <c r="R46" s="1"/>
      <c r="S46" s="1"/>
      <c r="T46" s="1"/>
      <c r="U46" s="1"/>
      <c r="V46" s="1"/>
    </row>
    <row r="47" spans="1:24" s="3" customFormat="1" x14ac:dyDescent="0.25">
      <c r="R47" s="1"/>
      <c r="S47" s="1"/>
      <c r="T47" s="1"/>
      <c r="U47" s="1"/>
      <c r="V47" s="1"/>
    </row>
    <row r="48" spans="1:24" s="3" customFormat="1" x14ac:dyDescent="0.25">
      <c r="A48" s="28" t="s">
        <v>23</v>
      </c>
      <c r="J48" s="28" t="s">
        <v>27</v>
      </c>
      <c r="N48" s="47"/>
      <c r="R48" s="1"/>
      <c r="S48" s="1"/>
      <c r="T48" s="1"/>
      <c r="U48" s="1"/>
      <c r="V48" s="1"/>
    </row>
    <row r="49" spans="1:25" s="3" customFormat="1" x14ac:dyDescent="0.25">
      <c r="J49" s="28" t="s">
        <v>31</v>
      </c>
      <c r="N49" s="47"/>
      <c r="R49" s="1"/>
      <c r="S49" s="1"/>
      <c r="T49" s="1"/>
      <c r="U49" s="1"/>
      <c r="V49" s="1"/>
    </row>
    <row r="50" spans="1:25" s="3" customFormat="1" x14ac:dyDescent="0.25">
      <c r="A50" s="29" t="s">
        <v>20</v>
      </c>
      <c r="B50" s="30"/>
      <c r="C50" s="29"/>
      <c r="D50" s="29"/>
      <c r="E50" s="16"/>
      <c r="H50" s="18"/>
      <c r="R50" s="1"/>
      <c r="S50" s="1"/>
      <c r="T50" s="1"/>
      <c r="U50" s="1"/>
      <c r="V50" s="1"/>
    </row>
    <row r="51" spans="1:25" s="3" customFormat="1" x14ac:dyDescent="0.25">
      <c r="A51" s="29" t="s">
        <v>7</v>
      </c>
      <c r="B51" s="30"/>
      <c r="C51" s="31">
        <f ca="1">TODAY()</f>
        <v>45320</v>
      </c>
      <c r="D51" s="29"/>
      <c r="E51" s="16"/>
      <c r="J51" s="28" t="s">
        <v>22</v>
      </c>
      <c r="R51" s="1"/>
      <c r="S51" s="1"/>
      <c r="T51" s="1"/>
      <c r="U51" s="1"/>
      <c r="V51" s="1"/>
    </row>
    <row r="52" spans="1:25" s="3" customFormat="1" x14ac:dyDescent="0.25">
      <c r="A52" s="28"/>
      <c r="B52" s="315" t="s">
        <v>47</v>
      </c>
      <c r="C52" s="315"/>
      <c r="D52" s="315"/>
      <c r="E52" s="315"/>
      <c r="F52" s="315"/>
      <c r="J52" s="315" t="s">
        <v>48</v>
      </c>
      <c r="K52" s="315"/>
      <c r="L52" s="315"/>
      <c r="M52" s="315"/>
      <c r="N52" s="315"/>
      <c r="U52" s="1"/>
      <c r="V52" s="1"/>
      <c r="W52" s="1"/>
      <c r="X52" s="1"/>
      <c r="Y52" s="1"/>
    </row>
    <row r="53" spans="1:25" s="3" customFormat="1" x14ac:dyDescent="0.25">
      <c r="B53" s="315"/>
      <c r="C53" s="315"/>
      <c r="D53" s="315"/>
      <c r="E53" s="315"/>
      <c r="F53" s="315"/>
      <c r="J53" s="315"/>
      <c r="K53" s="315"/>
      <c r="L53" s="315"/>
      <c r="M53" s="315"/>
      <c r="N53" s="315"/>
      <c r="U53" s="1"/>
      <c r="V53" s="1"/>
      <c r="W53" s="1"/>
      <c r="X53" s="1"/>
      <c r="Y53" s="1"/>
    </row>
    <row r="54" spans="1:25" s="3" customFormat="1" x14ac:dyDescent="0.25">
      <c r="B54" s="315"/>
      <c r="C54" s="315"/>
      <c r="D54" s="315"/>
      <c r="E54" s="315"/>
      <c r="F54" s="315"/>
      <c r="J54" s="315"/>
      <c r="K54" s="315"/>
      <c r="L54" s="315"/>
      <c r="M54" s="315"/>
      <c r="N54" s="315"/>
      <c r="U54" s="1"/>
      <c r="V54" s="1"/>
      <c r="W54" s="1"/>
      <c r="X54" s="1"/>
      <c r="Y54" s="1"/>
    </row>
    <row r="55" spans="1:25" s="3" customFormat="1" x14ac:dyDescent="0.25">
      <c r="B55" s="315"/>
      <c r="C55" s="315"/>
      <c r="D55" s="315"/>
      <c r="E55" s="315"/>
      <c r="F55" s="315"/>
      <c r="J55" s="315"/>
      <c r="K55" s="315"/>
      <c r="L55" s="315"/>
      <c r="M55" s="315"/>
      <c r="N55" s="315"/>
      <c r="U55" s="1"/>
      <c r="V55" s="1"/>
      <c r="W55" s="1"/>
      <c r="X55" s="1"/>
      <c r="Y55" s="1"/>
    </row>
    <row r="56" spans="1:25" s="3" customFormat="1" x14ac:dyDescent="0.25">
      <c r="B56" s="315"/>
      <c r="C56" s="315"/>
      <c r="D56" s="315"/>
      <c r="E56" s="315"/>
      <c r="F56" s="315"/>
      <c r="J56" s="315"/>
      <c r="K56" s="315"/>
      <c r="L56" s="315"/>
      <c r="M56" s="315"/>
      <c r="N56" s="315"/>
      <c r="U56" s="1"/>
      <c r="V56" s="1"/>
      <c r="W56" s="1"/>
      <c r="X56" s="1"/>
      <c r="Y56" s="1"/>
    </row>
    <row r="57" spans="1:25" s="3" customFormat="1" x14ac:dyDescent="0.25">
      <c r="B57" s="315"/>
      <c r="C57" s="315"/>
      <c r="D57" s="315"/>
      <c r="E57" s="315"/>
      <c r="F57" s="315"/>
      <c r="J57" s="315"/>
      <c r="K57" s="315"/>
      <c r="L57" s="315"/>
      <c r="M57" s="315"/>
      <c r="N57" s="315"/>
      <c r="U57" s="1"/>
      <c r="V57" s="1"/>
      <c r="W57" s="1"/>
      <c r="X57" s="1"/>
      <c r="Y57" s="1"/>
    </row>
    <row r="58" spans="1:25" s="3" customFormat="1" x14ac:dyDescent="0.25">
      <c r="A58" s="3" t="s">
        <v>46</v>
      </c>
      <c r="B58" s="23"/>
      <c r="J58" s="3" t="s">
        <v>39</v>
      </c>
      <c r="U58" s="1"/>
      <c r="V58" s="1"/>
      <c r="W58" s="1"/>
      <c r="X58" s="1"/>
      <c r="Y58" s="1"/>
    </row>
    <row r="59" spans="1:25" s="3" customFormat="1" x14ac:dyDescent="0.25">
      <c r="A59" s="12"/>
      <c r="B59" s="12"/>
      <c r="C59" s="12"/>
      <c r="U59" s="1"/>
      <c r="V59" s="1"/>
      <c r="W59" s="1"/>
      <c r="X59" s="1"/>
      <c r="Y59" s="1"/>
    </row>
    <row r="60" spans="1:25" s="3" customFormat="1" x14ac:dyDescent="0.25">
      <c r="B60" s="23"/>
      <c r="U60" s="1"/>
      <c r="V60" s="1"/>
      <c r="W60" s="1"/>
      <c r="X60" s="1"/>
      <c r="Y60" s="1"/>
    </row>
    <row r="61" spans="1:25" s="3" customFormat="1" x14ac:dyDescent="0.25">
      <c r="B61" s="23"/>
      <c r="U61" s="1"/>
      <c r="V61" s="1"/>
      <c r="W61" s="1"/>
      <c r="X61" s="1"/>
      <c r="Y61" s="1"/>
    </row>
    <row r="62" spans="1:25" s="3" customFormat="1" x14ac:dyDescent="0.25">
      <c r="B62" s="23"/>
      <c r="U62" s="1"/>
      <c r="V62" s="1"/>
      <c r="W62" s="1"/>
      <c r="X62" s="1"/>
      <c r="Y62" s="1"/>
    </row>
    <row r="63" spans="1:25" s="3" customFormat="1" x14ac:dyDescent="0.25">
      <c r="B63" s="23"/>
      <c r="U63" s="1"/>
      <c r="V63" s="1"/>
      <c r="W63" s="1"/>
      <c r="X63" s="1"/>
      <c r="Y63" s="1"/>
    </row>
    <row r="64" spans="1:25" s="3" customFormat="1" x14ac:dyDescent="0.25">
      <c r="B64" s="23"/>
      <c r="U64" s="1"/>
      <c r="V64" s="1"/>
      <c r="W64" s="1"/>
      <c r="X64" s="1"/>
      <c r="Y64" s="1"/>
    </row>
    <row r="65" spans="2:25" s="3" customFormat="1" x14ac:dyDescent="0.25">
      <c r="B65" s="23"/>
      <c r="U65" s="1"/>
      <c r="V65" s="1"/>
      <c r="W65" s="1"/>
      <c r="X65" s="1"/>
      <c r="Y65" s="1"/>
    </row>
    <row r="66" spans="2:25" s="3" customFormat="1" ht="15" customHeight="1" x14ac:dyDescent="0.25">
      <c r="B66" s="23"/>
      <c r="U66" s="1"/>
      <c r="V66" s="1"/>
      <c r="W66" s="1"/>
      <c r="X66" s="1"/>
      <c r="Y66" s="1"/>
    </row>
    <row r="67" spans="2:25" s="3" customFormat="1" x14ac:dyDescent="0.25">
      <c r="B67" s="23"/>
      <c r="U67" s="1"/>
      <c r="V67" s="1"/>
      <c r="W67" s="1"/>
      <c r="X67" s="1"/>
      <c r="Y67" s="1"/>
    </row>
    <row r="68" spans="2:25" s="3" customFormat="1" x14ac:dyDescent="0.25">
      <c r="B68" s="23"/>
      <c r="U68" s="1"/>
      <c r="V68" s="1"/>
      <c r="W68" s="1"/>
      <c r="X68" s="1"/>
      <c r="Y68" s="1"/>
    </row>
    <row r="69" spans="2:25" s="3" customFormat="1" x14ac:dyDescent="0.25">
      <c r="B69" s="23"/>
      <c r="U69" s="1"/>
      <c r="V69" s="1"/>
      <c r="W69" s="1"/>
      <c r="X69" s="1"/>
      <c r="Y69" s="1"/>
    </row>
    <row r="70" spans="2:25" s="3" customFormat="1" x14ac:dyDescent="0.25">
      <c r="B70" s="23"/>
      <c r="U70" s="1"/>
      <c r="V70" s="1"/>
      <c r="W70" s="1"/>
      <c r="X70" s="1"/>
      <c r="Y70" s="1"/>
    </row>
    <row r="71" spans="2:25" s="3" customFormat="1" x14ac:dyDescent="0.25">
      <c r="B71" s="23"/>
      <c r="U71" s="1"/>
      <c r="V71" s="1"/>
      <c r="W71" s="1"/>
      <c r="X71" s="1"/>
      <c r="Y71" s="1"/>
    </row>
    <row r="72" spans="2:25" s="3" customFormat="1" x14ac:dyDescent="0.25">
      <c r="B72" s="23"/>
      <c r="U72" s="1"/>
      <c r="V72" s="1"/>
      <c r="W72" s="1"/>
      <c r="X72" s="1"/>
      <c r="Y72" s="1"/>
    </row>
    <row r="73" spans="2:25" s="3" customFormat="1" x14ac:dyDescent="0.25">
      <c r="B73" s="23"/>
      <c r="U73" s="1"/>
      <c r="V73" s="1"/>
      <c r="W73" s="1"/>
      <c r="X73" s="1"/>
      <c r="Y73" s="1"/>
    </row>
    <row r="74" spans="2:25" s="3" customFormat="1" x14ac:dyDescent="0.25">
      <c r="B74" s="23"/>
      <c r="U74" s="1"/>
      <c r="V74" s="1"/>
      <c r="W74" s="1"/>
      <c r="X74" s="1"/>
      <c r="Y74" s="1"/>
    </row>
    <row r="75" spans="2:25" s="3" customFormat="1" x14ac:dyDescent="0.25">
      <c r="B75" s="23"/>
      <c r="U75" s="1"/>
      <c r="V75" s="1"/>
      <c r="W75" s="1"/>
      <c r="X75" s="1"/>
      <c r="Y75" s="1"/>
    </row>
    <row r="76" spans="2:25" s="3" customFormat="1" x14ac:dyDescent="0.25">
      <c r="B76" s="23"/>
      <c r="U76" s="1"/>
      <c r="V76" s="1"/>
      <c r="W76" s="1"/>
      <c r="X76" s="1"/>
      <c r="Y76" s="1"/>
    </row>
    <row r="77" spans="2:25" s="3" customFormat="1" x14ac:dyDescent="0.25">
      <c r="B77" s="23"/>
      <c r="U77" s="1"/>
      <c r="V77" s="1"/>
      <c r="W77" s="1"/>
      <c r="X77" s="1"/>
      <c r="Y77" s="1"/>
    </row>
    <row r="78" spans="2:25" s="3" customFormat="1" x14ac:dyDescent="0.25">
      <c r="B78" s="23"/>
      <c r="U78" s="1"/>
      <c r="V78" s="1"/>
      <c r="W78" s="1"/>
      <c r="X78" s="1"/>
      <c r="Y78" s="1"/>
    </row>
    <row r="79" spans="2:25" s="3" customFormat="1" x14ac:dyDescent="0.25">
      <c r="B79" s="23"/>
      <c r="U79" s="1"/>
      <c r="V79" s="1"/>
      <c r="W79" s="1"/>
      <c r="X79" s="1"/>
      <c r="Y79" s="1"/>
    </row>
    <row r="80" spans="2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1:25" s="3" customFormat="1" x14ac:dyDescent="0.25">
      <c r="B209" s="23"/>
      <c r="K209" s="6"/>
      <c r="L209" s="6"/>
      <c r="M209" s="6"/>
      <c r="N209" s="6"/>
      <c r="U209" s="1"/>
      <c r="V209" s="1"/>
      <c r="W209" s="1"/>
      <c r="X209" s="1"/>
      <c r="Y209" s="1"/>
    </row>
    <row r="210" spans="1:25" s="3" customFormat="1" x14ac:dyDescent="0.25">
      <c r="B210" s="23"/>
      <c r="K210" s="6"/>
      <c r="L210" s="6"/>
      <c r="M210" s="6"/>
      <c r="N210" s="6"/>
      <c r="U210" s="1"/>
      <c r="V210" s="1"/>
      <c r="W210" s="1"/>
      <c r="X210" s="1"/>
      <c r="Y210" s="1"/>
    </row>
    <row r="211" spans="1:25" s="3" customFormat="1" x14ac:dyDescent="0.25">
      <c r="A211" s="6"/>
      <c r="B211" s="25"/>
      <c r="K211" s="6"/>
      <c r="L211" s="6"/>
      <c r="M211" s="6"/>
      <c r="N211" s="6"/>
      <c r="U211" s="1"/>
      <c r="V211" s="1"/>
      <c r="W211" s="1"/>
      <c r="X211" s="1"/>
      <c r="Y211" s="1"/>
    </row>
    <row r="212" spans="1:25" s="3" customFormat="1" x14ac:dyDescent="0.25">
      <c r="A212" s="6"/>
      <c r="B212" s="25"/>
      <c r="C212" s="6"/>
      <c r="J212" s="6"/>
      <c r="K212" s="6"/>
      <c r="L212" s="6"/>
      <c r="M212" s="6"/>
      <c r="N212" s="6"/>
      <c r="U212" s="1"/>
      <c r="V212" s="1"/>
      <c r="W212" s="1"/>
      <c r="X212" s="1"/>
      <c r="Y212" s="1"/>
    </row>
    <row r="213" spans="1:25" s="3" customFormat="1" x14ac:dyDescent="0.25">
      <c r="A213" s="6"/>
      <c r="B213" s="25"/>
      <c r="C213" s="6"/>
      <c r="J213" s="6"/>
      <c r="K213" s="6"/>
      <c r="L213" s="6"/>
      <c r="M213" s="6"/>
      <c r="N213" s="6"/>
      <c r="U213" s="1"/>
      <c r="V213" s="1"/>
      <c r="W213" s="1"/>
      <c r="X213" s="1"/>
      <c r="Y213" s="1"/>
    </row>
    <row r="214" spans="1:25" s="3" customFormat="1" x14ac:dyDescent="0.25">
      <c r="A214" s="6"/>
      <c r="B214" s="25"/>
      <c r="C214" s="6"/>
      <c r="J214" s="6"/>
      <c r="K214" s="6"/>
      <c r="L214" s="6"/>
      <c r="M214" s="6"/>
      <c r="N214" s="6"/>
      <c r="U214" s="1"/>
      <c r="V214" s="1"/>
      <c r="W214" s="1"/>
      <c r="X214" s="1"/>
      <c r="Y214" s="1"/>
    </row>
    <row r="215" spans="1:25" s="3" customFormat="1" x14ac:dyDescent="0.25">
      <c r="A215" s="6"/>
      <c r="B215" s="25"/>
      <c r="C215" s="6"/>
      <c r="J215" s="6"/>
      <c r="K215" s="6"/>
      <c r="L215" s="6"/>
      <c r="M215" s="6"/>
      <c r="N215" s="6"/>
      <c r="U215" s="1"/>
      <c r="V215" s="1"/>
      <c r="W215" s="1"/>
      <c r="X215" s="1"/>
      <c r="Y215" s="1"/>
    </row>
    <row r="216" spans="1:25" s="3" customFormat="1" x14ac:dyDescent="0.25">
      <c r="A216" s="6"/>
      <c r="B216" s="25"/>
      <c r="C216" s="6"/>
      <c r="J216" s="6"/>
      <c r="K216" s="6"/>
      <c r="L216" s="6"/>
      <c r="M216" s="6"/>
      <c r="N216" s="6"/>
      <c r="U216" s="1"/>
      <c r="V216" s="1"/>
      <c r="W216" s="1"/>
      <c r="X216" s="1"/>
      <c r="Y216" s="1"/>
    </row>
    <row r="217" spans="1:25" s="3" customFormat="1" x14ac:dyDescent="0.25">
      <c r="A217" s="6"/>
      <c r="B217" s="25"/>
      <c r="C217" s="6"/>
      <c r="J217" s="6"/>
      <c r="K217" s="6"/>
      <c r="L217" s="6"/>
      <c r="M217" s="6"/>
      <c r="N217" s="6"/>
      <c r="U217" s="1"/>
      <c r="V217" s="1"/>
      <c r="W217" s="1"/>
      <c r="X217" s="1"/>
      <c r="Y217" s="1"/>
    </row>
    <row r="218" spans="1:25" s="3" customFormat="1" x14ac:dyDescent="0.25">
      <c r="A218" s="6"/>
      <c r="B218" s="25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U218" s="1"/>
      <c r="V218" s="1"/>
      <c r="W218" s="1"/>
      <c r="X218" s="1"/>
      <c r="Y218" s="1"/>
    </row>
    <row r="219" spans="1:25" s="3" customFormat="1" x14ac:dyDescent="0.25">
      <c r="A219" s="6"/>
      <c r="B219" s="25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U219" s="1"/>
      <c r="V219" s="1"/>
      <c r="W219" s="1"/>
      <c r="X219" s="1"/>
      <c r="Y219" s="1"/>
    </row>
    <row r="220" spans="1:25" s="3" customFormat="1" x14ac:dyDescent="0.25">
      <c r="A220" s="6"/>
      <c r="B220" s="25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U220" s="1"/>
      <c r="V220" s="1"/>
      <c r="W220" s="1"/>
      <c r="X220" s="1"/>
      <c r="Y220" s="1"/>
    </row>
    <row r="221" spans="1:25" s="3" customFormat="1" x14ac:dyDescent="0.25">
      <c r="A221" s="6"/>
      <c r="B221" s="25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U221" s="1"/>
      <c r="V221" s="1"/>
      <c r="W221" s="1"/>
      <c r="X221" s="1"/>
      <c r="Y221" s="1"/>
    </row>
    <row r="222" spans="1:25" s="3" customFormat="1" x14ac:dyDescent="0.25">
      <c r="A222" s="6"/>
      <c r="B222" s="25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U222" s="1"/>
      <c r="V222" s="1"/>
      <c r="W222" s="1"/>
      <c r="X222" s="1"/>
      <c r="Y222" s="1"/>
    </row>
    <row r="223" spans="1:25" s="3" customFormat="1" x14ac:dyDescent="0.25">
      <c r="A223" s="6"/>
      <c r="B223" s="25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U223" s="1"/>
      <c r="V223" s="1"/>
      <c r="W223" s="1"/>
      <c r="X223" s="1"/>
      <c r="Y223" s="1"/>
    </row>
    <row r="224" spans="1:25" s="3" customFormat="1" x14ac:dyDescent="0.25">
      <c r="A224" s="6"/>
      <c r="B224" s="25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U224" s="1"/>
      <c r="V224" s="1"/>
      <c r="W224" s="1"/>
      <c r="X224" s="1"/>
      <c r="Y224" s="1"/>
    </row>
    <row r="225" spans="1:25" s="3" customFormat="1" x14ac:dyDescent="0.25">
      <c r="A225" s="6"/>
      <c r="B225" s="25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U225" s="1"/>
      <c r="V225" s="1"/>
      <c r="W225" s="1"/>
      <c r="X225" s="1"/>
      <c r="Y225" s="1"/>
    </row>
    <row r="226" spans="1:25" s="3" customFormat="1" x14ac:dyDescent="0.25">
      <c r="A226" s="6"/>
      <c r="B226" s="25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U226" s="1"/>
      <c r="V226" s="1"/>
      <c r="W226" s="1"/>
      <c r="X226" s="1"/>
      <c r="Y226" s="1"/>
    </row>
    <row r="227" spans="1:25" s="3" customFormat="1" x14ac:dyDescent="0.25">
      <c r="A227" s="6"/>
      <c r="B227" s="25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U227" s="1"/>
      <c r="V227" s="1"/>
      <c r="W227" s="1"/>
      <c r="X227" s="1"/>
      <c r="Y227" s="1"/>
    </row>
    <row r="228" spans="1:25" s="3" customFormat="1" x14ac:dyDescent="0.25">
      <c r="A228" s="6"/>
      <c r="B228" s="25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U228" s="1"/>
      <c r="V228" s="1"/>
      <c r="W228" s="1"/>
      <c r="X228" s="1"/>
      <c r="Y228" s="1"/>
    </row>
    <row r="229" spans="1:25" s="3" customFormat="1" x14ac:dyDescent="0.25">
      <c r="A229" s="6"/>
      <c r="B229" s="25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U229" s="1"/>
      <c r="V229" s="1"/>
      <c r="W229" s="1"/>
      <c r="X229" s="1"/>
      <c r="Y229" s="1"/>
    </row>
    <row r="230" spans="1:25" s="3" customFormat="1" x14ac:dyDescent="0.25">
      <c r="A230" s="6"/>
      <c r="B230" s="25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U230" s="1"/>
      <c r="V230" s="1"/>
      <c r="W230" s="1"/>
      <c r="X230" s="1"/>
      <c r="Y230" s="1"/>
    </row>
    <row r="231" spans="1:25" s="3" customFormat="1" x14ac:dyDescent="0.25">
      <c r="A231" s="6"/>
      <c r="B231" s="25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U231" s="1"/>
      <c r="V231" s="1"/>
      <c r="W231" s="1"/>
      <c r="X231" s="1"/>
      <c r="Y231" s="1"/>
    </row>
    <row r="232" spans="1:25" s="3" customFormat="1" x14ac:dyDescent="0.25">
      <c r="A232" s="6"/>
      <c r="B232" s="25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U232" s="1"/>
      <c r="V232" s="1"/>
      <c r="W232" s="1"/>
      <c r="X232" s="1"/>
      <c r="Y232" s="1"/>
    </row>
    <row r="233" spans="1:25" s="3" customFormat="1" x14ac:dyDescent="0.25">
      <c r="A233" s="6"/>
      <c r="B233" s="25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U233" s="1"/>
      <c r="V233" s="1"/>
      <c r="W233" s="1"/>
      <c r="X233" s="1"/>
      <c r="Y233" s="1"/>
    </row>
    <row r="234" spans="1:25" s="3" customFormat="1" x14ac:dyDescent="0.25">
      <c r="A234" s="6"/>
      <c r="B234" s="25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U234" s="1"/>
      <c r="V234" s="1"/>
      <c r="W234" s="1"/>
      <c r="X234" s="1"/>
      <c r="Y234" s="1"/>
    </row>
    <row r="235" spans="1:25" s="3" customFormat="1" x14ac:dyDescent="0.25">
      <c r="A235" s="6"/>
      <c r="B235" s="25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U235" s="1"/>
      <c r="V235" s="1"/>
      <c r="W235" s="1"/>
      <c r="X235" s="1"/>
      <c r="Y235" s="1"/>
    </row>
    <row r="236" spans="1:25" s="3" customFormat="1" x14ac:dyDescent="0.25">
      <c r="A236" s="6"/>
      <c r="B236" s="25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U236" s="1"/>
      <c r="V236" s="1"/>
      <c r="W236" s="1"/>
      <c r="X236" s="1"/>
      <c r="Y236" s="1"/>
    </row>
    <row r="237" spans="1:25" s="3" customFormat="1" x14ac:dyDescent="0.25">
      <c r="A237" s="6"/>
      <c r="B237" s="25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Q237" s="6"/>
      <c r="R237" s="6"/>
      <c r="S237" s="6"/>
      <c r="U237" s="1"/>
      <c r="V237" s="1"/>
      <c r="W237" s="1"/>
      <c r="X237" s="1"/>
      <c r="Y237" s="1"/>
    </row>
  </sheetData>
  <sheetProtection sheet="1" objects="1" scenarios="1"/>
  <mergeCells count="186">
    <mergeCell ref="D46:E46"/>
    <mergeCell ref="F46:G46"/>
    <mergeCell ref="H46:I46"/>
    <mergeCell ref="M46:N46"/>
    <mergeCell ref="B52:F57"/>
    <mergeCell ref="J52:N57"/>
    <mergeCell ref="D45:E45"/>
    <mergeCell ref="F45:G45"/>
    <mergeCell ref="H45:I45"/>
    <mergeCell ref="K45:L45"/>
    <mergeCell ref="M45:N45"/>
    <mergeCell ref="A45:C45"/>
    <mergeCell ref="M31:N31"/>
    <mergeCell ref="M32:N32"/>
    <mergeCell ref="M33:N33"/>
    <mergeCell ref="M34:N34"/>
    <mergeCell ref="M35:N35"/>
    <mergeCell ref="M36:N36"/>
    <mergeCell ref="M37:N37"/>
    <mergeCell ref="M40:N40"/>
    <mergeCell ref="M38:N38"/>
    <mergeCell ref="M39:N39"/>
    <mergeCell ref="R3:T3"/>
    <mergeCell ref="B5:K5"/>
    <mergeCell ref="L5:N5"/>
    <mergeCell ref="R5:T5"/>
    <mergeCell ref="K13:L13"/>
    <mergeCell ref="F15:N15"/>
    <mergeCell ref="A16:C16"/>
    <mergeCell ref="D16:E16"/>
    <mergeCell ref="F16:G16"/>
    <mergeCell ref="H16:I16"/>
    <mergeCell ref="K16:L16"/>
    <mergeCell ref="M16:N16"/>
    <mergeCell ref="C8:F8"/>
    <mergeCell ref="K8:N8"/>
    <mergeCell ref="C10:F10"/>
    <mergeCell ref="K10:N10"/>
    <mergeCell ref="C12:F12"/>
    <mergeCell ref="K12:L12"/>
    <mergeCell ref="D17:E17"/>
    <mergeCell ref="F17:G17"/>
    <mergeCell ref="H17:I17"/>
    <mergeCell ref="K17:L17"/>
    <mergeCell ref="M17:N17"/>
    <mergeCell ref="A17:C17"/>
    <mergeCell ref="A18:C18"/>
    <mergeCell ref="D2:K4"/>
    <mergeCell ref="L2:N4"/>
    <mergeCell ref="D19:E19"/>
    <mergeCell ref="F19:G19"/>
    <mergeCell ref="H19:I19"/>
    <mergeCell ref="K19:L19"/>
    <mergeCell ref="M19:N19"/>
    <mergeCell ref="A19:C19"/>
    <mergeCell ref="A20:C20"/>
    <mergeCell ref="D18:E18"/>
    <mergeCell ref="F18:G18"/>
    <mergeCell ref="H18:I18"/>
    <mergeCell ref="K18:L18"/>
    <mergeCell ref="M18:N18"/>
    <mergeCell ref="D21:E21"/>
    <mergeCell ref="F21:G21"/>
    <mergeCell ref="H21:I21"/>
    <mergeCell ref="K21:L21"/>
    <mergeCell ref="M21:N21"/>
    <mergeCell ref="A21:C21"/>
    <mergeCell ref="A22:C22"/>
    <mergeCell ref="D20:E20"/>
    <mergeCell ref="F20:G20"/>
    <mergeCell ref="H20:I20"/>
    <mergeCell ref="K20:L20"/>
    <mergeCell ref="M20:N20"/>
    <mergeCell ref="D23:E23"/>
    <mergeCell ref="F23:G23"/>
    <mergeCell ref="H23:I23"/>
    <mergeCell ref="K23:L23"/>
    <mergeCell ref="M23:N23"/>
    <mergeCell ref="A23:C23"/>
    <mergeCell ref="A24:C24"/>
    <mergeCell ref="D22:E22"/>
    <mergeCell ref="F22:G22"/>
    <mergeCell ref="H22:I22"/>
    <mergeCell ref="K22:L22"/>
    <mergeCell ref="M22:N22"/>
    <mergeCell ref="D25:E25"/>
    <mergeCell ref="F25:G25"/>
    <mergeCell ref="H25:I25"/>
    <mergeCell ref="K25:L25"/>
    <mergeCell ref="M25:N25"/>
    <mergeCell ref="A25:C25"/>
    <mergeCell ref="A26:C26"/>
    <mergeCell ref="D24:E24"/>
    <mergeCell ref="F24:G24"/>
    <mergeCell ref="H24:I24"/>
    <mergeCell ref="K24:L24"/>
    <mergeCell ref="M24:N24"/>
    <mergeCell ref="D27:E27"/>
    <mergeCell ref="F27:G27"/>
    <mergeCell ref="H27:I27"/>
    <mergeCell ref="K27:L27"/>
    <mergeCell ref="M27:N27"/>
    <mergeCell ref="A27:C27"/>
    <mergeCell ref="A28:C28"/>
    <mergeCell ref="D26:E26"/>
    <mergeCell ref="F26:G26"/>
    <mergeCell ref="H26:I26"/>
    <mergeCell ref="K26:L26"/>
    <mergeCell ref="M26:N26"/>
    <mergeCell ref="M30:N30"/>
    <mergeCell ref="D29:E29"/>
    <mergeCell ref="F29:G29"/>
    <mergeCell ref="H29:I29"/>
    <mergeCell ref="K29:L29"/>
    <mergeCell ref="M29:N29"/>
    <mergeCell ref="A29:C29"/>
    <mergeCell ref="A30:C30"/>
    <mergeCell ref="D28:E28"/>
    <mergeCell ref="F28:G28"/>
    <mergeCell ref="H28:I28"/>
    <mergeCell ref="K28:L28"/>
    <mergeCell ref="M28:N28"/>
    <mergeCell ref="D31:E31"/>
    <mergeCell ref="K31:L31"/>
    <mergeCell ref="D32:E32"/>
    <mergeCell ref="K32:L32"/>
    <mergeCell ref="A31:C31"/>
    <mergeCell ref="A32:C32"/>
    <mergeCell ref="A33:C33"/>
    <mergeCell ref="A34:C34"/>
    <mergeCell ref="D30:E30"/>
    <mergeCell ref="F30:G30"/>
    <mergeCell ref="H30:I30"/>
    <mergeCell ref="K30:L30"/>
    <mergeCell ref="D35:E35"/>
    <mergeCell ref="K35:L35"/>
    <mergeCell ref="D36:E36"/>
    <mergeCell ref="K36:L36"/>
    <mergeCell ref="A35:C35"/>
    <mergeCell ref="A36:C36"/>
    <mergeCell ref="A37:C37"/>
    <mergeCell ref="D33:E33"/>
    <mergeCell ref="K33:L33"/>
    <mergeCell ref="D34:E34"/>
    <mergeCell ref="K34:L34"/>
    <mergeCell ref="A38:C38"/>
    <mergeCell ref="A39:C39"/>
    <mergeCell ref="A40:C40"/>
    <mergeCell ref="D37:E37"/>
    <mergeCell ref="K37:L37"/>
    <mergeCell ref="D38:E38"/>
    <mergeCell ref="F38:G38"/>
    <mergeCell ref="H38:I38"/>
    <mergeCell ref="K38:L38"/>
    <mergeCell ref="D40:E40"/>
    <mergeCell ref="F40:G40"/>
    <mergeCell ref="H40:I40"/>
    <mergeCell ref="K40:L40"/>
    <mergeCell ref="D39:E39"/>
    <mergeCell ref="F39:G39"/>
    <mergeCell ref="H39:I39"/>
    <mergeCell ref="K39:L39"/>
    <mergeCell ref="A43:C43"/>
    <mergeCell ref="A44:C44"/>
    <mergeCell ref="D42:E42"/>
    <mergeCell ref="F42:G42"/>
    <mergeCell ref="H42:I42"/>
    <mergeCell ref="K42:L42"/>
    <mergeCell ref="M42:N42"/>
    <mergeCell ref="D41:E41"/>
    <mergeCell ref="F41:G41"/>
    <mergeCell ref="H41:I41"/>
    <mergeCell ref="K41:L41"/>
    <mergeCell ref="M41:N41"/>
    <mergeCell ref="A41:C41"/>
    <mergeCell ref="A42:C42"/>
    <mergeCell ref="D44:E44"/>
    <mergeCell ref="F44:G44"/>
    <mergeCell ref="H44:I44"/>
    <mergeCell ref="D43:E43"/>
    <mergeCell ref="F43:G43"/>
    <mergeCell ref="H43:I43"/>
    <mergeCell ref="K43:L43"/>
    <mergeCell ref="M43:N43"/>
    <mergeCell ref="K44:L44"/>
    <mergeCell ref="M44:N44"/>
  </mergeCells>
  <conditionalFormatting sqref="D17:D44">
    <cfRule type="expression" dxfId="37" priority="5">
      <formula>#REF!="Non"</formula>
    </cfRule>
    <cfRule type="expression" dxfId="36" priority="6">
      <formula>#REF!="Oui"</formula>
    </cfRule>
  </conditionalFormatting>
  <conditionalFormatting sqref="D45">
    <cfRule type="expression" dxfId="35" priority="3">
      <formula>#REF!="Non"</formula>
    </cfRule>
    <cfRule type="expression" dxfId="34" priority="4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2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99"/>
    <pageSetUpPr fitToPage="1"/>
  </sheetPr>
  <dimension ref="A1:BD237"/>
  <sheetViews>
    <sheetView topLeftCell="A22" zoomScale="90" zoomScaleNormal="90" workbookViewId="0">
      <selection activeCell="T39" sqref="T39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1.85546875" style="6" customWidth="1"/>
    <col min="4" max="4" width="8.42578125" style="6" customWidth="1"/>
    <col min="5" max="5" width="6.42578125" style="6" customWidth="1"/>
    <col min="6" max="6" width="5.42578125" style="6" customWidth="1"/>
    <col min="7" max="7" width="8" style="6" customWidth="1"/>
    <col min="8" max="8" width="5.85546875" style="6" customWidth="1"/>
    <col min="9" max="9" width="10" style="6" customWidth="1"/>
    <col min="10" max="10" width="14.42578125" style="6" customWidth="1"/>
    <col min="11" max="12" width="8.140625" style="6" customWidth="1"/>
    <col min="13" max="13" width="8" style="6" customWidth="1"/>
    <col min="14" max="14" width="10.42578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69</v>
      </c>
      <c r="E2" s="195"/>
      <c r="F2" s="195"/>
      <c r="G2" s="195"/>
      <c r="H2" s="195"/>
      <c r="I2" s="195"/>
      <c r="J2" s="195"/>
      <c r="K2" s="195"/>
      <c r="L2" s="251">
        <f>'Niveau 1 Sept'!L2:N4</f>
        <v>45536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6"/>
      <c r="Q3" s="4"/>
      <c r="R3" s="220"/>
      <c r="S3" s="220"/>
      <c r="T3" s="220"/>
      <c r="U3" s="36"/>
      <c r="V3" s="36"/>
      <c r="W3" s="36"/>
      <c r="X3" s="36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6"/>
      <c r="Q4" s="4"/>
      <c r="R4" s="36"/>
      <c r="S4" s="36"/>
      <c r="T4" s="36"/>
      <c r="U4" s="36"/>
      <c r="V4" s="36"/>
      <c r="W4" s="36"/>
      <c r="X4" s="36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f>+'Niveau 2 Sept'!L5:N5</f>
        <v>45531</v>
      </c>
      <c r="M5" s="222"/>
      <c r="N5" s="222"/>
      <c r="O5" s="3"/>
      <c r="P5" s="36"/>
      <c r="Q5" s="5"/>
      <c r="R5" s="220"/>
      <c r="S5" s="220"/>
      <c r="T5" s="220"/>
      <c r="U5" s="36"/>
      <c r="V5" s="36"/>
      <c r="W5" s="36"/>
      <c r="X5" s="36"/>
      <c r="Y5" s="5"/>
    </row>
    <row r="6" spans="1:25" ht="19.5" customHeight="1" x14ac:dyDescent="0.35">
      <c r="A6" s="46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36"/>
      <c r="V6" s="36"/>
      <c r="W6" s="36"/>
      <c r="X6" s="36"/>
      <c r="Y6" s="5"/>
    </row>
    <row r="7" spans="1:25" ht="19.5" customHeight="1" thickBot="1" x14ac:dyDescent="0.4">
      <c r="A7" s="48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38"/>
      <c r="V7" s="38"/>
      <c r="W7" s="38"/>
      <c r="X7" s="38"/>
      <c r="Y7" s="5"/>
    </row>
    <row r="8" spans="1:25" ht="18" customHeight="1" thickBot="1" x14ac:dyDescent="0.3">
      <c r="A8" s="8" t="s">
        <v>2</v>
      </c>
      <c r="B8" s="24"/>
      <c r="C8" s="324"/>
      <c r="D8" s="325"/>
      <c r="E8" s="325"/>
      <c r="F8" s="326"/>
      <c r="G8" s="9"/>
      <c r="H8" s="8" t="s">
        <v>26</v>
      </c>
      <c r="I8" s="8"/>
      <c r="J8" s="8"/>
      <c r="K8" s="324"/>
      <c r="L8" s="325"/>
      <c r="M8" s="325"/>
      <c r="N8" s="326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324"/>
      <c r="D10" s="325"/>
      <c r="E10" s="325"/>
      <c r="F10" s="326"/>
      <c r="G10" s="9"/>
      <c r="H10" s="8" t="s">
        <v>25</v>
      </c>
      <c r="I10" s="8"/>
      <c r="J10" s="8"/>
      <c r="K10" s="324"/>
      <c r="L10" s="325"/>
      <c r="M10" s="325"/>
      <c r="N10" s="326"/>
      <c r="O10" s="26"/>
      <c r="P10" s="26"/>
      <c r="Q10" s="26"/>
      <c r="R10" s="26"/>
      <c r="S10" s="26"/>
      <c r="T10" s="26"/>
      <c r="U10" s="11"/>
    </row>
    <row r="11" spans="1:25" ht="18" customHeight="1" thickBot="1" x14ac:dyDescent="0.35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8" customHeight="1" thickBot="1" x14ac:dyDescent="0.35">
      <c r="A12" s="8" t="s">
        <v>49</v>
      </c>
      <c r="B12" s="24"/>
      <c r="C12" s="324" t="s">
        <v>50</v>
      </c>
      <c r="D12" s="325"/>
      <c r="E12" s="325"/>
      <c r="F12" s="326"/>
      <c r="G12" s="24"/>
      <c r="H12" s="8" t="s">
        <v>52</v>
      </c>
      <c r="I12" s="8"/>
      <c r="J12" s="24"/>
      <c r="K12" s="346"/>
      <c r="L12" s="347"/>
      <c r="M12" s="8" t="s">
        <v>59</v>
      </c>
      <c r="N12" s="24"/>
      <c r="O12" s="26"/>
      <c r="P12" s="26"/>
      <c r="Q12" s="26"/>
      <c r="R12" s="26"/>
      <c r="S12" s="26"/>
      <c r="T12" s="26"/>
      <c r="U12" s="11"/>
    </row>
    <row r="13" spans="1:25" ht="18" customHeight="1" thickBot="1" x14ac:dyDescent="0.35">
      <c r="A13" s="8"/>
      <c r="B13" s="24"/>
      <c r="C13" s="24"/>
      <c r="D13" s="24"/>
      <c r="E13" s="24"/>
      <c r="F13" s="24"/>
      <c r="G13" s="24"/>
      <c r="H13" s="8" t="s">
        <v>51</v>
      </c>
      <c r="I13" s="8"/>
      <c r="J13" s="24"/>
      <c r="K13" s="344"/>
      <c r="L13" s="345"/>
      <c r="M13" s="32" t="s">
        <v>60</v>
      </c>
      <c r="N13" s="24"/>
      <c r="O13" s="26"/>
      <c r="P13" s="26"/>
      <c r="Q13" s="26"/>
      <c r="R13" s="26"/>
      <c r="S13" s="26"/>
      <c r="T13" s="26"/>
      <c r="U13" s="11"/>
    </row>
    <row r="14" spans="1:25" ht="13.5" customHeight="1" thickBot="1" x14ac:dyDescent="0.35">
      <c r="A14" s="8" t="s">
        <v>70</v>
      </c>
      <c r="B14" s="24"/>
      <c r="C14" s="24"/>
      <c r="D14" s="24"/>
      <c r="E14" s="24"/>
      <c r="F14" s="24"/>
      <c r="G14" s="9"/>
      <c r="H14" s="8"/>
      <c r="I14" s="8"/>
      <c r="J14" s="8"/>
      <c r="K14" s="8"/>
      <c r="L14" s="8"/>
      <c r="M14" s="8"/>
      <c r="N14" s="8"/>
      <c r="O14" s="26"/>
      <c r="P14" s="26"/>
      <c r="Q14" s="26"/>
      <c r="R14" s="26"/>
      <c r="S14" s="26"/>
      <c r="T14" s="26"/>
      <c r="U14" s="11"/>
    </row>
    <row r="15" spans="1:25" ht="22.5" customHeight="1" thickBot="1" x14ac:dyDescent="0.35">
      <c r="A15" s="8"/>
      <c r="B15" s="24"/>
      <c r="C15" s="10"/>
      <c r="D15" s="10"/>
      <c r="E15" s="10"/>
      <c r="F15" s="262" t="s">
        <v>28</v>
      </c>
      <c r="G15" s="263"/>
      <c r="H15" s="263"/>
      <c r="I15" s="263"/>
      <c r="J15" s="263"/>
      <c r="K15" s="263"/>
      <c r="L15" s="263"/>
      <c r="M15" s="263"/>
      <c r="N15" s="264"/>
      <c r="O15" s="26"/>
      <c r="P15" s="26"/>
      <c r="Q15" s="26"/>
      <c r="R15" s="26"/>
      <c r="S15" s="26"/>
      <c r="T15" s="26"/>
      <c r="U15" s="11"/>
    </row>
    <row r="16" spans="1:25" s="19" customFormat="1" ht="54.75" customHeight="1" x14ac:dyDescent="0.25">
      <c r="A16" s="200" t="s">
        <v>1</v>
      </c>
      <c r="B16" s="201"/>
      <c r="C16" s="202"/>
      <c r="D16" s="203" t="s">
        <v>58</v>
      </c>
      <c r="E16" s="204"/>
      <c r="F16" s="265" t="s">
        <v>29</v>
      </c>
      <c r="G16" s="265"/>
      <c r="H16" s="266" t="s">
        <v>61</v>
      </c>
      <c r="I16" s="267"/>
      <c r="J16" s="37" t="s">
        <v>63</v>
      </c>
      <c r="K16" s="268" t="s">
        <v>64</v>
      </c>
      <c r="L16" s="269"/>
      <c r="M16" s="266" t="s">
        <v>30</v>
      </c>
      <c r="N16" s="267"/>
      <c r="O16" s="26"/>
      <c r="P16" s="26"/>
      <c r="Q16" s="26"/>
      <c r="R16" s="26"/>
      <c r="S16" s="26"/>
      <c r="T16" s="26"/>
      <c r="U16" s="20"/>
      <c r="V16" s="20"/>
      <c r="W16" s="20"/>
      <c r="X16" s="21"/>
    </row>
    <row r="17" spans="1:24" s="3" customFormat="1" ht="15.75" x14ac:dyDescent="0.25">
      <c r="A17" s="191">
        <v>45502</v>
      </c>
      <c r="B17" s="286"/>
      <c r="C17" s="287"/>
      <c r="D17" s="359"/>
      <c r="E17" s="359"/>
      <c r="F17" s="360"/>
      <c r="G17" s="361"/>
      <c r="H17" s="362"/>
      <c r="I17" s="363"/>
      <c r="J17" s="58"/>
      <c r="K17" s="364"/>
      <c r="L17" s="364"/>
      <c r="M17" s="384">
        <f t="shared" ref="M17" si="0">+K17-J17</f>
        <v>0</v>
      </c>
      <c r="N17" s="384"/>
      <c r="O17" s="26"/>
      <c r="P17" s="26"/>
      <c r="Q17" s="26"/>
      <c r="R17" s="26"/>
      <c r="S17" s="26"/>
      <c r="T17" s="26"/>
      <c r="U17" s="13"/>
      <c r="V17" s="13"/>
      <c r="W17" s="13"/>
      <c r="X17" s="1"/>
    </row>
    <row r="18" spans="1:24" s="3" customFormat="1" ht="15.75" x14ac:dyDescent="0.25">
      <c r="A18" s="191">
        <v>45503</v>
      </c>
      <c r="B18" s="286"/>
      <c r="C18" s="287"/>
      <c r="D18" s="359"/>
      <c r="E18" s="359"/>
      <c r="F18" s="360"/>
      <c r="G18" s="361"/>
      <c r="H18" s="362"/>
      <c r="I18" s="363"/>
      <c r="J18" s="58"/>
      <c r="K18" s="364"/>
      <c r="L18" s="364"/>
      <c r="M18" s="384">
        <f t="shared" ref="M18:M44" si="1">+K18-J18</f>
        <v>0</v>
      </c>
      <c r="N18" s="384"/>
      <c r="P18" s="26"/>
      <c r="Q18" s="26"/>
      <c r="R18" s="26"/>
      <c r="S18" s="26"/>
      <c r="T18" s="26"/>
      <c r="U18" s="13"/>
      <c r="V18" s="13"/>
      <c r="W18" s="13"/>
      <c r="X18" s="1"/>
    </row>
    <row r="19" spans="1:24" s="3" customFormat="1" ht="15.75" x14ac:dyDescent="0.25">
      <c r="A19" s="191">
        <v>45504</v>
      </c>
      <c r="B19" s="286"/>
      <c r="C19" s="287"/>
      <c r="D19" s="359"/>
      <c r="E19" s="359"/>
      <c r="F19" s="360"/>
      <c r="G19" s="361"/>
      <c r="H19" s="362"/>
      <c r="I19" s="363"/>
      <c r="J19" s="58"/>
      <c r="K19" s="364"/>
      <c r="L19" s="364"/>
      <c r="M19" s="384">
        <f t="shared" si="1"/>
        <v>0</v>
      </c>
      <c r="N19" s="384"/>
      <c r="P19" s="26"/>
      <c r="Q19" s="26"/>
      <c r="R19" s="26"/>
      <c r="S19" s="26"/>
      <c r="T19" s="26"/>
      <c r="U19" s="26"/>
      <c r="V19" s="13"/>
      <c r="W19" s="13"/>
      <c r="X19" s="1"/>
    </row>
    <row r="20" spans="1:24" s="3" customFormat="1" x14ac:dyDescent="0.25">
      <c r="A20" s="191">
        <v>45505</v>
      </c>
      <c r="B20" s="286"/>
      <c r="C20" s="287"/>
      <c r="D20" s="359"/>
      <c r="E20" s="359"/>
      <c r="F20" s="360"/>
      <c r="G20" s="361"/>
      <c r="H20" s="362"/>
      <c r="I20" s="363"/>
      <c r="J20" s="58"/>
      <c r="K20" s="364"/>
      <c r="L20" s="364"/>
      <c r="M20" s="384">
        <f t="shared" si="1"/>
        <v>0</v>
      </c>
      <c r="N20" s="384"/>
      <c r="P20" s="12"/>
      <c r="Q20" s="12"/>
      <c r="R20" s="12"/>
      <c r="S20" s="12"/>
      <c r="T20" s="13"/>
      <c r="U20" s="13"/>
      <c r="V20" s="13"/>
      <c r="W20" s="13"/>
      <c r="X20" s="1"/>
    </row>
    <row r="21" spans="1:24" s="3" customFormat="1" x14ac:dyDescent="0.25">
      <c r="A21" s="191">
        <v>45506</v>
      </c>
      <c r="B21" s="286"/>
      <c r="C21" s="287"/>
      <c r="D21" s="359"/>
      <c r="E21" s="359"/>
      <c r="F21" s="360"/>
      <c r="G21" s="361"/>
      <c r="H21" s="362"/>
      <c r="I21" s="363"/>
      <c r="J21" s="58"/>
      <c r="K21" s="364"/>
      <c r="L21" s="364"/>
      <c r="M21" s="384">
        <f t="shared" si="1"/>
        <v>0</v>
      </c>
      <c r="N21" s="384"/>
      <c r="P21" s="12"/>
      <c r="Q21" s="12"/>
      <c r="R21" s="12"/>
      <c r="S21" s="12"/>
      <c r="T21" s="13"/>
      <c r="U21" s="13"/>
      <c r="V21" s="13"/>
      <c r="W21" s="13"/>
      <c r="X21" s="1"/>
    </row>
    <row r="22" spans="1:24" s="3" customFormat="1" x14ac:dyDescent="0.25">
      <c r="A22" s="191">
        <v>45507</v>
      </c>
      <c r="B22" s="286"/>
      <c r="C22" s="287"/>
      <c r="D22" s="359"/>
      <c r="E22" s="359"/>
      <c r="F22" s="360"/>
      <c r="G22" s="361"/>
      <c r="H22" s="362"/>
      <c r="I22" s="363"/>
      <c r="J22" s="58"/>
      <c r="K22" s="364"/>
      <c r="L22" s="364"/>
      <c r="M22" s="384">
        <f t="shared" si="1"/>
        <v>0</v>
      </c>
      <c r="N22" s="384"/>
      <c r="P22" s="12"/>
      <c r="Q22" s="12"/>
      <c r="R22" s="12"/>
      <c r="S22" s="12"/>
      <c r="T22" s="13"/>
      <c r="U22" s="13"/>
      <c r="V22" s="13"/>
      <c r="W22" s="13"/>
      <c r="X22" s="1"/>
    </row>
    <row r="23" spans="1:24" s="3" customFormat="1" x14ac:dyDescent="0.25">
      <c r="A23" s="191">
        <v>45508</v>
      </c>
      <c r="B23" s="286"/>
      <c r="C23" s="287"/>
      <c r="D23" s="359"/>
      <c r="E23" s="359"/>
      <c r="F23" s="360"/>
      <c r="G23" s="361"/>
      <c r="H23" s="362"/>
      <c r="I23" s="363"/>
      <c r="J23" s="58"/>
      <c r="K23" s="364"/>
      <c r="L23" s="364"/>
      <c r="M23" s="384">
        <f t="shared" si="1"/>
        <v>0</v>
      </c>
      <c r="N23" s="384"/>
      <c r="P23" s="12"/>
      <c r="Q23" s="12"/>
      <c r="R23" s="12"/>
      <c r="S23" s="12"/>
      <c r="T23" s="13"/>
      <c r="U23" s="13"/>
      <c r="V23" s="13"/>
      <c r="W23" s="13"/>
      <c r="X23" s="1"/>
    </row>
    <row r="24" spans="1:24" s="3" customFormat="1" x14ac:dyDescent="0.25">
      <c r="A24" s="191">
        <v>45509</v>
      </c>
      <c r="B24" s="286"/>
      <c r="C24" s="287"/>
      <c r="D24" s="359"/>
      <c r="E24" s="359"/>
      <c r="F24" s="360"/>
      <c r="G24" s="361"/>
      <c r="H24" s="362"/>
      <c r="I24" s="363"/>
      <c r="J24" s="58"/>
      <c r="K24" s="364"/>
      <c r="L24" s="364"/>
      <c r="M24" s="384">
        <f t="shared" si="1"/>
        <v>0</v>
      </c>
      <c r="N24" s="384"/>
      <c r="P24" s="12"/>
      <c r="Q24" s="12"/>
      <c r="R24" s="12"/>
      <c r="S24" s="12"/>
      <c r="T24" s="13"/>
      <c r="U24" s="13"/>
      <c r="V24" s="13"/>
      <c r="W24" s="13"/>
      <c r="X24" s="1"/>
    </row>
    <row r="25" spans="1:24" s="3" customFormat="1" x14ac:dyDescent="0.25">
      <c r="A25" s="191">
        <v>45510</v>
      </c>
      <c r="B25" s="286"/>
      <c r="C25" s="287"/>
      <c r="D25" s="359"/>
      <c r="E25" s="359"/>
      <c r="F25" s="360"/>
      <c r="G25" s="361"/>
      <c r="H25" s="362"/>
      <c r="I25" s="363"/>
      <c r="J25" s="58"/>
      <c r="K25" s="364"/>
      <c r="L25" s="364"/>
      <c r="M25" s="384">
        <f t="shared" si="1"/>
        <v>0</v>
      </c>
      <c r="N25" s="384"/>
      <c r="P25" s="12"/>
      <c r="Q25" s="12"/>
      <c r="R25" s="12"/>
      <c r="S25" s="12"/>
      <c r="T25" s="13"/>
      <c r="U25" s="13"/>
      <c r="V25" s="13"/>
      <c r="W25" s="13"/>
      <c r="X25" s="1"/>
    </row>
    <row r="26" spans="1:24" s="3" customFormat="1" x14ac:dyDescent="0.25">
      <c r="A26" s="191">
        <v>45511</v>
      </c>
      <c r="B26" s="286"/>
      <c r="C26" s="287"/>
      <c r="D26" s="359"/>
      <c r="E26" s="359"/>
      <c r="F26" s="360"/>
      <c r="G26" s="361"/>
      <c r="H26" s="362"/>
      <c r="I26" s="363"/>
      <c r="J26" s="58"/>
      <c r="K26" s="364"/>
      <c r="L26" s="364"/>
      <c r="M26" s="384">
        <f t="shared" si="1"/>
        <v>0</v>
      </c>
      <c r="N26" s="384"/>
      <c r="P26" s="12"/>
      <c r="Q26" s="12"/>
      <c r="R26" s="12"/>
      <c r="S26" s="12"/>
      <c r="T26" s="13"/>
      <c r="U26" s="13"/>
      <c r="V26" s="13"/>
      <c r="W26" s="13"/>
      <c r="X26" s="1"/>
    </row>
    <row r="27" spans="1:24" s="3" customFormat="1" x14ac:dyDescent="0.25">
      <c r="A27" s="191">
        <v>45512</v>
      </c>
      <c r="B27" s="286"/>
      <c r="C27" s="287"/>
      <c r="D27" s="359"/>
      <c r="E27" s="359"/>
      <c r="F27" s="360"/>
      <c r="G27" s="361"/>
      <c r="H27" s="362"/>
      <c r="I27" s="363"/>
      <c r="J27" s="58"/>
      <c r="K27" s="364"/>
      <c r="L27" s="364"/>
      <c r="M27" s="384">
        <f t="shared" si="1"/>
        <v>0</v>
      </c>
      <c r="N27" s="384"/>
      <c r="P27" s="12"/>
      <c r="Q27" s="15"/>
      <c r="R27" s="15"/>
      <c r="S27" s="15"/>
      <c r="T27" s="13"/>
      <c r="U27" s="13"/>
      <c r="V27" s="13"/>
      <c r="W27" s="13"/>
      <c r="X27" s="1"/>
    </row>
    <row r="28" spans="1:24" s="3" customFormat="1" x14ac:dyDescent="0.25">
      <c r="A28" s="191">
        <v>45513</v>
      </c>
      <c r="B28" s="286"/>
      <c r="C28" s="287"/>
      <c r="D28" s="359"/>
      <c r="E28" s="359"/>
      <c r="F28" s="360"/>
      <c r="G28" s="361"/>
      <c r="H28" s="362"/>
      <c r="I28" s="363"/>
      <c r="J28" s="58"/>
      <c r="K28" s="364"/>
      <c r="L28" s="364"/>
      <c r="M28" s="384">
        <f t="shared" si="1"/>
        <v>0</v>
      </c>
      <c r="N28" s="384"/>
      <c r="P28" s="12"/>
      <c r="Q28" s="15"/>
      <c r="R28" s="15"/>
      <c r="S28" s="15"/>
      <c r="T28" s="13"/>
      <c r="U28" s="13"/>
      <c r="V28" s="13"/>
      <c r="W28" s="13"/>
      <c r="X28" s="1"/>
    </row>
    <row r="29" spans="1:24" s="3" customFormat="1" x14ac:dyDescent="0.25">
      <c r="A29" s="191">
        <v>45514</v>
      </c>
      <c r="B29" s="286"/>
      <c r="C29" s="287"/>
      <c r="D29" s="359"/>
      <c r="E29" s="359"/>
      <c r="F29" s="360"/>
      <c r="G29" s="361"/>
      <c r="H29" s="362"/>
      <c r="I29" s="363"/>
      <c r="J29" s="58"/>
      <c r="K29" s="364"/>
      <c r="L29" s="364"/>
      <c r="M29" s="384">
        <f t="shared" si="1"/>
        <v>0</v>
      </c>
      <c r="N29" s="384"/>
      <c r="P29" s="12"/>
      <c r="Q29" s="15"/>
      <c r="R29" s="15"/>
      <c r="S29" s="15"/>
      <c r="T29" s="13"/>
      <c r="U29" s="13"/>
      <c r="V29" s="13"/>
      <c r="W29" s="13"/>
      <c r="X29" s="1"/>
    </row>
    <row r="30" spans="1:24" s="3" customFormat="1" x14ac:dyDescent="0.25">
      <c r="A30" s="191">
        <v>45515</v>
      </c>
      <c r="B30" s="286"/>
      <c r="C30" s="287"/>
      <c r="D30" s="359"/>
      <c r="E30" s="359"/>
      <c r="F30" s="360"/>
      <c r="G30" s="361"/>
      <c r="H30" s="362"/>
      <c r="I30" s="363"/>
      <c r="J30" s="58"/>
      <c r="K30" s="364"/>
      <c r="L30" s="364"/>
      <c r="M30" s="384">
        <f t="shared" si="1"/>
        <v>0</v>
      </c>
      <c r="N30" s="384"/>
      <c r="O30" s="1"/>
      <c r="P30" s="12"/>
      <c r="Q30" s="15"/>
      <c r="R30" s="15"/>
      <c r="S30" s="15"/>
      <c r="T30" s="13"/>
      <c r="U30" s="13"/>
      <c r="V30" s="13"/>
      <c r="W30" s="13"/>
      <c r="X30" s="1"/>
    </row>
    <row r="31" spans="1:24" s="3" customFormat="1" x14ac:dyDescent="0.25">
      <c r="A31" s="191">
        <v>45516</v>
      </c>
      <c r="B31" s="286"/>
      <c r="C31" s="287"/>
      <c r="D31" s="372"/>
      <c r="E31" s="373"/>
      <c r="F31" s="59"/>
      <c r="G31" s="60"/>
      <c r="H31" s="61"/>
      <c r="I31" s="62"/>
      <c r="J31" s="58"/>
      <c r="K31" s="374"/>
      <c r="L31" s="375"/>
      <c r="M31" s="384">
        <f t="shared" si="1"/>
        <v>0</v>
      </c>
      <c r="N31" s="384"/>
      <c r="O31" s="1"/>
      <c r="P31" s="12"/>
      <c r="Q31" s="15"/>
      <c r="R31" s="15"/>
      <c r="S31" s="15"/>
      <c r="T31" s="13"/>
      <c r="U31" s="13"/>
      <c r="V31" s="13"/>
      <c r="W31" s="13"/>
      <c r="X31" s="1"/>
    </row>
    <row r="32" spans="1:24" s="3" customFormat="1" x14ac:dyDescent="0.25">
      <c r="A32" s="191">
        <v>45517</v>
      </c>
      <c r="B32" s="286"/>
      <c r="C32" s="287"/>
      <c r="D32" s="372"/>
      <c r="E32" s="373"/>
      <c r="F32" s="59"/>
      <c r="G32" s="60"/>
      <c r="H32" s="61"/>
      <c r="I32" s="62"/>
      <c r="J32" s="58"/>
      <c r="K32" s="374"/>
      <c r="L32" s="375"/>
      <c r="M32" s="384">
        <f t="shared" si="1"/>
        <v>0</v>
      </c>
      <c r="N32" s="384"/>
      <c r="O32" s="1"/>
      <c r="P32" s="12"/>
      <c r="Q32" s="15"/>
      <c r="R32" s="15"/>
      <c r="S32" s="15"/>
      <c r="T32" s="13"/>
      <c r="U32" s="13"/>
      <c r="V32" s="13"/>
      <c r="W32" s="13"/>
      <c r="X32" s="1"/>
    </row>
    <row r="33" spans="1:24" s="3" customFormat="1" x14ac:dyDescent="0.25">
      <c r="A33" s="191">
        <v>45518</v>
      </c>
      <c r="B33" s="286"/>
      <c r="C33" s="287"/>
      <c r="D33" s="372"/>
      <c r="E33" s="373"/>
      <c r="F33" s="59"/>
      <c r="G33" s="60"/>
      <c r="H33" s="61"/>
      <c r="I33" s="62"/>
      <c r="J33" s="58"/>
      <c r="K33" s="374"/>
      <c r="L33" s="375"/>
      <c r="M33" s="384">
        <f t="shared" si="1"/>
        <v>0</v>
      </c>
      <c r="N33" s="384"/>
      <c r="O33" s="1"/>
      <c r="P33" s="12"/>
      <c r="Q33" s="15"/>
      <c r="R33" s="15"/>
      <c r="S33" s="15"/>
      <c r="T33" s="13"/>
      <c r="U33" s="13"/>
      <c r="V33" s="13"/>
      <c r="W33" s="13"/>
      <c r="X33" s="1"/>
    </row>
    <row r="34" spans="1:24" s="3" customFormat="1" x14ac:dyDescent="0.25">
      <c r="A34" s="191">
        <v>45519</v>
      </c>
      <c r="B34" s="286"/>
      <c r="C34" s="287"/>
      <c r="D34" s="372"/>
      <c r="E34" s="373"/>
      <c r="F34" s="59"/>
      <c r="G34" s="60"/>
      <c r="H34" s="61"/>
      <c r="I34" s="62"/>
      <c r="J34" s="58"/>
      <c r="K34" s="374"/>
      <c r="L34" s="375"/>
      <c r="M34" s="384">
        <f t="shared" si="1"/>
        <v>0</v>
      </c>
      <c r="N34" s="384"/>
      <c r="O34" s="1"/>
      <c r="P34" s="12"/>
      <c r="Q34" s="15"/>
      <c r="R34" s="15"/>
      <c r="S34" s="15"/>
      <c r="T34" s="13"/>
      <c r="U34" s="13"/>
      <c r="V34" s="13"/>
      <c r="W34" s="13"/>
      <c r="X34" s="1"/>
    </row>
    <row r="35" spans="1:24" s="3" customFormat="1" x14ac:dyDescent="0.25">
      <c r="A35" s="191">
        <v>45520</v>
      </c>
      <c r="B35" s="286"/>
      <c r="C35" s="287"/>
      <c r="D35" s="372"/>
      <c r="E35" s="373"/>
      <c r="F35" s="59"/>
      <c r="G35" s="60"/>
      <c r="H35" s="61"/>
      <c r="I35" s="62"/>
      <c r="J35" s="58"/>
      <c r="K35" s="374"/>
      <c r="L35" s="375"/>
      <c r="M35" s="384">
        <f t="shared" si="1"/>
        <v>0</v>
      </c>
      <c r="N35" s="384"/>
      <c r="O35" s="1"/>
      <c r="P35" s="12"/>
      <c r="Q35" s="15"/>
      <c r="R35" s="15"/>
      <c r="S35" s="15"/>
      <c r="T35" s="13"/>
      <c r="U35" s="13"/>
      <c r="V35" s="13"/>
      <c r="W35" s="13"/>
      <c r="X35" s="1"/>
    </row>
    <row r="36" spans="1:24" s="3" customFormat="1" x14ac:dyDescent="0.25">
      <c r="A36" s="191">
        <v>45521</v>
      </c>
      <c r="B36" s="286"/>
      <c r="C36" s="287"/>
      <c r="D36" s="372"/>
      <c r="E36" s="373"/>
      <c r="F36" s="59"/>
      <c r="G36" s="60"/>
      <c r="H36" s="61"/>
      <c r="I36" s="62"/>
      <c r="J36" s="58"/>
      <c r="K36" s="374"/>
      <c r="L36" s="375"/>
      <c r="M36" s="384">
        <f t="shared" si="1"/>
        <v>0</v>
      </c>
      <c r="N36" s="384"/>
      <c r="O36" s="1"/>
      <c r="P36" s="12"/>
      <c r="Q36" s="15"/>
      <c r="R36" s="15"/>
      <c r="S36" s="15"/>
      <c r="T36" s="13"/>
      <c r="U36" s="13"/>
      <c r="V36" s="13"/>
      <c r="W36" s="13"/>
      <c r="X36" s="1"/>
    </row>
    <row r="37" spans="1:24" s="3" customFormat="1" x14ac:dyDescent="0.25">
      <c r="A37" s="191">
        <v>45522</v>
      </c>
      <c r="B37" s="286"/>
      <c r="C37" s="287"/>
      <c r="D37" s="372"/>
      <c r="E37" s="373"/>
      <c r="F37" s="59"/>
      <c r="G37" s="60"/>
      <c r="H37" s="61"/>
      <c r="I37" s="62"/>
      <c r="J37" s="58"/>
      <c r="K37" s="374"/>
      <c r="L37" s="375"/>
      <c r="M37" s="384">
        <f t="shared" si="1"/>
        <v>0</v>
      </c>
      <c r="N37" s="384"/>
      <c r="O37" s="1"/>
      <c r="P37" s="12"/>
      <c r="Q37" s="15"/>
      <c r="R37" s="15"/>
      <c r="S37" s="15"/>
      <c r="T37" s="13"/>
      <c r="U37" s="13"/>
      <c r="V37" s="13"/>
      <c r="W37" s="13"/>
      <c r="X37" s="1"/>
    </row>
    <row r="38" spans="1:24" s="3" customFormat="1" x14ac:dyDescent="0.25">
      <c r="A38" s="191">
        <v>45523</v>
      </c>
      <c r="B38" s="286"/>
      <c r="C38" s="287"/>
      <c r="D38" s="359"/>
      <c r="E38" s="359"/>
      <c r="F38" s="360"/>
      <c r="G38" s="361"/>
      <c r="H38" s="362"/>
      <c r="I38" s="363"/>
      <c r="J38" s="58"/>
      <c r="K38" s="364"/>
      <c r="L38" s="364"/>
      <c r="M38" s="384">
        <f t="shared" si="1"/>
        <v>0</v>
      </c>
      <c r="N38" s="384"/>
      <c r="P38" s="12"/>
      <c r="Q38" s="15"/>
      <c r="R38" s="15"/>
      <c r="S38" s="15"/>
      <c r="T38" s="13"/>
      <c r="U38" s="13"/>
      <c r="V38" s="13"/>
      <c r="W38" s="13"/>
      <c r="X38" s="1"/>
    </row>
    <row r="39" spans="1:24" s="3" customFormat="1" x14ac:dyDescent="0.25">
      <c r="A39" s="191">
        <v>45524</v>
      </c>
      <c r="B39" s="286"/>
      <c r="C39" s="287"/>
      <c r="D39" s="359"/>
      <c r="E39" s="359"/>
      <c r="F39" s="360"/>
      <c r="G39" s="361"/>
      <c r="H39" s="362"/>
      <c r="I39" s="363"/>
      <c r="J39" s="58"/>
      <c r="K39" s="364"/>
      <c r="L39" s="364"/>
      <c r="M39" s="384">
        <f t="shared" si="1"/>
        <v>0</v>
      </c>
      <c r="N39" s="384"/>
      <c r="P39" s="12"/>
      <c r="Q39" s="15"/>
      <c r="R39" s="15"/>
      <c r="S39" s="15"/>
      <c r="T39" s="13"/>
      <c r="U39" s="13"/>
      <c r="V39" s="13"/>
      <c r="W39" s="13"/>
      <c r="X39" s="1"/>
    </row>
    <row r="40" spans="1:24" s="3" customFormat="1" x14ac:dyDescent="0.25">
      <c r="A40" s="191">
        <v>45525</v>
      </c>
      <c r="B40" s="286"/>
      <c r="C40" s="287"/>
      <c r="D40" s="359"/>
      <c r="E40" s="359"/>
      <c r="F40" s="360"/>
      <c r="G40" s="361"/>
      <c r="H40" s="362"/>
      <c r="I40" s="363"/>
      <c r="J40" s="58"/>
      <c r="K40" s="364"/>
      <c r="L40" s="364"/>
      <c r="M40" s="384">
        <f t="shared" si="1"/>
        <v>0</v>
      </c>
      <c r="N40" s="384"/>
      <c r="P40" s="12"/>
      <c r="Q40" s="15"/>
      <c r="R40" s="15"/>
      <c r="S40" s="15"/>
      <c r="T40" s="13"/>
      <c r="U40" s="13"/>
      <c r="V40" s="13"/>
      <c r="W40" s="13"/>
      <c r="X40" s="1"/>
    </row>
    <row r="41" spans="1:24" s="3" customFormat="1" x14ac:dyDescent="0.25">
      <c r="A41" s="191">
        <v>45526</v>
      </c>
      <c r="B41" s="286"/>
      <c r="C41" s="287"/>
      <c r="D41" s="359"/>
      <c r="E41" s="359"/>
      <c r="F41" s="360"/>
      <c r="G41" s="361"/>
      <c r="H41" s="362"/>
      <c r="I41" s="363"/>
      <c r="J41" s="58"/>
      <c r="K41" s="364"/>
      <c r="L41" s="364"/>
      <c r="M41" s="384">
        <f t="shared" si="1"/>
        <v>0</v>
      </c>
      <c r="N41" s="384"/>
      <c r="P41" s="12"/>
      <c r="Q41" s="15"/>
      <c r="R41" s="15"/>
      <c r="S41" s="15"/>
      <c r="T41" s="13"/>
      <c r="U41" s="13"/>
      <c r="V41" s="13"/>
      <c r="W41" s="13"/>
      <c r="X41" s="1"/>
    </row>
    <row r="42" spans="1:24" s="3" customFormat="1" x14ac:dyDescent="0.25">
      <c r="A42" s="191">
        <v>45527</v>
      </c>
      <c r="B42" s="286"/>
      <c r="C42" s="287"/>
      <c r="D42" s="359"/>
      <c r="E42" s="359"/>
      <c r="F42" s="360"/>
      <c r="G42" s="361"/>
      <c r="H42" s="362"/>
      <c r="I42" s="363"/>
      <c r="J42" s="58"/>
      <c r="K42" s="364"/>
      <c r="L42" s="364"/>
      <c r="M42" s="384">
        <f t="shared" si="1"/>
        <v>0</v>
      </c>
      <c r="N42" s="384"/>
      <c r="P42" s="12"/>
      <c r="Q42" s="15"/>
      <c r="R42" s="15"/>
      <c r="S42" s="15"/>
      <c r="T42" s="13"/>
      <c r="U42" s="13"/>
      <c r="V42" s="13"/>
      <c r="W42" s="13"/>
      <c r="X42" s="1"/>
    </row>
    <row r="43" spans="1:24" s="3" customFormat="1" x14ac:dyDescent="0.25">
      <c r="A43" s="191">
        <v>45528</v>
      </c>
      <c r="B43" s="286"/>
      <c r="C43" s="287"/>
      <c r="D43" s="359"/>
      <c r="E43" s="359"/>
      <c r="F43" s="360"/>
      <c r="G43" s="361"/>
      <c r="H43" s="362"/>
      <c r="I43" s="363"/>
      <c r="J43" s="58"/>
      <c r="K43" s="364"/>
      <c r="L43" s="364"/>
      <c r="M43" s="384">
        <f t="shared" si="1"/>
        <v>0</v>
      </c>
      <c r="N43" s="384"/>
      <c r="P43" s="12"/>
      <c r="Q43" s="15"/>
      <c r="R43" s="15"/>
      <c r="S43" s="15"/>
      <c r="T43" s="13"/>
      <c r="U43" s="13"/>
      <c r="V43" s="13"/>
      <c r="W43" s="13"/>
      <c r="X43" s="1"/>
    </row>
    <row r="44" spans="1:24" s="3" customFormat="1" x14ac:dyDescent="0.25">
      <c r="A44" s="191">
        <v>45529</v>
      </c>
      <c r="B44" s="286"/>
      <c r="C44" s="287"/>
      <c r="D44" s="359"/>
      <c r="E44" s="359"/>
      <c r="F44" s="360"/>
      <c r="G44" s="361"/>
      <c r="H44" s="362"/>
      <c r="I44" s="363"/>
      <c r="J44" s="58"/>
      <c r="K44" s="364"/>
      <c r="L44" s="364"/>
      <c r="M44" s="384">
        <f t="shared" si="1"/>
        <v>0</v>
      </c>
      <c r="N44" s="384"/>
      <c r="P44" s="12"/>
      <c r="Q44" s="15"/>
      <c r="R44" s="15"/>
      <c r="S44" s="15"/>
      <c r="T44" s="13"/>
      <c r="U44" s="13"/>
      <c r="V44" s="13"/>
      <c r="W44" s="13"/>
      <c r="X44" s="1"/>
    </row>
    <row r="45" spans="1:24" s="3" customFormat="1" ht="15.75" x14ac:dyDescent="0.25">
      <c r="A45" s="231" t="s">
        <v>21</v>
      </c>
      <c r="B45" s="232"/>
      <c r="C45" s="233"/>
      <c r="D45" s="376">
        <f>+COUNTA(D17:E44)</f>
        <v>0</v>
      </c>
      <c r="E45" s="377"/>
      <c r="F45" s="378">
        <f>+COUNTA(F17:G44)</f>
        <v>0</v>
      </c>
      <c r="G45" s="379"/>
      <c r="H45" s="380">
        <f>SUM(H17:I44)</f>
        <v>0</v>
      </c>
      <c r="I45" s="380"/>
      <c r="J45" s="64"/>
      <c r="K45" s="381"/>
      <c r="L45" s="381"/>
      <c r="M45" s="384">
        <f>+SUM(M17:O44)</f>
        <v>0</v>
      </c>
      <c r="N45" s="384"/>
    </row>
    <row r="46" spans="1:24" s="3" customFormat="1" x14ac:dyDescent="0.25">
      <c r="D46" s="272" t="s">
        <v>65</v>
      </c>
      <c r="E46" s="273"/>
      <c r="F46" s="274" t="s">
        <v>24</v>
      </c>
      <c r="G46" s="274"/>
      <c r="H46" s="275" t="s">
        <v>62</v>
      </c>
      <c r="I46" s="275"/>
      <c r="K46" s="12"/>
      <c r="L46" s="12"/>
      <c r="M46" s="276" t="s">
        <v>66</v>
      </c>
      <c r="N46" s="277"/>
    </row>
    <row r="47" spans="1:24" s="3" customFormat="1" x14ac:dyDescent="0.25"/>
    <row r="48" spans="1:24" s="3" customFormat="1" x14ac:dyDescent="0.25">
      <c r="A48" s="28" t="s">
        <v>23</v>
      </c>
      <c r="J48" s="28" t="s">
        <v>27</v>
      </c>
      <c r="N48" s="47"/>
    </row>
    <row r="49" spans="1:25" s="3" customFormat="1" x14ac:dyDescent="0.25">
      <c r="J49" s="28" t="s">
        <v>31</v>
      </c>
      <c r="N49" s="47"/>
    </row>
    <row r="50" spans="1:25" s="3" customFormat="1" x14ac:dyDescent="0.25">
      <c r="A50" s="29" t="s">
        <v>20</v>
      </c>
      <c r="B50" s="30"/>
      <c r="C50" s="29"/>
      <c r="D50" s="29"/>
      <c r="E50" s="16"/>
      <c r="H50" s="18"/>
    </row>
    <row r="51" spans="1:25" s="3" customFormat="1" x14ac:dyDescent="0.25">
      <c r="A51" s="29" t="s">
        <v>7</v>
      </c>
      <c r="B51" s="30"/>
      <c r="C51" s="31">
        <f ca="1">TODAY()</f>
        <v>45320</v>
      </c>
      <c r="D51" s="29"/>
      <c r="E51" s="16"/>
      <c r="J51" s="28" t="s">
        <v>22</v>
      </c>
    </row>
    <row r="52" spans="1:25" s="3" customFormat="1" x14ac:dyDescent="0.25">
      <c r="A52" s="28"/>
      <c r="B52" s="315" t="s">
        <v>47</v>
      </c>
      <c r="C52" s="315"/>
      <c r="D52" s="315"/>
      <c r="E52" s="315"/>
      <c r="F52" s="315"/>
      <c r="J52" s="315" t="s">
        <v>48</v>
      </c>
      <c r="K52" s="315"/>
      <c r="L52" s="315"/>
      <c r="M52" s="315"/>
      <c r="N52" s="315"/>
      <c r="U52" s="1"/>
      <c r="V52" s="1"/>
      <c r="W52" s="1"/>
      <c r="X52" s="1"/>
      <c r="Y52" s="1"/>
    </row>
    <row r="53" spans="1:25" s="3" customFormat="1" x14ac:dyDescent="0.25">
      <c r="B53" s="315"/>
      <c r="C53" s="315"/>
      <c r="D53" s="315"/>
      <c r="E53" s="315"/>
      <c r="F53" s="315"/>
      <c r="J53" s="315"/>
      <c r="K53" s="315"/>
      <c r="L53" s="315"/>
      <c r="M53" s="315"/>
      <c r="N53" s="315"/>
      <c r="U53" s="1"/>
      <c r="V53" s="1"/>
      <c r="W53" s="1"/>
      <c r="X53" s="1"/>
      <c r="Y53" s="1"/>
    </row>
    <row r="54" spans="1:25" s="3" customFormat="1" x14ac:dyDescent="0.25">
      <c r="B54" s="315"/>
      <c r="C54" s="315"/>
      <c r="D54" s="315"/>
      <c r="E54" s="315"/>
      <c r="F54" s="315"/>
      <c r="J54" s="315"/>
      <c r="K54" s="315"/>
      <c r="L54" s="315"/>
      <c r="M54" s="315"/>
      <c r="N54" s="315"/>
      <c r="U54" s="1"/>
      <c r="V54" s="1"/>
      <c r="W54" s="1"/>
      <c r="X54" s="1"/>
      <c r="Y54" s="1"/>
    </row>
    <row r="55" spans="1:25" s="3" customFormat="1" x14ac:dyDescent="0.25">
      <c r="B55" s="315"/>
      <c r="C55" s="315"/>
      <c r="D55" s="315"/>
      <c r="E55" s="315"/>
      <c r="F55" s="315"/>
      <c r="J55" s="315"/>
      <c r="K55" s="315"/>
      <c r="L55" s="315"/>
      <c r="M55" s="315"/>
      <c r="N55" s="315"/>
      <c r="U55" s="1"/>
      <c r="V55" s="1"/>
      <c r="W55" s="1"/>
      <c r="X55" s="1"/>
      <c r="Y55" s="1"/>
    </row>
    <row r="56" spans="1:25" s="3" customFormat="1" x14ac:dyDescent="0.25">
      <c r="B56" s="315"/>
      <c r="C56" s="315"/>
      <c r="D56" s="315"/>
      <c r="E56" s="315"/>
      <c r="F56" s="315"/>
      <c r="J56" s="315"/>
      <c r="K56" s="315"/>
      <c r="L56" s="315"/>
      <c r="M56" s="315"/>
      <c r="N56" s="315"/>
      <c r="U56" s="1"/>
      <c r="V56" s="1"/>
      <c r="W56" s="1"/>
      <c r="X56" s="1"/>
      <c r="Y56" s="1"/>
    </row>
    <row r="57" spans="1:25" s="3" customFormat="1" x14ac:dyDescent="0.25">
      <c r="B57" s="315"/>
      <c r="C57" s="315"/>
      <c r="D57" s="315"/>
      <c r="E57" s="315"/>
      <c r="F57" s="315"/>
      <c r="J57" s="315"/>
      <c r="K57" s="315"/>
      <c r="L57" s="315"/>
      <c r="M57" s="315"/>
      <c r="N57" s="315"/>
      <c r="U57" s="1"/>
      <c r="V57" s="1"/>
      <c r="W57" s="1"/>
      <c r="X57" s="1"/>
      <c r="Y57" s="1"/>
    </row>
    <row r="58" spans="1:25" s="3" customFormat="1" x14ac:dyDescent="0.25">
      <c r="A58" s="3" t="s">
        <v>46</v>
      </c>
      <c r="B58" s="23"/>
      <c r="J58" s="3" t="s">
        <v>39</v>
      </c>
      <c r="U58" s="1"/>
      <c r="V58" s="1"/>
      <c r="W58" s="1"/>
      <c r="X58" s="1"/>
      <c r="Y58" s="1"/>
    </row>
    <row r="59" spans="1:25" s="3" customFormat="1" x14ac:dyDescent="0.25">
      <c r="B59" s="23"/>
      <c r="U59" s="1"/>
      <c r="V59" s="1"/>
      <c r="W59" s="1"/>
      <c r="X59" s="1"/>
      <c r="Y59" s="1"/>
    </row>
    <row r="60" spans="1:25" s="3" customFormat="1" x14ac:dyDescent="0.25">
      <c r="B60" s="23"/>
      <c r="U60" s="1"/>
      <c r="V60" s="1"/>
      <c r="W60" s="1"/>
      <c r="X60" s="1"/>
      <c r="Y60" s="1"/>
    </row>
    <row r="61" spans="1:25" s="3" customFormat="1" x14ac:dyDescent="0.25">
      <c r="B61" s="23"/>
      <c r="U61" s="1"/>
      <c r="V61" s="1"/>
      <c r="W61" s="1"/>
      <c r="X61" s="1"/>
      <c r="Y61" s="1"/>
    </row>
    <row r="62" spans="1:25" s="3" customFormat="1" x14ac:dyDescent="0.25">
      <c r="B62" s="23"/>
      <c r="U62" s="1"/>
      <c r="V62" s="1"/>
      <c r="W62" s="1"/>
      <c r="X62" s="1"/>
      <c r="Y62" s="1"/>
    </row>
    <row r="63" spans="1:25" s="3" customFormat="1" x14ac:dyDescent="0.25">
      <c r="B63" s="23"/>
      <c r="U63" s="1"/>
      <c r="V63" s="1"/>
      <c r="W63" s="1"/>
      <c r="X63" s="1"/>
      <c r="Y63" s="1"/>
    </row>
    <row r="64" spans="1:25" s="3" customFormat="1" x14ac:dyDescent="0.25">
      <c r="B64" s="23"/>
      <c r="U64" s="1"/>
      <c r="V64" s="1"/>
      <c r="W64" s="1"/>
      <c r="X64" s="1"/>
      <c r="Y64" s="1"/>
    </row>
    <row r="65" spans="2:25" s="3" customFormat="1" x14ac:dyDescent="0.25">
      <c r="B65" s="23"/>
      <c r="U65" s="1"/>
      <c r="V65" s="1"/>
      <c r="W65" s="1"/>
      <c r="X65" s="1"/>
      <c r="Y65" s="1"/>
    </row>
    <row r="66" spans="2:25" s="3" customFormat="1" x14ac:dyDescent="0.25">
      <c r="B66" s="23"/>
      <c r="U66" s="1"/>
      <c r="V66" s="1"/>
      <c r="W66" s="1"/>
      <c r="X66" s="1"/>
      <c r="Y66" s="1"/>
    </row>
    <row r="67" spans="2:25" s="3" customFormat="1" x14ac:dyDescent="0.25">
      <c r="B67" s="23"/>
      <c r="U67" s="1"/>
      <c r="V67" s="1"/>
      <c r="W67" s="1"/>
      <c r="X67" s="1"/>
      <c r="Y67" s="1"/>
    </row>
    <row r="68" spans="2:25" s="3" customFormat="1" x14ac:dyDescent="0.25">
      <c r="B68" s="23"/>
      <c r="U68" s="1"/>
      <c r="V68" s="1"/>
      <c r="W68" s="1"/>
      <c r="X68" s="1"/>
      <c r="Y68" s="1"/>
    </row>
    <row r="69" spans="2:25" s="3" customFormat="1" x14ac:dyDescent="0.25">
      <c r="B69" s="23"/>
      <c r="U69" s="1"/>
      <c r="V69" s="1"/>
      <c r="W69" s="1"/>
      <c r="X69" s="1"/>
      <c r="Y69" s="1"/>
    </row>
    <row r="70" spans="2:25" s="3" customFormat="1" x14ac:dyDescent="0.25">
      <c r="B70" s="23"/>
      <c r="U70" s="1"/>
      <c r="V70" s="1"/>
      <c r="W70" s="1"/>
      <c r="X70" s="1"/>
      <c r="Y70" s="1"/>
    </row>
    <row r="71" spans="2:25" s="3" customFormat="1" x14ac:dyDescent="0.25">
      <c r="B71" s="23"/>
      <c r="U71" s="1"/>
      <c r="V71" s="1"/>
      <c r="W71" s="1"/>
      <c r="X71" s="1"/>
      <c r="Y71" s="1"/>
    </row>
    <row r="72" spans="2:25" s="3" customFormat="1" x14ac:dyDescent="0.25">
      <c r="B72" s="23"/>
      <c r="U72" s="1"/>
      <c r="V72" s="1"/>
      <c r="W72" s="1"/>
      <c r="X72" s="1"/>
      <c r="Y72" s="1"/>
    </row>
    <row r="73" spans="2:25" s="3" customFormat="1" x14ac:dyDescent="0.25">
      <c r="B73" s="23"/>
      <c r="U73" s="1"/>
      <c r="V73" s="1"/>
      <c r="W73" s="1"/>
      <c r="X73" s="1"/>
      <c r="Y73" s="1"/>
    </row>
    <row r="74" spans="2:25" s="3" customFormat="1" x14ac:dyDescent="0.25">
      <c r="B74" s="23"/>
      <c r="U74" s="1"/>
      <c r="V74" s="1"/>
      <c r="W74" s="1"/>
      <c r="X74" s="1"/>
      <c r="Y74" s="1"/>
    </row>
    <row r="75" spans="2:25" s="3" customFormat="1" x14ac:dyDescent="0.25">
      <c r="B75" s="23"/>
      <c r="U75" s="1"/>
      <c r="V75" s="1"/>
      <c r="W75" s="1"/>
      <c r="X75" s="1"/>
      <c r="Y75" s="1"/>
    </row>
    <row r="76" spans="2:25" s="3" customFormat="1" x14ac:dyDescent="0.25">
      <c r="B76" s="23"/>
      <c r="U76" s="1"/>
      <c r="V76" s="1"/>
      <c r="W76" s="1"/>
      <c r="X76" s="1"/>
      <c r="Y76" s="1"/>
    </row>
    <row r="77" spans="2:25" s="3" customFormat="1" x14ac:dyDescent="0.25">
      <c r="B77" s="23"/>
      <c r="U77" s="1"/>
      <c r="V77" s="1"/>
      <c r="W77" s="1"/>
      <c r="X77" s="1"/>
      <c r="Y77" s="1"/>
    </row>
    <row r="78" spans="2:25" s="3" customFormat="1" x14ac:dyDescent="0.25">
      <c r="B78" s="23"/>
      <c r="U78" s="1"/>
      <c r="V78" s="1"/>
      <c r="W78" s="1"/>
      <c r="X78" s="1"/>
      <c r="Y78" s="1"/>
    </row>
    <row r="79" spans="2:25" s="3" customFormat="1" x14ac:dyDescent="0.25">
      <c r="B79" s="23"/>
      <c r="U79" s="1"/>
      <c r="V79" s="1"/>
      <c r="W79" s="1"/>
      <c r="X79" s="1"/>
      <c r="Y79" s="1"/>
    </row>
    <row r="80" spans="2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1:25" s="3" customFormat="1" x14ac:dyDescent="0.25">
      <c r="B225" s="23"/>
      <c r="U225" s="1"/>
      <c r="V225" s="1"/>
      <c r="W225" s="1"/>
      <c r="X225" s="1"/>
      <c r="Y225" s="1"/>
    </row>
    <row r="226" spans="1:25" s="3" customFormat="1" x14ac:dyDescent="0.25">
      <c r="B226" s="23"/>
      <c r="U226" s="1"/>
      <c r="V226" s="1"/>
      <c r="W226" s="1"/>
      <c r="X226" s="1"/>
      <c r="Y226" s="1"/>
    </row>
    <row r="227" spans="1:25" s="3" customFormat="1" x14ac:dyDescent="0.25">
      <c r="B227" s="23"/>
      <c r="U227" s="1"/>
      <c r="V227" s="1"/>
      <c r="W227" s="1"/>
      <c r="X227" s="1"/>
      <c r="Y227" s="1"/>
    </row>
    <row r="228" spans="1:25" s="3" customFormat="1" x14ac:dyDescent="0.25">
      <c r="B228" s="23"/>
      <c r="K228" s="6"/>
      <c r="L228" s="6"/>
      <c r="M228" s="6"/>
      <c r="N228" s="6"/>
      <c r="U228" s="1"/>
      <c r="V228" s="1"/>
      <c r="W228" s="1"/>
      <c r="X228" s="1"/>
      <c r="Y228" s="1"/>
    </row>
    <row r="229" spans="1:25" s="3" customFormat="1" x14ac:dyDescent="0.25">
      <c r="B229" s="23"/>
      <c r="K229" s="6"/>
      <c r="L229" s="6"/>
      <c r="M229" s="6"/>
      <c r="N229" s="6"/>
      <c r="U229" s="1"/>
      <c r="V229" s="1"/>
      <c r="W229" s="1"/>
      <c r="X229" s="1"/>
      <c r="Y229" s="1"/>
    </row>
    <row r="230" spans="1:25" s="3" customFormat="1" x14ac:dyDescent="0.25">
      <c r="B230" s="23"/>
      <c r="K230" s="6"/>
      <c r="L230" s="6"/>
      <c r="M230" s="6"/>
      <c r="N230" s="6"/>
      <c r="U230" s="1"/>
      <c r="V230" s="1"/>
      <c r="W230" s="1"/>
      <c r="X230" s="1"/>
      <c r="Y230" s="1"/>
    </row>
    <row r="231" spans="1:25" s="3" customFormat="1" x14ac:dyDescent="0.25">
      <c r="B231" s="23"/>
      <c r="J231" s="6"/>
      <c r="K231" s="6"/>
      <c r="L231" s="6"/>
      <c r="M231" s="6"/>
      <c r="N231" s="6"/>
      <c r="U231" s="1"/>
      <c r="V231" s="1"/>
      <c r="W231" s="1"/>
      <c r="X231" s="1"/>
      <c r="Y231" s="1"/>
    </row>
    <row r="232" spans="1:25" s="3" customFormat="1" x14ac:dyDescent="0.25">
      <c r="B232" s="23"/>
      <c r="J232" s="6"/>
      <c r="K232" s="6"/>
      <c r="L232" s="6"/>
      <c r="M232" s="6"/>
      <c r="N232" s="6"/>
      <c r="U232" s="1"/>
      <c r="V232" s="1"/>
      <c r="W232" s="1"/>
      <c r="X232" s="1"/>
      <c r="Y232" s="1"/>
    </row>
    <row r="233" spans="1:25" s="3" customFormat="1" x14ac:dyDescent="0.25">
      <c r="B233" s="23"/>
      <c r="J233" s="6"/>
      <c r="K233" s="6"/>
      <c r="L233" s="6"/>
      <c r="M233" s="6"/>
      <c r="N233" s="6"/>
      <c r="U233" s="1"/>
      <c r="V233" s="1"/>
      <c r="W233" s="1"/>
      <c r="X233" s="1"/>
      <c r="Y233" s="1"/>
    </row>
    <row r="234" spans="1:25" s="3" customFormat="1" x14ac:dyDescent="0.25">
      <c r="B234" s="23"/>
      <c r="J234" s="6"/>
      <c r="K234" s="6"/>
      <c r="L234" s="6"/>
      <c r="M234" s="6"/>
      <c r="N234" s="6"/>
      <c r="U234" s="1"/>
      <c r="V234" s="1"/>
      <c r="W234" s="1"/>
      <c r="X234" s="1"/>
      <c r="Y234" s="1"/>
    </row>
    <row r="235" spans="1:25" s="3" customFormat="1" x14ac:dyDescent="0.25">
      <c r="B235" s="23"/>
      <c r="J235" s="6"/>
      <c r="K235" s="6"/>
      <c r="L235" s="6"/>
      <c r="M235" s="6"/>
      <c r="N235" s="6"/>
      <c r="O235" s="6"/>
      <c r="U235" s="1"/>
      <c r="V235" s="1"/>
      <c r="W235" s="1"/>
      <c r="X235" s="1"/>
      <c r="Y235" s="1"/>
    </row>
    <row r="236" spans="1:25" s="3" customFormat="1" x14ac:dyDescent="0.25">
      <c r="B236" s="23"/>
      <c r="J236" s="6"/>
      <c r="K236" s="6"/>
      <c r="L236" s="6"/>
      <c r="M236" s="6"/>
      <c r="N236" s="6"/>
      <c r="O236" s="6"/>
      <c r="U236" s="1"/>
      <c r="V236" s="1"/>
      <c r="W236" s="1"/>
      <c r="X236" s="1"/>
      <c r="Y236" s="1"/>
    </row>
    <row r="237" spans="1:25" s="3" customFormat="1" x14ac:dyDescent="0.25">
      <c r="A237" s="6"/>
      <c r="B237" s="25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Q237" s="6"/>
      <c r="R237" s="6"/>
      <c r="S237" s="6"/>
      <c r="U237" s="1"/>
      <c r="V237" s="1"/>
      <c r="W237" s="1"/>
      <c r="X237" s="1"/>
      <c r="Y237" s="1"/>
    </row>
  </sheetData>
  <sheetProtection sheet="1" objects="1" scenarios="1"/>
  <mergeCells count="186">
    <mergeCell ref="A45:C45"/>
    <mergeCell ref="D45:E45"/>
    <mergeCell ref="F45:G45"/>
    <mergeCell ref="H45:I45"/>
    <mergeCell ref="K45:L45"/>
    <mergeCell ref="M45:N45"/>
    <mergeCell ref="D46:E46"/>
    <mergeCell ref="F46:G46"/>
    <mergeCell ref="H46:I46"/>
    <mergeCell ref="M46:N46"/>
    <mergeCell ref="K18:L18"/>
    <mergeCell ref="M18:N18"/>
    <mergeCell ref="D2:K4"/>
    <mergeCell ref="L2:N4"/>
    <mergeCell ref="D17:E17"/>
    <mergeCell ref="F17:G17"/>
    <mergeCell ref="H17:I17"/>
    <mergeCell ref="K17:L17"/>
    <mergeCell ref="M17:N17"/>
    <mergeCell ref="M20:N20"/>
    <mergeCell ref="R3:T3"/>
    <mergeCell ref="B5:K5"/>
    <mergeCell ref="L5:N5"/>
    <mergeCell ref="R5:T5"/>
    <mergeCell ref="K13:L13"/>
    <mergeCell ref="F15:N15"/>
    <mergeCell ref="A16:C16"/>
    <mergeCell ref="D16:E16"/>
    <mergeCell ref="F16:G16"/>
    <mergeCell ref="H16:I16"/>
    <mergeCell ref="K16:L16"/>
    <mergeCell ref="M16:N16"/>
    <mergeCell ref="C8:F8"/>
    <mergeCell ref="K8:N8"/>
    <mergeCell ref="C10:F10"/>
    <mergeCell ref="K10:N10"/>
    <mergeCell ref="C12:F12"/>
    <mergeCell ref="K12:L12"/>
    <mergeCell ref="A17:C17"/>
    <mergeCell ref="A18:C18"/>
    <mergeCell ref="D18:E18"/>
    <mergeCell ref="F18:G18"/>
    <mergeCell ref="H18:I18"/>
    <mergeCell ref="D19:E19"/>
    <mergeCell ref="F19:G19"/>
    <mergeCell ref="H19:I19"/>
    <mergeCell ref="K19:L19"/>
    <mergeCell ref="M19:N19"/>
    <mergeCell ref="D23:E23"/>
    <mergeCell ref="F23:G23"/>
    <mergeCell ref="H23:I23"/>
    <mergeCell ref="K23:L23"/>
    <mergeCell ref="M23:N23"/>
    <mergeCell ref="D22:E22"/>
    <mergeCell ref="F22:G22"/>
    <mergeCell ref="H22:I22"/>
    <mergeCell ref="K22:L22"/>
    <mergeCell ref="M22:N22"/>
    <mergeCell ref="D21:E21"/>
    <mergeCell ref="F21:G21"/>
    <mergeCell ref="H21:I21"/>
    <mergeCell ref="K21:L21"/>
    <mergeCell ref="M21:N21"/>
    <mergeCell ref="D20:E20"/>
    <mergeCell ref="F20:G20"/>
    <mergeCell ref="H20:I20"/>
    <mergeCell ref="K20:L20"/>
    <mergeCell ref="D25:E25"/>
    <mergeCell ref="F25:G25"/>
    <mergeCell ref="H25:I25"/>
    <mergeCell ref="K25:L25"/>
    <mergeCell ref="M25:N25"/>
    <mergeCell ref="D24:E24"/>
    <mergeCell ref="F24:G24"/>
    <mergeCell ref="H24:I24"/>
    <mergeCell ref="K24:L24"/>
    <mergeCell ref="M24:N24"/>
    <mergeCell ref="A28:C28"/>
    <mergeCell ref="A29:C29"/>
    <mergeCell ref="D27:E27"/>
    <mergeCell ref="F27:G27"/>
    <mergeCell ref="H27:I27"/>
    <mergeCell ref="K27:L27"/>
    <mergeCell ref="M27:N27"/>
    <mergeCell ref="D26:E26"/>
    <mergeCell ref="F26:G26"/>
    <mergeCell ref="H26:I26"/>
    <mergeCell ref="K26:L26"/>
    <mergeCell ref="M26:N26"/>
    <mergeCell ref="M30:N30"/>
    <mergeCell ref="D29:E29"/>
    <mergeCell ref="F29:G29"/>
    <mergeCell ref="H29:I29"/>
    <mergeCell ref="K29:L29"/>
    <mergeCell ref="M29:N29"/>
    <mergeCell ref="M31:N31"/>
    <mergeCell ref="M32:N32"/>
    <mergeCell ref="D28:E28"/>
    <mergeCell ref="F28:G28"/>
    <mergeCell ref="H28:I28"/>
    <mergeCell ref="K28:L28"/>
    <mergeCell ref="M28:N28"/>
    <mergeCell ref="A30:C30"/>
    <mergeCell ref="A31:C31"/>
    <mergeCell ref="A32:C32"/>
    <mergeCell ref="D31:E31"/>
    <mergeCell ref="K31:L31"/>
    <mergeCell ref="D32:E32"/>
    <mergeCell ref="K32:L32"/>
    <mergeCell ref="D30:E30"/>
    <mergeCell ref="F30:G30"/>
    <mergeCell ref="H30:I30"/>
    <mergeCell ref="K30:L30"/>
    <mergeCell ref="A37:C37"/>
    <mergeCell ref="A38:C38"/>
    <mergeCell ref="A39:C39"/>
    <mergeCell ref="D36:E36"/>
    <mergeCell ref="K36:L36"/>
    <mergeCell ref="D33:E33"/>
    <mergeCell ref="K33:L33"/>
    <mergeCell ref="D34:E34"/>
    <mergeCell ref="K34:L34"/>
    <mergeCell ref="D35:E35"/>
    <mergeCell ref="K35:L35"/>
    <mergeCell ref="A33:C33"/>
    <mergeCell ref="A34:C34"/>
    <mergeCell ref="A35:C35"/>
    <mergeCell ref="A36:C36"/>
    <mergeCell ref="M33:N33"/>
    <mergeCell ref="M34:N34"/>
    <mergeCell ref="M35:N35"/>
    <mergeCell ref="M36:N36"/>
    <mergeCell ref="M37:N37"/>
    <mergeCell ref="M38:N38"/>
    <mergeCell ref="D39:E39"/>
    <mergeCell ref="F39:G39"/>
    <mergeCell ref="H39:I39"/>
    <mergeCell ref="K39:L39"/>
    <mergeCell ref="M39:N39"/>
    <mergeCell ref="D37:E37"/>
    <mergeCell ref="K37:L37"/>
    <mergeCell ref="D38:E38"/>
    <mergeCell ref="F38:G38"/>
    <mergeCell ref="H38:I38"/>
    <mergeCell ref="K38:L38"/>
    <mergeCell ref="D40:E40"/>
    <mergeCell ref="F40:G40"/>
    <mergeCell ref="H40:I40"/>
    <mergeCell ref="K40:L40"/>
    <mergeCell ref="M40:N40"/>
    <mergeCell ref="A40:C40"/>
    <mergeCell ref="A41:C41"/>
    <mergeCell ref="D43:E43"/>
    <mergeCell ref="F43:G43"/>
    <mergeCell ref="H43:I43"/>
    <mergeCell ref="K43:L43"/>
    <mergeCell ref="M43:N43"/>
    <mergeCell ref="D42:E42"/>
    <mergeCell ref="F42:G42"/>
    <mergeCell ref="H42:I42"/>
    <mergeCell ref="K42:L42"/>
    <mergeCell ref="M42:N42"/>
    <mergeCell ref="B52:F57"/>
    <mergeCell ref="J52:N57"/>
    <mergeCell ref="D44:E44"/>
    <mergeCell ref="F44:G44"/>
    <mergeCell ref="H44:I44"/>
    <mergeCell ref="K44:L44"/>
    <mergeCell ref="M44:N44"/>
    <mergeCell ref="A44:C44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42:C42"/>
    <mergeCell ref="A43:C43"/>
    <mergeCell ref="D41:E41"/>
    <mergeCell ref="F41:G41"/>
    <mergeCell ref="H41:I41"/>
    <mergeCell ref="K41:L41"/>
    <mergeCell ref="M41:N41"/>
  </mergeCells>
  <conditionalFormatting sqref="D17:D44">
    <cfRule type="expression" dxfId="33" priority="5">
      <formula>#REF!="Non"</formula>
    </cfRule>
    <cfRule type="expression" dxfId="32" priority="6">
      <formula>#REF!="Oui"</formula>
    </cfRule>
  </conditionalFormatting>
  <conditionalFormatting sqref="D45">
    <cfRule type="expression" dxfId="31" priority="3">
      <formula>#REF!="Non"</formula>
    </cfRule>
    <cfRule type="expression" dxfId="30" priority="4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2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80A6E"/>
    <pageSetUpPr fitToPage="1"/>
  </sheetPr>
  <dimension ref="A1:BD252"/>
  <sheetViews>
    <sheetView topLeftCell="A22" zoomScale="90" zoomScaleNormal="90" workbookViewId="0">
      <selection activeCell="T39" sqref="T39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1.85546875" style="6" customWidth="1"/>
    <col min="4" max="4" width="8.42578125" style="6" customWidth="1"/>
    <col min="5" max="5" width="10.42578125" style="6" customWidth="1"/>
    <col min="6" max="6" width="5.42578125" style="6" customWidth="1"/>
    <col min="7" max="7" width="9.85546875" style="6" customWidth="1"/>
    <col min="8" max="8" width="5.85546875" style="6" customWidth="1"/>
    <col min="9" max="9" width="1.85546875" style="6" customWidth="1"/>
    <col min="10" max="10" width="11.85546875" style="6" customWidth="1"/>
    <col min="11" max="12" width="8.140625" style="6" customWidth="1"/>
    <col min="13" max="13" width="6.5703125" style="6" customWidth="1"/>
    <col min="14" max="14" width="9.5703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68</v>
      </c>
      <c r="E2" s="195"/>
      <c r="F2" s="195"/>
      <c r="G2" s="195"/>
      <c r="H2" s="195"/>
      <c r="I2" s="195"/>
      <c r="J2" s="195"/>
      <c r="K2" s="195"/>
      <c r="L2" s="251">
        <v>45566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6"/>
      <c r="Q3" s="4"/>
      <c r="R3" s="220"/>
      <c r="S3" s="220"/>
      <c r="T3" s="220"/>
      <c r="U3" s="36"/>
      <c r="V3" s="36"/>
      <c r="W3" s="36"/>
      <c r="X3" s="36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6"/>
      <c r="Q4" s="4"/>
      <c r="R4" s="36"/>
      <c r="S4" s="36"/>
      <c r="T4" s="36"/>
      <c r="U4" s="36"/>
      <c r="V4" s="36"/>
      <c r="W4" s="36"/>
      <c r="X4" s="36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v>45566</v>
      </c>
      <c r="M5" s="222"/>
      <c r="N5" s="222"/>
      <c r="O5" s="3"/>
      <c r="P5" s="36"/>
      <c r="Q5" s="5"/>
      <c r="R5" s="220"/>
      <c r="S5" s="220"/>
      <c r="T5" s="220"/>
      <c r="U5" s="36"/>
      <c r="V5" s="36"/>
      <c r="W5" s="36"/>
      <c r="X5" s="36"/>
      <c r="Y5" s="5"/>
    </row>
    <row r="6" spans="1:25" ht="19.5" customHeight="1" x14ac:dyDescent="0.35">
      <c r="A6" s="46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36"/>
      <c r="V6" s="36"/>
      <c r="W6" s="36"/>
      <c r="X6" s="36"/>
      <c r="Y6" s="5"/>
    </row>
    <row r="7" spans="1:25" ht="19.5" customHeight="1" thickBot="1" x14ac:dyDescent="0.4">
      <c r="A7" s="48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38"/>
      <c r="V7" s="38"/>
      <c r="W7" s="38"/>
      <c r="X7" s="38"/>
      <c r="Y7" s="5"/>
    </row>
    <row r="8" spans="1:25" ht="18" customHeight="1" thickBot="1" x14ac:dyDescent="0.3">
      <c r="A8" s="8" t="s">
        <v>2</v>
      </c>
      <c r="B8" s="24"/>
      <c r="C8" s="324"/>
      <c r="D8" s="325"/>
      <c r="E8" s="325"/>
      <c r="F8" s="326"/>
      <c r="G8" s="9"/>
      <c r="H8" s="8" t="s">
        <v>26</v>
      </c>
      <c r="I8" s="8"/>
      <c r="J8" s="8"/>
      <c r="K8" s="324"/>
      <c r="L8" s="325"/>
      <c r="M8" s="325"/>
      <c r="N8" s="326"/>
      <c r="O8" s="26"/>
      <c r="P8" s="26"/>
      <c r="Q8" s="26"/>
      <c r="R8" s="26"/>
      <c r="S8" s="26"/>
      <c r="T8" s="26"/>
    </row>
    <row r="9" spans="1:25" ht="16.5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324"/>
      <c r="D10" s="325"/>
      <c r="E10" s="325"/>
      <c r="F10" s="326"/>
      <c r="G10" s="9"/>
      <c r="H10" s="8" t="s">
        <v>25</v>
      </c>
      <c r="I10" s="8"/>
      <c r="J10" s="8"/>
      <c r="K10" s="324"/>
      <c r="L10" s="325"/>
      <c r="M10" s="325"/>
      <c r="N10" s="326"/>
      <c r="O10" s="26"/>
      <c r="P10" s="26"/>
      <c r="Q10" s="26"/>
      <c r="R10" s="26"/>
      <c r="S10" s="26"/>
      <c r="T10" s="26"/>
      <c r="U10" s="11"/>
    </row>
    <row r="11" spans="1:25" ht="13.5" customHeight="1" x14ac:dyDescent="0.3">
      <c r="A11" s="8"/>
      <c r="B11" s="24"/>
      <c r="C11" s="24"/>
      <c r="D11" s="24"/>
      <c r="E11" s="24"/>
      <c r="F11" s="24"/>
      <c r="G11" s="9"/>
      <c r="H11" s="8"/>
      <c r="I11" s="8"/>
      <c r="J11" s="8"/>
      <c r="K11" s="8"/>
      <c r="L11" s="8"/>
      <c r="M11" s="8"/>
      <c r="N11" s="8"/>
      <c r="O11" s="26"/>
      <c r="P11" s="26"/>
      <c r="Q11" s="26"/>
      <c r="R11" s="26"/>
      <c r="S11" s="26"/>
      <c r="T11" s="26"/>
      <c r="U11" s="11"/>
    </row>
    <row r="12" spans="1:25" s="19" customFormat="1" ht="54.75" customHeight="1" x14ac:dyDescent="0.25">
      <c r="A12" s="200" t="s">
        <v>1</v>
      </c>
      <c r="B12" s="201"/>
      <c r="C12" s="202"/>
      <c r="D12" s="203" t="s">
        <v>55</v>
      </c>
      <c r="E12" s="204"/>
      <c r="F12" s="205" t="s">
        <v>54</v>
      </c>
      <c r="G12" s="205"/>
      <c r="H12" s="203" t="s">
        <v>56</v>
      </c>
      <c r="I12" s="206"/>
      <c r="J12" s="207"/>
      <c r="K12" s="203" t="s">
        <v>57</v>
      </c>
      <c r="L12" s="208"/>
      <c r="M12" s="205" t="s">
        <v>53</v>
      </c>
      <c r="N12" s="205"/>
      <c r="O12" s="26"/>
      <c r="P12" s="26"/>
      <c r="Q12" s="26"/>
      <c r="R12" s="26"/>
      <c r="S12" s="26"/>
      <c r="T12" s="26"/>
      <c r="U12" s="20"/>
      <c r="V12" s="20"/>
      <c r="W12" s="20"/>
      <c r="X12" s="21"/>
    </row>
    <row r="13" spans="1:25" s="3" customFormat="1" ht="15.75" x14ac:dyDescent="0.25">
      <c r="A13" s="191">
        <v>45530</v>
      </c>
      <c r="B13" s="286"/>
      <c r="C13" s="287"/>
      <c r="D13" s="357"/>
      <c r="E13" s="357"/>
      <c r="F13" s="354"/>
      <c r="G13" s="354"/>
      <c r="H13" s="354"/>
      <c r="I13" s="354"/>
      <c r="J13" s="354"/>
      <c r="K13" s="354"/>
      <c r="L13" s="354"/>
      <c r="M13" s="350"/>
      <c r="N13" s="351"/>
      <c r="O13" s="26"/>
      <c r="P13" s="26"/>
      <c r="Q13" s="26"/>
      <c r="R13" s="26"/>
      <c r="S13" s="26"/>
      <c r="T13" s="26"/>
      <c r="U13" s="13"/>
      <c r="V13" s="13"/>
      <c r="W13" s="13"/>
      <c r="X13" s="1"/>
    </row>
    <row r="14" spans="1:25" s="3" customFormat="1" ht="15.75" x14ac:dyDescent="0.25">
      <c r="A14" s="191">
        <v>45531</v>
      </c>
      <c r="B14" s="286"/>
      <c r="C14" s="287"/>
      <c r="D14" s="357"/>
      <c r="E14" s="357"/>
      <c r="F14" s="354"/>
      <c r="G14" s="354"/>
      <c r="H14" s="354"/>
      <c r="I14" s="354"/>
      <c r="J14" s="354"/>
      <c r="K14" s="354"/>
      <c r="L14" s="354"/>
      <c r="M14" s="350"/>
      <c r="N14" s="351"/>
      <c r="P14" s="26"/>
      <c r="Q14" s="26"/>
      <c r="R14" s="26"/>
      <c r="S14" s="26"/>
      <c r="T14" s="26"/>
      <c r="U14" s="13"/>
      <c r="V14" s="13"/>
      <c r="W14" s="13"/>
      <c r="X14" s="1"/>
    </row>
    <row r="15" spans="1:25" s="3" customFormat="1" ht="15.75" x14ac:dyDescent="0.25">
      <c r="A15" s="191">
        <v>45532</v>
      </c>
      <c r="B15" s="286"/>
      <c r="C15" s="287"/>
      <c r="D15" s="357"/>
      <c r="E15" s="357"/>
      <c r="F15" s="354"/>
      <c r="G15" s="354"/>
      <c r="H15" s="354"/>
      <c r="I15" s="354"/>
      <c r="J15" s="354"/>
      <c r="K15" s="354"/>
      <c r="L15" s="354"/>
      <c r="M15" s="350"/>
      <c r="N15" s="351"/>
      <c r="P15" s="26"/>
      <c r="Q15" s="26"/>
      <c r="R15" s="26"/>
      <c r="S15" s="26"/>
      <c r="T15" s="26"/>
      <c r="U15" s="26"/>
      <c r="V15" s="13"/>
      <c r="W15" s="13"/>
      <c r="X15" s="1"/>
    </row>
    <row r="16" spans="1:25" s="3" customFormat="1" x14ac:dyDescent="0.25">
      <c r="A16" s="191">
        <v>45533</v>
      </c>
      <c r="B16" s="286"/>
      <c r="C16" s="287"/>
      <c r="D16" s="357"/>
      <c r="E16" s="357"/>
      <c r="F16" s="354"/>
      <c r="G16" s="354"/>
      <c r="H16" s="354"/>
      <c r="I16" s="354"/>
      <c r="J16" s="354"/>
      <c r="K16" s="354"/>
      <c r="L16" s="354"/>
      <c r="M16" s="350"/>
      <c r="N16" s="351"/>
      <c r="P16" s="12"/>
      <c r="Q16" s="12"/>
      <c r="R16" s="12"/>
      <c r="S16" s="12"/>
      <c r="T16" s="13"/>
      <c r="U16" s="13"/>
      <c r="V16" s="13"/>
      <c r="W16" s="13"/>
      <c r="X16" s="1"/>
    </row>
    <row r="17" spans="1:24" s="3" customFormat="1" x14ac:dyDescent="0.25">
      <c r="A17" s="191">
        <v>45534</v>
      </c>
      <c r="B17" s="286"/>
      <c r="C17" s="287"/>
      <c r="D17" s="357"/>
      <c r="E17" s="357"/>
      <c r="F17" s="354"/>
      <c r="G17" s="354"/>
      <c r="H17" s="350"/>
      <c r="I17" s="358"/>
      <c r="J17" s="351"/>
      <c r="K17" s="354"/>
      <c r="L17" s="354"/>
      <c r="M17" s="350"/>
      <c r="N17" s="351"/>
      <c r="P17" s="12"/>
      <c r="Q17" s="12"/>
      <c r="R17" s="12"/>
      <c r="S17" s="12"/>
      <c r="T17" s="13"/>
      <c r="U17" s="13"/>
      <c r="V17" s="13"/>
      <c r="W17" s="13"/>
      <c r="X17" s="1"/>
    </row>
    <row r="18" spans="1:24" s="3" customFormat="1" x14ac:dyDescent="0.25">
      <c r="A18" s="191">
        <v>45535</v>
      </c>
      <c r="B18" s="286"/>
      <c r="C18" s="287"/>
      <c r="D18" s="357"/>
      <c r="E18" s="357"/>
      <c r="F18" s="354"/>
      <c r="G18" s="354"/>
      <c r="H18" s="354"/>
      <c r="I18" s="354"/>
      <c r="J18" s="354"/>
      <c r="K18" s="354"/>
      <c r="L18" s="354"/>
      <c r="M18" s="350"/>
      <c r="N18" s="351"/>
      <c r="P18" s="12"/>
      <c r="Q18" s="12"/>
      <c r="R18" s="12"/>
      <c r="S18" s="12"/>
      <c r="T18" s="13"/>
      <c r="U18" s="13"/>
      <c r="V18" s="13"/>
      <c r="W18" s="13"/>
      <c r="X18" s="1"/>
    </row>
    <row r="19" spans="1:24" s="3" customFormat="1" x14ac:dyDescent="0.25">
      <c r="A19" s="191">
        <v>45536</v>
      </c>
      <c r="B19" s="286"/>
      <c r="C19" s="287"/>
      <c r="D19" s="357"/>
      <c r="E19" s="357"/>
      <c r="F19" s="354"/>
      <c r="G19" s="354"/>
      <c r="H19" s="354"/>
      <c r="I19" s="354"/>
      <c r="J19" s="354"/>
      <c r="K19" s="354"/>
      <c r="L19" s="354"/>
      <c r="M19" s="350"/>
      <c r="N19" s="351"/>
      <c r="P19" s="12"/>
      <c r="Q19" s="12"/>
      <c r="R19" s="12"/>
      <c r="S19" s="12"/>
      <c r="T19" s="13"/>
      <c r="U19" s="13"/>
      <c r="V19" s="13"/>
      <c r="W19" s="13"/>
      <c r="X19" s="1"/>
    </row>
    <row r="20" spans="1:24" s="3" customFormat="1" x14ac:dyDescent="0.25">
      <c r="A20" s="191">
        <v>45537</v>
      </c>
      <c r="B20" s="286"/>
      <c r="C20" s="287"/>
      <c r="D20" s="357"/>
      <c r="E20" s="357"/>
      <c r="F20" s="354"/>
      <c r="G20" s="354"/>
      <c r="H20" s="354"/>
      <c r="I20" s="354"/>
      <c r="J20" s="354"/>
      <c r="K20" s="354"/>
      <c r="L20" s="354"/>
      <c r="M20" s="350"/>
      <c r="N20" s="351"/>
      <c r="P20" s="12"/>
      <c r="Q20" s="12"/>
      <c r="R20" s="12"/>
      <c r="S20" s="12"/>
      <c r="T20" s="13"/>
      <c r="U20" s="13"/>
      <c r="V20" s="13"/>
      <c r="W20" s="13"/>
      <c r="X20" s="1"/>
    </row>
    <row r="21" spans="1:24" s="3" customFormat="1" x14ac:dyDescent="0.25">
      <c r="A21" s="191">
        <v>45538</v>
      </c>
      <c r="B21" s="286"/>
      <c r="C21" s="287"/>
      <c r="D21" s="357"/>
      <c r="E21" s="357"/>
      <c r="F21" s="354"/>
      <c r="G21" s="354"/>
      <c r="H21" s="354"/>
      <c r="I21" s="354"/>
      <c r="J21" s="354"/>
      <c r="K21" s="354"/>
      <c r="L21" s="354"/>
      <c r="M21" s="350"/>
      <c r="N21" s="351"/>
      <c r="P21" s="12"/>
      <c r="Q21" s="12"/>
      <c r="R21" s="12"/>
      <c r="S21" s="12"/>
      <c r="T21" s="13"/>
      <c r="U21" s="13"/>
      <c r="V21" s="13"/>
      <c r="W21" s="13"/>
      <c r="X21" s="1"/>
    </row>
    <row r="22" spans="1:24" s="3" customFormat="1" x14ac:dyDescent="0.25">
      <c r="A22" s="191">
        <v>45539</v>
      </c>
      <c r="B22" s="286"/>
      <c r="C22" s="287"/>
      <c r="D22" s="357"/>
      <c r="E22" s="357"/>
      <c r="F22" s="354"/>
      <c r="G22" s="354"/>
      <c r="H22" s="354"/>
      <c r="I22" s="354"/>
      <c r="J22" s="354"/>
      <c r="K22" s="354"/>
      <c r="L22" s="354"/>
      <c r="M22" s="350"/>
      <c r="N22" s="351"/>
      <c r="P22" s="12"/>
      <c r="Q22" s="12"/>
      <c r="R22" s="12"/>
      <c r="S22" s="12"/>
      <c r="T22" s="13"/>
      <c r="U22" s="13"/>
      <c r="V22" s="13"/>
      <c r="W22" s="13"/>
      <c r="X22" s="1"/>
    </row>
    <row r="23" spans="1:24" s="3" customFormat="1" x14ac:dyDescent="0.25">
      <c r="A23" s="191">
        <v>45540</v>
      </c>
      <c r="B23" s="286"/>
      <c r="C23" s="287"/>
      <c r="D23" s="357"/>
      <c r="E23" s="357"/>
      <c r="F23" s="354"/>
      <c r="G23" s="354"/>
      <c r="H23" s="354"/>
      <c r="I23" s="354"/>
      <c r="J23" s="354"/>
      <c r="K23" s="354"/>
      <c r="L23" s="354"/>
      <c r="M23" s="350"/>
      <c r="N23" s="351"/>
      <c r="P23" s="12"/>
      <c r="Q23" s="15"/>
      <c r="R23" s="15"/>
      <c r="S23" s="15"/>
      <c r="T23" s="13"/>
      <c r="U23" s="13"/>
      <c r="V23" s="13"/>
      <c r="W23" s="13"/>
      <c r="X23" s="1"/>
    </row>
    <row r="24" spans="1:24" s="3" customFormat="1" x14ac:dyDescent="0.25">
      <c r="A24" s="191">
        <v>45541</v>
      </c>
      <c r="B24" s="286"/>
      <c r="C24" s="287"/>
      <c r="D24" s="357"/>
      <c r="E24" s="357"/>
      <c r="F24" s="354"/>
      <c r="G24" s="354"/>
      <c r="H24" s="354"/>
      <c r="I24" s="354"/>
      <c r="J24" s="354"/>
      <c r="K24" s="354"/>
      <c r="L24" s="354"/>
      <c r="M24" s="350"/>
      <c r="N24" s="351"/>
      <c r="P24" s="12"/>
      <c r="Q24" s="15"/>
      <c r="R24" s="15"/>
      <c r="S24" s="15"/>
      <c r="T24" s="13"/>
      <c r="U24" s="13"/>
      <c r="V24" s="13"/>
      <c r="W24" s="13"/>
      <c r="X24" s="1"/>
    </row>
    <row r="25" spans="1:24" s="3" customFormat="1" x14ac:dyDescent="0.25">
      <c r="A25" s="191">
        <v>45542</v>
      </c>
      <c r="B25" s="286"/>
      <c r="C25" s="287"/>
      <c r="D25" s="357"/>
      <c r="E25" s="357"/>
      <c r="F25" s="354"/>
      <c r="G25" s="354"/>
      <c r="H25" s="354"/>
      <c r="I25" s="354"/>
      <c r="J25" s="354"/>
      <c r="K25" s="354"/>
      <c r="L25" s="354"/>
      <c r="M25" s="350"/>
      <c r="N25" s="351"/>
      <c r="P25" s="12"/>
      <c r="Q25" s="15"/>
      <c r="R25" s="15"/>
      <c r="S25" s="15"/>
      <c r="T25" s="13"/>
      <c r="U25" s="13"/>
      <c r="V25" s="13"/>
      <c r="W25" s="13"/>
      <c r="X25" s="1"/>
    </row>
    <row r="26" spans="1:24" s="3" customFormat="1" x14ac:dyDescent="0.25">
      <c r="A26" s="191">
        <v>45543</v>
      </c>
      <c r="B26" s="286"/>
      <c r="C26" s="287"/>
      <c r="D26" s="357"/>
      <c r="E26" s="357"/>
      <c r="F26" s="354"/>
      <c r="G26" s="354"/>
      <c r="H26" s="354"/>
      <c r="I26" s="354"/>
      <c r="J26" s="354"/>
      <c r="K26" s="354"/>
      <c r="L26" s="354"/>
      <c r="M26" s="350"/>
      <c r="N26" s="351"/>
      <c r="O26" s="1"/>
      <c r="P26" s="12"/>
      <c r="Q26" s="15"/>
      <c r="R26" s="15"/>
      <c r="S26" s="15"/>
      <c r="T26" s="13"/>
      <c r="U26" s="13"/>
      <c r="V26" s="13"/>
      <c r="W26" s="13"/>
      <c r="X26" s="1"/>
    </row>
    <row r="27" spans="1:24" s="3" customFormat="1" x14ac:dyDescent="0.25">
      <c r="A27" s="191">
        <v>45544</v>
      </c>
      <c r="B27" s="286"/>
      <c r="C27" s="287"/>
      <c r="D27" s="357"/>
      <c r="E27" s="357"/>
      <c r="F27" s="354"/>
      <c r="G27" s="354"/>
      <c r="H27" s="354"/>
      <c r="I27" s="354"/>
      <c r="J27" s="354"/>
      <c r="K27" s="354"/>
      <c r="L27" s="354"/>
      <c r="M27" s="350"/>
      <c r="N27" s="351"/>
      <c r="P27" s="12"/>
      <c r="Q27" s="15"/>
      <c r="R27" s="15"/>
      <c r="S27" s="15"/>
      <c r="T27" s="13"/>
      <c r="U27" s="13"/>
      <c r="V27" s="13"/>
      <c r="W27" s="13"/>
      <c r="X27" s="1"/>
    </row>
    <row r="28" spans="1:24" s="3" customFormat="1" x14ac:dyDescent="0.25">
      <c r="A28" s="191">
        <v>45545</v>
      </c>
      <c r="B28" s="286"/>
      <c r="C28" s="287"/>
      <c r="D28" s="357"/>
      <c r="E28" s="357"/>
      <c r="F28" s="354"/>
      <c r="G28" s="354"/>
      <c r="H28" s="354"/>
      <c r="I28" s="354"/>
      <c r="J28" s="354"/>
      <c r="K28" s="354"/>
      <c r="L28" s="354"/>
      <c r="M28" s="350"/>
      <c r="N28" s="351"/>
      <c r="P28" s="12"/>
      <c r="Q28" s="15"/>
      <c r="R28" s="15"/>
      <c r="S28" s="15"/>
      <c r="T28" s="13"/>
      <c r="U28" s="13"/>
      <c r="V28" s="13"/>
      <c r="W28" s="13"/>
      <c r="X28" s="1"/>
    </row>
    <row r="29" spans="1:24" s="3" customFormat="1" x14ac:dyDescent="0.25">
      <c r="A29" s="191">
        <v>45546</v>
      </c>
      <c r="B29" s="286"/>
      <c r="C29" s="287"/>
      <c r="D29" s="357"/>
      <c r="E29" s="357"/>
      <c r="F29" s="354"/>
      <c r="G29" s="354"/>
      <c r="H29" s="354"/>
      <c r="I29" s="354"/>
      <c r="J29" s="354"/>
      <c r="K29" s="354"/>
      <c r="L29" s="354"/>
      <c r="M29" s="350"/>
      <c r="N29" s="351"/>
      <c r="P29" s="12"/>
      <c r="Q29" s="15"/>
      <c r="R29" s="15"/>
      <c r="S29" s="15"/>
      <c r="T29" s="13"/>
      <c r="U29" s="13"/>
      <c r="V29" s="13"/>
      <c r="W29" s="13"/>
      <c r="X29" s="1"/>
    </row>
    <row r="30" spans="1:24" s="3" customFormat="1" x14ac:dyDescent="0.25">
      <c r="A30" s="191">
        <v>45547</v>
      </c>
      <c r="B30" s="286"/>
      <c r="C30" s="287"/>
      <c r="D30" s="357"/>
      <c r="E30" s="357"/>
      <c r="F30" s="354"/>
      <c r="G30" s="354"/>
      <c r="H30" s="354"/>
      <c r="I30" s="354"/>
      <c r="J30" s="354"/>
      <c r="K30" s="354"/>
      <c r="L30" s="354"/>
      <c r="M30" s="350"/>
      <c r="N30" s="351"/>
      <c r="P30" s="12"/>
      <c r="Q30" s="15"/>
      <c r="R30" s="15"/>
      <c r="S30" s="15"/>
      <c r="T30" s="13"/>
      <c r="U30" s="13"/>
      <c r="V30" s="13"/>
      <c r="W30" s="13"/>
      <c r="X30" s="1"/>
    </row>
    <row r="31" spans="1:24" s="3" customFormat="1" x14ac:dyDescent="0.25">
      <c r="A31" s="191">
        <v>45548</v>
      </c>
      <c r="B31" s="286"/>
      <c r="C31" s="287"/>
      <c r="D31" s="357"/>
      <c r="E31" s="357"/>
      <c r="F31" s="354"/>
      <c r="G31" s="354"/>
      <c r="H31" s="354"/>
      <c r="I31" s="354"/>
      <c r="J31" s="354"/>
      <c r="K31" s="354"/>
      <c r="L31" s="354"/>
      <c r="M31" s="350"/>
      <c r="N31" s="351"/>
      <c r="P31" s="12"/>
      <c r="Q31" s="15"/>
      <c r="R31" s="15"/>
      <c r="S31" s="15"/>
      <c r="T31" s="13"/>
      <c r="U31" s="13"/>
      <c r="V31" s="13"/>
      <c r="W31" s="13"/>
      <c r="X31" s="1"/>
    </row>
    <row r="32" spans="1:24" s="3" customFormat="1" x14ac:dyDescent="0.25">
      <c r="A32" s="191">
        <v>45549</v>
      </c>
      <c r="B32" s="286"/>
      <c r="C32" s="287"/>
      <c r="D32" s="357"/>
      <c r="E32" s="357"/>
      <c r="F32" s="354"/>
      <c r="G32" s="354"/>
      <c r="H32" s="354"/>
      <c r="I32" s="354"/>
      <c r="J32" s="354"/>
      <c r="K32" s="354"/>
      <c r="L32" s="354"/>
      <c r="M32" s="350"/>
      <c r="N32" s="351"/>
      <c r="P32" s="12"/>
      <c r="Q32" s="15"/>
      <c r="R32" s="15"/>
      <c r="S32" s="15"/>
      <c r="T32" s="13"/>
      <c r="U32" s="13"/>
      <c r="V32" s="13"/>
      <c r="W32" s="13"/>
      <c r="X32" s="1"/>
    </row>
    <row r="33" spans="1:24" s="3" customFormat="1" x14ac:dyDescent="0.25">
      <c r="A33" s="191">
        <v>45550</v>
      </c>
      <c r="B33" s="286"/>
      <c r="C33" s="287"/>
      <c r="D33" s="357"/>
      <c r="E33" s="357"/>
      <c r="F33" s="354"/>
      <c r="G33" s="354"/>
      <c r="H33" s="354"/>
      <c r="I33" s="354"/>
      <c r="J33" s="354"/>
      <c r="K33" s="354"/>
      <c r="L33" s="354"/>
      <c r="M33" s="350"/>
      <c r="N33" s="351"/>
      <c r="P33" s="12"/>
      <c r="Q33" s="15"/>
      <c r="R33" s="15"/>
      <c r="S33" s="15"/>
      <c r="T33" s="13"/>
      <c r="U33" s="13"/>
      <c r="V33" s="13"/>
      <c r="W33" s="13"/>
      <c r="X33" s="1"/>
    </row>
    <row r="34" spans="1:24" s="3" customFormat="1" x14ac:dyDescent="0.25">
      <c r="A34" s="191">
        <v>45551</v>
      </c>
      <c r="B34" s="286"/>
      <c r="C34" s="287"/>
      <c r="D34" s="348"/>
      <c r="E34" s="349"/>
      <c r="F34" s="350"/>
      <c r="G34" s="351"/>
      <c r="H34" s="55"/>
      <c r="I34" s="56"/>
      <c r="J34" s="57"/>
      <c r="K34" s="350"/>
      <c r="L34" s="351"/>
      <c r="M34" s="55"/>
      <c r="N34" s="57"/>
      <c r="P34" s="12"/>
      <c r="Q34" s="15"/>
      <c r="R34" s="15"/>
      <c r="S34" s="15"/>
      <c r="T34" s="13"/>
      <c r="U34" s="13"/>
      <c r="V34" s="13"/>
      <c r="W34" s="13"/>
      <c r="X34" s="1"/>
    </row>
    <row r="35" spans="1:24" s="3" customFormat="1" x14ac:dyDescent="0.25">
      <c r="A35" s="191">
        <v>45552</v>
      </c>
      <c r="B35" s="286"/>
      <c r="C35" s="287"/>
      <c r="D35" s="348"/>
      <c r="E35" s="349"/>
      <c r="F35" s="350"/>
      <c r="G35" s="351"/>
      <c r="H35" s="55"/>
      <c r="I35" s="56"/>
      <c r="J35" s="57"/>
      <c r="K35" s="350"/>
      <c r="L35" s="351"/>
      <c r="M35" s="55"/>
      <c r="N35" s="57"/>
      <c r="P35" s="12"/>
      <c r="Q35" s="15"/>
      <c r="R35" s="15"/>
      <c r="S35" s="15"/>
      <c r="T35" s="13"/>
      <c r="U35" s="13"/>
      <c r="V35" s="13"/>
      <c r="W35" s="13"/>
      <c r="X35" s="1"/>
    </row>
    <row r="36" spans="1:24" s="3" customFormat="1" x14ac:dyDescent="0.25">
      <c r="A36" s="191">
        <v>45553</v>
      </c>
      <c r="B36" s="286"/>
      <c r="C36" s="287"/>
      <c r="D36" s="348"/>
      <c r="E36" s="349"/>
      <c r="F36" s="350"/>
      <c r="G36" s="351"/>
      <c r="H36" s="55"/>
      <c r="I36" s="56"/>
      <c r="J36" s="57"/>
      <c r="K36" s="350"/>
      <c r="L36" s="351"/>
      <c r="M36" s="55"/>
      <c r="N36" s="57"/>
      <c r="P36" s="12"/>
      <c r="Q36" s="15"/>
      <c r="R36" s="15"/>
      <c r="S36" s="15"/>
      <c r="T36" s="13"/>
      <c r="U36" s="13"/>
      <c r="V36" s="13"/>
      <c r="W36" s="13"/>
      <c r="X36" s="1"/>
    </row>
    <row r="37" spans="1:24" s="3" customFormat="1" x14ac:dyDescent="0.25">
      <c r="A37" s="191">
        <v>45554</v>
      </c>
      <c r="B37" s="286"/>
      <c r="C37" s="287"/>
      <c r="D37" s="348"/>
      <c r="E37" s="349"/>
      <c r="F37" s="350"/>
      <c r="G37" s="351"/>
      <c r="H37" s="55"/>
      <c r="I37" s="56"/>
      <c r="J37" s="57"/>
      <c r="K37" s="350"/>
      <c r="L37" s="351"/>
      <c r="M37" s="55"/>
      <c r="N37" s="57"/>
      <c r="P37" s="12"/>
      <c r="Q37" s="15"/>
      <c r="R37" s="15"/>
      <c r="S37" s="15"/>
      <c r="T37" s="13"/>
      <c r="U37" s="13"/>
      <c r="V37" s="13"/>
      <c r="W37" s="13"/>
      <c r="X37" s="1"/>
    </row>
    <row r="38" spans="1:24" s="3" customFormat="1" x14ac:dyDescent="0.25">
      <c r="A38" s="191">
        <v>45555</v>
      </c>
      <c r="B38" s="286"/>
      <c r="C38" s="287"/>
      <c r="D38" s="348"/>
      <c r="E38" s="349"/>
      <c r="F38" s="350"/>
      <c r="G38" s="351"/>
      <c r="H38" s="55"/>
      <c r="I38" s="56"/>
      <c r="J38" s="57"/>
      <c r="K38" s="350"/>
      <c r="L38" s="351"/>
      <c r="M38" s="55"/>
      <c r="N38" s="57"/>
      <c r="P38" s="12"/>
      <c r="Q38" s="15"/>
      <c r="R38" s="15"/>
      <c r="S38" s="15"/>
      <c r="T38" s="13"/>
      <c r="U38" s="13"/>
      <c r="V38" s="13"/>
      <c r="W38" s="13"/>
      <c r="X38" s="1"/>
    </row>
    <row r="39" spans="1:24" s="3" customFormat="1" x14ac:dyDescent="0.25">
      <c r="A39" s="191">
        <v>45556</v>
      </c>
      <c r="B39" s="286"/>
      <c r="C39" s="287"/>
      <c r="D39" s="348"/>
      <c r="E39" s="349"/>
      <c r="F39" s="350"/>
      <c r="G39" s="351"/>
      <c r="H39" s="55"/>
      <c r="I39" s="56"/>
      <c r="J39" s="57"/>
      <c r="K39" s="350"/>
      <c r="L39" s="351"/>
      <c r="M39" s="55"/>
      <c r="N39" s="57"/>
      <c r="P39" s="12"/>
      <c r="Q39" s="15"/>
      <c r="R39" s="15"/>
      <c r="S39" s="15"/>
      <c r="T39" s="13"/>
      <c r="U39" s="13"/>
      <c r="V39" s="13"/>
      <c r="W39" s="13"/>
      <c r="X39" s="1"/>
    </row>
    <row r="40" spans="1:24" s="3" customFormat="1" x14ac:dyDescent="0.25">
      <c r="A40" s="191">
        <v>45557</v>
      </c>
      <c r="B40" s="286"/>
      <c r="C40" s="287"/>
      <c r="D40" s="348"/>
      <c r="E40" s="349"/>
      <c r="F40" s="350"/>
      <c r="G40" s="351"/>
      <c r="H40" s="55"/>
      <c r="I40" s="56"/>
      <c r="J40" s="57"/>
      <c r="K40" s="350"/>
      <c r="L40" s="351"/>
      <c r="M40" s="55"/>
      <c r="N40" s="57"/>
      <c r="P40" s="12"/>
      <c r="Q40" s="15"/>
      <c r="R40" s="15"/>
      <c r="S40" s="15"/>
      <c r="T40" s="13"/>
      <c r="U40" s="13"/>
      <c r="V40" s="13"/>
      <c r="W40" s="13"/>
      <c r="X40" s="1"/>
    </row>
    <row r="41" spans="1:24" s="3" customFormat="1" x14ac:dyDescent="0.25">
      <c r="A41" s="191">
        <v>45558</v>
      </c>
      <c r="B41" s="286"/>
      <c r="C41" s="287"/>
      <c r="D41" s="167"/>
      <c r="E41" s="69"/>
      <c r="F41" s="164"/>
      <c r="G41" s="165"/>
      <c r="H41" s="164"/>
      <c r="I41" s="166"/>
      <c r="J41" s="165"/>
      <c r="K41" s="166"/>
      <c r="L41" s="165"/>
      <c r="M41" s="166"/>
      <c r="N41" s="166"/>
      <c r="P41" s="12"/>
      <c r="Q41" s="15"/>
      <c r="R41" s="15"/>
      <c r="S41" s="15"/>
      <c r="T41" s="13"/>
      <c r="U41" s="13"/>
      <c r="V41" s="13"/>
      <c r="W41" s="13"/>
      <c r="X41" s="1"/>
    </row>
    <row r="42" spans="1:24" s="3" customFormat="1" x14ac:dyDescent="0.25">
      <c r="A42" s="191">
        <v>45559</v>
      </c>
      <c r="B42" s="286"/>
      <c r="C42" s="287"/>
      <c r="D42" s="167"/>
      <c r="E42" s="69"/>
      <c r="F42" s="164"/>
      <c r="G42" s="165"/>
      <c r="H42" s="164"/>
      <c r="I42" s="166"/>
      <c r="J42" s="165"/>
      <c r="K42" s="166"/>
      <c r="L42" s="165"/>
      <c r="M42" s="166"/>
      <c r="N42" s="166"/>
      <c r="P42" s="12"/>
      <c r="Q42" s="15"/>
      <c r="R42" s="15"/>
      <c r="S42" s="15"/>
      <c r="T42" s="13"/>
      <c r="U42" s="13"/>
      <c r="V42" s="13"/>
      <c r="W42" s="13"/>
      <c r="X42" s="1"/>
    </row>
    <row r="43" spans="1:24" s="3" customFormat="1" x14ac:dyDescent="0.25">
      <c r="A43" s="191">
        <v>45560</v>
      </c>
      <c r="B43" s="286"/>
      <c r="C43" s="287"/>
      <c r="D43" s="167"/>
      <c r="E43" s="69"/>
      <c r="F43" s="164"/>
      <c r="G43" s="165"/>
      <c r="H43" s="164"/>
      <c r="I43" s="166"/>
      <c r="J43" s="165"/>
      <c r="K43" s="166"/>
      <c r="L43" s="165"/>
      <c r="M43" s="166"/>
      <c r="N43" s="166"/>
      <c r="P43" s="12"/>
      <c r="Q43" s="15"/>
      <c r="R43" s="15"/>
      <c r="S43" s="15"/>
      <c r="T43" s="13"/>
      <c r="U43" s="13"/>
      <c r="V43" s="13"/>
      <c r="W43" s="13"/>
      <c r="X43" s="1"/>
    </row>
    <row r="44" spans="1:24" s="3" customFormat="1" x14ac:dyDescent="0.25">
      <c r="A44" s="191">
        <v>45561</v>
      </c>
      <c r="B44" s="286"/>
      <c r="C44" s="287"/>
      <c r="D44" s="167"/>
      <c r="E44" s="69"/>
      <c r="F44" s="164"/>
      <c r="G44" s="165"/>
      <c r="H44" s="164"/>
      <c r="I44" s="166"/>
      <c r="J44" s="165"/>
      <c r="K44" s="166"/>
      <c r="L44" s="165"/>
      <c r="M44" s="166"/>
      <c r="N44" s="166"/>
      <c r="P44" s="12"/>
      <c r="Q44" s="15"/>
      <c r="R44" s="15"/>
      <c r="S44" s="15"/>
      <c r="T44" s="13"/>
      <c r="U44" s="13"/>
      <c r="V44" s="13"/>
      <c r="W44" s="13"/>
      <c r="X44" s="1"/>
    </row>
    <row r="45" spans="1:24" s="3" customFormat="1" x14ac:dyDescent="0.25">
      <c r="A45" s="191">
        <v>45562</v>
      </c>
      <c r="B45" s="286"/>
      <c r="C45" s="287"/>
      <c r="D45" s="167"/>
      <c r="E45" s="69"/>
      <c r="F45" s="164"/>
      <c r="G45" s="165"/>
      <c r="H45" s="164"/>
      <c r="I45" s="166"/>
      <c r="J45" s="165"/>
      <c r="K45" s="166"/>
      <c r="L45" s="165"/>
      <c r="M45" s="166"/>
      <c r="N45" s="166"/>
      <c r="P45" s="12"/>
      <c r="Q45" s="15"/>
      <c r="R45" s="15"/>
      <c r="S45" s="15"/>
      <c r="T45" s="13"/>
      <c r="U45" s="13"/>
      <c r="V45" s="13"/>
      <c r="W45" s="13"/>
      <c r="X45" s="1"/>
    </row>
    <row r="46" spans="1:24" s="3" customFormat="1" x14ac:dyDescent="0.25">
      <c r="A46" s="191">
        <v>45563</v>
      </c>
      <c r="B46" s="286"/>
      <c r="C46" s="287"/>
      <c r="D46" s="167"/>
      <c r="E46" s="69"/>
      <c r="F46" s="164"/>
      <c r="G46" s="165"/>
      <c r="H46" s="164"/>
      <c r="I46" s="166"/>
      <c r="J46" s="165"/>
      <c r="K46" s="166"/>
      <c r="L46" s="165"/>
      <c r="M46" s="166"/>
      <c r="N46" s="166"/>
      <c r="P46" s="12"/>
      <c r="Q46" s="15"/>
      <c r="R46" s="15"/>
      <c r="S46" s="15"/>
      <c r="T46" s="13"/>
      <c r="U46" s="13"/>
      <c r="V46" s="13"/>
      <c r="W46" s="13"/>
      <c r="X46" s="1"/>
    </row>
    <row r="47" spans="1:24" s="3" customFormat="1" x14ac:dyDescent="0.25">
      <c r="A47" s="191">
        <v>45564</v>
      </c>
      <c r="B47" s="286"/>
      <c r="C47" s="287"/>
      <c r="D47" s="167"/>
      <c r="E47" s="69"/>
      <c r="F47" s="164"/>
      <c r="G47" s="165"/>
      <c r="H47" s="164"/>
      <c r="I47" s="166"/>
      <c r="J47" s="165"/>
      <c r="K47" s="166"/>
      <c r="L47" s="165"/>
      <c r="M47" s="166"/>
      <c r="N47" s="166"/>
      <c r="P47" s="12"/>
      <c r="Q47" s="15"/>
      <c r="R47" s="15"/>
      <c r="S47" s="15"/>
      <c r="T47" s="13"/>
      <c r="U47" s="13"/>
      <c r="V47" s="13"/>
      <c r="W47" s="13"/>
      <c r="X47" s="1"/>
    </row>
    <row r="48" spans="1:24" s="3" customFormat="1" ht="15.75" x14ac:dyDescent="0.25">
      <c r="A48" s="231" t="s">
        <v>21</v>
      </c>
      <c r="B48" s="232"/>
      <c r="C48" s="233"/>
      <c r="D48" s="352">
        <f>+COUNTA(D13:E47)</f>
        <v>0</v>
      </c>
      <c r="E48" s="353"/>
      <c r="F48" s="355">
        <f>+COUNTA(F13:G47)</f>
        <v>0</v>
      </c>
      <c r="G48" s="356"/>
      <c r="H48" s="65"/>
      <c r="I48" s="66"/>
      <c r="J48" s="67"/>
      <c r="K48" s="66"/>
      <c r="L48" s="67"/>
      <c r="M48" s="66"/>
      <c r="N48" s="66"/>
      <c r="P48" s="12"/>
      <c r="Q48" s="15"/>
      <c r="R48" s="15"/>
      <c r="S48" s="15"/>
      <c r="T48" s="13"/>
      <c r="U48" s="13"/>
      <c r="V48" s="13"/>
      <c r="W48" s="13"/>
      <c r="X48" s="1"/>
    </row>
    <row r="49" spans="1:25" s="3" customFormat="1" x14ac:dyDescent="0.25">
      <c r="A49" s="12"/>
      <c r="B49" s="12"/>
      <c r="C49" s="12"/>
      <c r="D49" s="238" t="s">
        <v>38</v>
      </c>
      <c r="E49" s="239"/>
      <c r="F49" s="12"/>
      <c r="G49" s="12"/>
      <c r="H49" s="12"/>
      <c r="I49" s="12"/>
      <c r="J49" s="12"/>
      <c r="K49" s="12"/>
      <c r="L49" s="12"/>
      <c r="M49" s="12"/>
      <c r="N49" s="12"/>
      <c r="P49" s="12"/>
      <c r="Q49" s="15"/>
      <c r="R49" s="15"/>
      <c r="S49" s="15"/>
      <c r="T49" s="13"/>
      <c r="U49" s="13"/>
      <c r="V49" s="13"/>
      <c r="W49" s="13"/>
      <c r="X49" s="1"/>
    </row>
    <row r="50" spans="1:25" s="3" customFormat="1" x14ac:dyDescent="0.25">
      <c r="K50" s="12"/>
      <c r="L50" s="12"/>
      <c r="M50" s="12"/>
      <c r="N50" s="12"/>
      <c r="P50" s="12"/>
      <c r="Q50" s="15"/>
      <c r="R50" s="15"/>
      <c r="S50" s="15"/>
      <c r="T50" s="13"/>
      <c r="U50" s="13"/>
      <c r="V50" s="13"/>
      <c r="W50" s="13"/>
      <c r="X50" s="1"/>
    </row>
    <row r="51" spans="1:25" s="3" customFormat="1" x14ac:dyDescent="0.25">
      <c r="A51" s="29" t="s">
        <v>20</v>
      </c>
      <c r="B51" s="30"/>
      <c r="C51" s="29"/>
      <c r="D51" s="29"/>
      <c r="E51" s="16"/>
      <c r="H51" s="18"/>
      <c r="P51" s="12"/>
      <c r="Q51" s="15"/>
      <c r="R51" s="15"/>
      <c r="S51" s="15"/>
      <c r="T51" s="13"/>
      <c r="U51" s="13"/>
      <c r="V51" s="13"/>
      <c r="W51" s="13"/>
      <c r="X51" s="1"/>
    </row>
    <row r="52" spans="1:25" s="3" customFormat="1" x14ac:dyDescent="0.25">
      <c r="A52" s="29" t="s">
        <v>7</v>
      </c>
      <c r="B52" s="30"/>
      <c r="C52" s="31">
        <f ca="1">TODAY()</f>
        <v>45320</v>
      </c>
      <c r="D52" s="29"/>
      <c r="E52" s="16"/>
      <c r="J52" s="28" t="s">
        <v>22</v>
      </c>
      <c r="P52" s="12"/>
      <c r="Q52" s="15"/>
      <c r="R52" s="15"/>
      <c r="S52" s="15"/>
      <c r="T52" s="13"/>
      <c r="U52" s="13"/>
      <c r="V52" s="13"/>
      <c r="W52" s="13"/>
      <c r="X52" s="1"/>
    </row>
    <row r="53" spans="1:25" s="3" customFormat="1" x14ac:dyDescent="0.25">
      <c r="A53" s="28"/>
      <c r="B53" s="315" t="s">
        <v>47</v>
      </c>
      <c r="C53" s="315"/>
      <c r="D53" s="315"/>
      <c r="E53" s="315"/>
      <c r="F53" s="315"/>
      <c r="J53" s="315" t="s">
        <v>48</v>
      </c>
      <c r="K53" s="315"/>
      <c r="L53" s="315"/>
      <c r="M53" s="315"/>
      <c r="N53" s="315"/>
      <c r="P53" s="12"/>
      <c r="Q53" s="15"/>
      <c r="R53" s="15"/>
      <c r="S53" s="15"/>
      <c r="T53" s="13"/>
      <c r="U53" s="13"/>
      <c r="V53" s="13"/>
      <c r="W53" s="13"/>
      <c r="X53" s="1"/>
    </row>
    <row r="54" spans="1:25" s="3" customFormat="1" x14ac:dyDescent="0.25">
      <c r="B54" s="315"/>
      <c r="C54" s="315"/>
      <c r="D54" s="315"/>
      <c r="E54" s="315"/>
      <c r="F54" s="315"/>
      <c r="J54" s="315"/>
      <c r="K54" s="315"/>
      <c r="L54" s="315"/>
      <c r="M54" s="315"/>
      <c r="N54" s="315"/>
      <c r="P54" s="12"/>
      <c r="Q54" s="15"/>
      <c r="R54" s="15"/>
      <c r="S54" s="15"/>
      <c r="T54" s="13"/>
      <c r="U54" s="13"/>
      <c r="V54" s="13"/>
      <c r="W54" s="13"/>
      <c r="X54" s="1"/>
    </row>
    <row r="55" spans="1:25" s="3" customFormat="1" x14ac:dyDescent="0.25">
      <c r="B55" s="315"/>
      <c r="C55" s="315"/>
      <c r="D55" s="315"/>
      <c r="E55" s="315"/>
      <c r="F55" s="315"/>
      <c r="J55" s="315"/>
      <c r="K55" s="315"/>
      <c r="L55" s="315"/>
      <c r="M55" s="315"/>
      <c r="N55" s="315"/>
      <c r="O55" s="12"/>
      <c r="P55" s="12"/>
      <c r="Q55" s="12"/>
      <c r="R55" s="12"/>
      <c r="S55" s="12"/>
      <c r="T55" s="13"/>
      <c r="U55" s="13"/>
      <c r="V55" s="13"/>
      <c r="W55" s="13"/>
      <c r="X55" s="1"/>
    </row>
    <row r="56" spans="1:25" s="3" customFormat="1" x14ac:dyDescent="0.25">
      <c r="B56" s="315"/>
      <c r="C56" s="315"/>
      <c r="D56" s="315"/>
      <c r="E56" s="315"/>
      <c r="F56" s="315"/>
      <c r="J56" s="315"/>
      <c r="K56" s="315"/>
      <c r="L56" s="315"/>
      <c r="M56" s="315"/>
      <c r="N56" s="315"/>
      <c r="O56" s="12"/>
      <c r="P56" s="12"/>
      <c r="Q56" s="12"/>
      <c r="R56" s="12"/>
      <c r="S56" s="12"/>
      <c r="T56" s="13"/>
      <c r="U56" s="13"/>
      <c r="V56" s="13"/>
      <c r="W56" s="13"/>
      <c r="X56" s="1"/>
    </row>
    <row r="57" spans="1:25" s="3" customFormat="1" x14ac:dyDescent="0.25">
      <c r="B57" s="315"/>
      <c r="C57" s="315"/>
      <c r="D57" s="315"/>
      <c r="E57" s="315"/>
      <c r="F57" s="315"/>
      <c r="J57" s="315"/>
      <c r="K57" s="315"/>
      <c r="L57" s="315"/>
      <c r="M57" s="315"/>
      <c r="N57" s="315"/>
      <c r="O57" s="12"/>
      <c r="P57" s="12"/>
      <c r="U57" s="1"/>
      <c r="V57" s="1"/>
      <c r="W57" s="1"/>
      <c r="X57" s="1"/>
      <c r="Y57" s="1"/>
    </row>
    <row r="58" spans="1:25" s="3" customFormat="1" x14ac:dyDescent="0.25">
      <c r="B58" s="315"/>
      <c r="C58" s="315"/>
      <c r="D58" s="315"/>
      <c r="E58" s="315"/>
      <c r="F58" s="315"/>
      <c r="J58" s="315"/>
      <c r="K58" s="315"/>
      <c r="L58" s="315"/>
      <c r="M58" s="315"/>
      <c r="N58" s="315"/>
      <c r="P58" s="12"/>
      <c r="U58" s="1"/>
      <c r="V58" s="1"/>
      <c r="W58" s="1"/>
      <c r="X58" s="1"/>
      <c r="Y58" s="1"/>
    </row>
    <row r="59" spans="1:25" s="3" customFormat="1" x14ac:dyDescent="0.25">
      <c r="A59" s="3" t="s">
        <v>46</v>
      </c>
      <c r="B59" s="23"/>
      <c r="J59" s="3" t="s">
        <v>39</v>
      </c>
      <c r="P59" s="12"/>
      <c r="U59" s="1"/>
      <c r="V59" s="1"/>
      <c r="W59" s="1"/>
      <c r="X59" s="1"/>
      <c r="Y59" s="1"/>
    </row>
    <row r="60" spans="1:25" s="3" customFormat="1" x14ac:dyDescent="0.25">
      <c r="B60" s="23"/>
      <c r="U60" s="1"/>
      <c r="V60" s="1"/>
      <c r="W60" s="1"/>
      <c r="X60" s="1"/>
      <c r="Y60" s="1"/>
    </row>
    <row r="61" spans="1:25" s="3" customFormat="1" x14ac:dyDescent="0.25">
      <c r="B61" s="23"/>
      <c r="U61" s="1"/>
      <c r="V61" s="1"/>
      <c r="W61" s="1"/>
      <c r="X61" s="1"/>
      <c r="Y61" s="1"/>
    </row>
    <row r="62" spans="1:25" s="3" customFormat="1" x14ac:dyDescent="0.25">
      <c r="A62" s="29"/>
      <c r="B62" s="23"/>
      <c r="D62" s="29"/>
      <c r="U62" s="1"/>
      <c r="V62" s="1"/>
      <c r="W62" s="1"/>
      <c r="X62" s="1"/>
      <c r="Y62" s="1"/>
    </row>
    <row r="63" spans="1:25" s="3" customFormat="1" x14ac:dyDescent="0.25">
      <c r="U63" s="1"/>
      <c r="V63" s="1"/>
      <c r="W63" s="1"/>
      <c r="X63" s="1"/>
      <c r="Y63" s="1"/>
    </row>
    <row r="64" spans="1:25" s="3" customFormat="1" x14ac:dyDescent="0.25">
      <c r="B64" s="23"/>
      <c r="U64" s="1"/>
      <c r="V64" s="1"/>
      <c r="W64" s="1"/>
      <c r="X64" s="1"/>
      <c r="Y64" s="1"/>
    </row>
    <row r="65" spans="2:25" s="3" customFormat="1" x14ac:dyDescent="0.25">
      <c r="B65" s="23"/>
      <c r="U65" s="1"/>
      <c r="V65" s="1"/>
      <c r="W65" s="1"/>
      <c r="X65" s="1"/>
      <c r="Y65" s="1"/>
    </row>
    <row r="66" spans="2:25" s="3" customFormat="1" x14ac:dyDescent="0.25">
      <c r="B66" s="23"/>
      <c r="U66" s="1"/>
      <c r="V66" s="1"/>
      <c r="W66" s="1"/>
      <c r="X66" s="1"/>
      <c r="Y66" s="1"/>
    </row>
    <row r="67" spans="2:25" s="3" customFormat="1" x14ac:dyDescent="0.25">
      <c r="B67" s="23"/>
      <c r="U67" s="1"/>
      <c r="V67" s="1"/>
      <c r="W67" s="1"/>
      <c r="X67" s="1"/>
      <c r="Y67" s="1"/>
    </row>
    <row r="68" spans="2:25" s="3" customFormat="1" x14ac:dyDescent="0.25">
      <c r="B68" s="23"/>
      <c r="U68" s="1"/>
      <c r="V68" s="1"/>
      <c r="W68" s="1"/>
      <c r="X68" s="1"/>
      <c r="Y68" s="1"/>
    </row>
    <row r="69" spans="2:25" s="3" customFormat="1" x14ac:dyDescent="0.25">
      <c r="B69" s="23"/>
      <c r="U69" s="1"/>
      <c r="V69" s="1"/>
      <c r="W69" s="1"/>
      <c r="X69" s="1"/>
      <c r="Y69" s="1"/>
    </row>
    <row r="70" spans="2:25" s="3" customFormat="1" x14ac:dyDescent="0.25">
      <c r="B70" s="23"/>
      <c r="U70" s="1"/>
      <c r="V70" s="1"/>
      <c r="W70" s="1"/>
      <c r="X70" s="1"/>
      <c r="Y70" s="1"/>
    </row>
    <row r="71" spans="2:25" s="3" customFormat="1" x14ac:dyDescent="0.25">
      <c r="B71" s="23"/>
      <c r="U71" s="1"/>
      <c r="V71" s="1"/>
      <c r="W71" s="1"/>
      <c r="X71" s="1"/>
      <c r="Y71" s="1"/>
    </row>
    <row r="72" spans="2:25" s="3" customFormat="1" x14ac:dyDescent="0.25">
      <c r="B72" s="23"/>
      <c r="U72" s="1"/>
      <c r="V72" s="1"/>
      <c r="W72" s="1"/>
      <c r="X72" s="1"/>
      <c r="Y72" s="1"/>
    </row>
    <row r="73" spans="2:25" s="3" customFormat="1" x14ac:dyDescent="0.25">
      <c r="B73" s="23"/>
      <c r="U73" s="1"/>
      <c r="V73" s="1"/>
      <c r="W73" s="1"/>
      <c r="X73" s="1"/>
      <c r="Y73" s="1"/>
    </row>
    <row r="74" spans="2:25" s="3" customFormat="1" x14ac:dyDescent="0.25">
      <c r="B74" s="23"/>
      <c r="U74" s="1"/>
      <c r="V74" s="1"/>
      <c r="W74" s="1"/>
      <c r="X74" s="1"/>
      <c r="Y74" s="1"/>
    </row>
    <row r="75" spans="2:25" s="3" customFormat="1" x14ac:dyDescent="0.25">
      <c r="B75" s="23"/>
      <c r="U75" s="1"/>
      <c r="V75" s="1"/>
      <c r="W75" s="1"/>
      <c r="X75" s="1"/>
      <c r="Y75" s="1"/>
    </row>
    <row r="76" spans="2:25" s="3" customFormat="1" x14ac:dyDescent="0.25">
      <c r="B76" s="23"/>
      <c r="U76" s="1"/>
      <c r="V76" s="1"/>
      <c r="W76" s="1"/>
      <c r="X76" s="1"/>
      <c r="Y76" s="1"/>
    </row>
    <row r="77" spans="2:25" s="3" customFormat="1" x14ac:dyDescent="0.25">
      <c r="B77" s="23"/>
      <c r="U77" s="1"/>
      <c r="V77" s="1"/>
      <c r="W77" s="1"/>
      <c r="X77" s="1"/>
      <c r="Y77" s="1"/>
    </row>
    <row r="78" spans="2:25" s="3" customFormat="1" x14ac:dyDescent="0.25">
      <c r="B78" s="23"/>
      <c r="U78" s="1"/>
      <c r="V78" s="1"/>
      <c r="W78" s="1"/>
      <c r="X78" s="1"/>
      <c r="Y78" s="1"/>
    </row>
    <row r="79" spans="2:25" s="3" customFormat="1" x14ac:dyDescent="0.25">
      <c r="B79" s="23"/>
      <c r="U79" s="1"/>
      <c r="V79" s="1"/>
      <c r="W79" s="1"/>
      <c r="X79" s="1"/>
      <c r="Y79" s="1"/>
    </row>
    <row r="80" spans="2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2:25" s="3" customFormat="1" x14ac:dyDescent="0.25">
      <c r="B225" s="23"/>
      <c r="U225" s="1"/>
      <c r="V225" s="1"/>
      <c r="W225" s="1"/>
      <c r="X225" s="1"/>
      <c r="Y225" s="1"/>
    </row>
    <row r="226" spans="2:25" s="3" customFormat="1" x14ac:dyDescent="0.25">
      <c r="B226" s="23"/>
      <c r="U226" s="1"/>
      <c r="V226" s="1"/>
      <c r="W226" s="1"/>
      <c r="X226" s="1"/>
      <c r="Y226" s="1"/>
    </row>
    <row r="227" spans="2:25" s="3" customFormat="1" x14ac:dyDescent="0.25">
      <c r="B227" s="23"/>
      <c r="U227" s="1"/>
      <c r="V227" s="1"/>
      <c r="W227" s="1"/>
      <c r="X227" s="1"/>
      <c r="Y227" s="1"/>
    </row>
    <row r="228" spans="2:25" s="3" customFormat="1" x14ac:dyDescent="0.25">
      <c r="B228" s="23"/>
      <c r="U228" s="1"/>
      <c r="V228" s="1"/>
      <c r="W228" s="1"/>
      <c r="X228" s="1"/>
      <c r="Y228" s="1"/>
    </row>
    <row r="229" spans="2:25" s="3" customFormat="1" x14ac:dyDescent="0.25">
      <c r="B229" s="23"/>
      <c r="U229" s="1"/>
      <c r="V229" s="1"/>
      <c r="W229" s="1"/>
      <c r="X229" s="1"/>
      <c r="Y229" s="1"/>
    </row>
    <row r="230" spans="2:25" s="3" customFormat="1" x14ac:dyDescent="0.25">
      <c r="B230" s="23"/>
      <c r="U230" s="1"/>
      <c r="V230" s="1"/>
      <c r="W230" s="1"/>
      <c r="X230" s="1"/>
      <c r="Y230" s="1"/>
    </row>
    <row r="231" spans="2:25" s="3" customFormat="1" x14ac:dyDescent="0.25">
      <c r="B231" s="23"/>
      <c r="U231" s="1"/>
      <c r="V231" s="1"/>
      <c r="W231" s="1"/>
      <c r="X231" s="1"/>
      <c r="Y231" s="1"/>
    </row>
    <row r="232" spans="2:25" s="3" customFormat="1" x14ac:dyDescent="0.25">
      <c r="B232" s="23"/>
      <c r="U232" s="1"/>
      <c r="V232" s="1"/>
      <c r="W232" s="1"/>
      <c r="X232" s="1"/>
      <c r="Y232" s="1"/>
    </row>
    <row r="233" spans="2:25" s="3" customFormat="1" x14ac:dyDescent="0.25">
      <c r="B233" s="23"/>
      <c r="U233" s="1"/>
      <c r="V233" s="1"/>
      <c r="W233" s="1"/>
      <c r="X233" s="1"/>
      <c r="Y233" s="1"/>
    </row>
    <row r="234" spans="2:25" s="3" customFormat="1" x14ac:dyDescent="0.25">
      <c r="B234" s="23"/>
      <c r="U234" s="1"/>
      <c r="V234" s="1"/>
      <c r="W234" s="1"/>
      <c r="X234" s="1"/>
      <c r="Y234" s="1"/>
    </row>
    <row r="235" spans="2:25" s="3" customFormat="1" x14ac:dyDescent="0.25">
      <c r="B235" s="23"/>
      <c r="U235" s="1"/>
      <c r="V235" s="1"/>
      <c r="W235" s="1"/>
      <c r="X235" s="1"/>
      <c r="Y235" s="1"/>
    </row>
    <row r="236" spans="2:25" s="3" customFormat="1" x14ac:dyDescent="0.25">
      <c r="B236" s="23"/>
      <c r="K236" s="6"/>
      <c r="L236" s="6"/>
      <c r="M236" s="6"/>
      <c r="N236" s="6"/>
      <c r="U236" s="1"/>
      <c r="V236" s="1"/>
      <c r="W236" s="1"/>
      <c r="X236" s="1"/>
      <c r="Y236" s="1"/>
    </row>
    <row r="237" spans="2:25" s="3" customFormat="1" x14ac:dyDescent="0.25">
      <c r="B237" s="23"/>
      <c r="K237" s="6"/>
      <c r="L237" s="6"/>
      <c r="M237" s="6"/>
      <c r="N237" s="6"/>
      <c r="U237" s="1"/>
      <c r="V237" s="1"/>
      <c r="W237" s="1"/>
      <c r="X237" s="1"/>
      <c r="Y237" s="1"/>
    </row>
    <row r="238" spans="2:25" s="3" customFormat="1" x14ac:dyDescent="0.25">
      <c r="B238" s="23"/>
      <c r="K238" s="6"/>
      <c r="L238" s="6"/>
      <c r="M238" s="6"/>
      <c r="N238" s="6"/>
      <c r="U238" s="1"/>
      <c r="V238" s="1"/>
      <c r="W238" s="1"/>
      <c r="X238" s="1"/>
      <c r="Y238" s="1"/>
    </row>
    <row r="239" spans="2:25" s="3" customFormat="1" x14ac:dyDescent="0.25">
      <c r="B239" s="23"/>
      <c r="J239" s="6"/>
      <c r="K239" s="6"/>
      <c r="L239" s="6"/>
      <c r="M239" s="6"/>
      <c r="N239" s="6"/>
      <c r="U239" s="1"/>
      <c r="V239" s="1"/>
      <c r="W239" s="1"/>
      <c r="X239" s="1"/>
      <c r="Y239" s="1"/>
    </row>
    <row r="240" spans="2:25" s="3" customFormat="1" x14ac:dyDescent="0.25">
      <c r="B240" s="23"/>
      <c r="J240" s="6"/>
      <c r="K240" s="6"/>
      <c r="L240" s="6"/>
      <c r="M240" s="6"/>
      <c r="N240" s="6"/>
      <c r="U240" s="1"/>
      <c r="V240" s="1"/>
      <c r="W240" s="1"/>
      <c r="X240" s="1"/>
      <c r="Y240" s="1"/>
    </row>
    <row r="241" spans="1:25" s="3" customFormat="1" x14ac:dyDescent="0.25">
      <c r="B241" s="23"/>
      <c r="J241" s="6"/>
      <c r="K241" s="6"/>
      <c r="L241" s="6"/>
      <c r="M241" s="6"/>
      <c r="N241" s="6"/>
      <c r="U241" s="1"/>
      <c r="V241" s="1"/>
      <c r="W241" s="1"/>
      <c r="X241" s="1"/>
      <c r="Y241" s="1"/>
    </row>
    <row r="242" spans="1:25" s="3" customFormat="1" x14ac:dyDescent="0.25">
      <c r="B242" s="23"/>
      <c r="J242" s="6"/>
      <c r="K242" s="6"/>
      <c r="L242" s="6"/>
      <c r="M242" s="6"/>
      <c r="N242" s="6"/>
      <c r="U242" s="1"/>
      <c r="V242" s="1"/>
      <c r="W242" s="1"/>
      <c r="X242" s="1"/>
      <c r="Y242" s="1"/>
    </row>
    <row r="243" spans="1:25" s="3" customFormat="1" x14ac:dyDescent="0.25">
      <c r="B243" s="23"/>
      <c r="J243" s="6"/>
      <c r="K243" s="6"/>
      <c r="L243" s="6"/>
      <c r="M243" s="6"/>
      <c r="N243" s="6"/>
      <c r="U243" s="1"/>
      <c r="V243" s="1"/>
      <c r="W243" s="1"/>
      <c r="X243" s="1"/>
      <c r="Y243" s="1"/>
    </row>
    <row r="244" spans="1:25" s="3" customFormat="1" x14ac:dyDescent="0.25">
      <c r="B244" s="23"/>
      <c r="J244" s="6"/>
      <c r="K244" s="6"/>
      <c r="L244" s="6"/>
      <c r="M244" s="6"/>
      <c r="N244" s="6"/>
      <c r="U244" s="1"/>
      <c r="V244" s="1"/>
      <c r="W244" s="1"/>
      <c r="X244" s="1"/>
      <c r="Y244" s="1"/>
    </row>
    <row r="245" spans="1:25" s="3" customFormat="1" x14ac:dyDescent="0.25">
      <c r="A245" s="6"/>
      <c r="B245" s="25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U245" s="1"/>
      <c r="V245" s="1"/>
      <c r="W245" s="1"/>
      <c r="X245" s="1"/>
      <c r="Y245" s="1"/>
    </row>
    <row r="246" spans="1:25" s="3" customFormat="1" x14ac:dyDescent="0.25">
      <c r="A246" s="6"/>
      <c r="B246" s="25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U246" s="1"/>
      <c r="V246" s="1"/>
      <c r="W246" s="1"/>
      <c r="X246" s="1"/>
      <c r="Y246" s="1"/>
    </row>
    <row r="247" spans="1:25" s="3" customFormat="1" x14ac:dyDescent="0.25">
      <c r="A247" s="6"/>
      <c r="B247" s="25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U247" s="1"/>
      <c r="V247" s="1"/>
      <c r="W247" s="1"/>
      <c r="X247" s="1"/>
      <c r="Y247" s="1"/>
    </row>
    <row r="248" spans="1:25" s="3" customFormat="1" x14ac:dyDescent="0.25">
      <c r="A248" s="6"/>
      <c r="B248" s="25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U248" s="1"/>
      <c r="V248" s="1"/>
      <c r="W248" s="1"/>
      <c r="X248" s="1"/>
      <c r="Y248" s="1"/>
    </row>
    <row r="249" spans="1:25" s="3" customFormat="1" x14ac:dyDescent="0.25">
      <c r="A249" s="6"/>
      <c r="B249" s="25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U249" s="1"/>
      <c r="V249" s="1"/>
      <c r="W249" s="1"/>
      <c r="X249" s="1"/>
      <c r="Y249" s="1"/>
    </row>
    <row r="250" spans="1:25" s="3" customFormat="1" x14ac:dyDescent="0.25">
      <c r="A250" s="6"/>
      <c r="B250" s="25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U250" s="1"/>
      <c r="V250" s="1"/>
      <c r="W250" s="1"/>
      <c r="X250" s="1"/>
      <c r="Y250" s="1"/>
    </row>
    <row r="251" spans="1:25" s="3" customFormat="1" x14ac:dyDescent="0.25">
      <c r="A251" s="6"/>
      <c r="B251" s="25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U251" s="1"/>
      <c r="V251" s="1"/>
      <c r="W251" s="1"/>
      <c r="X251" s="1"/>
      <c r="Y251" s="1"/>
    </row>
    <row r="252" spans="1:25" s="3" customFormat="1" x14ac:dyDescent="0.25">
      <c r="A252" s="6"/>
      <c r="B252" s="25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Q252" s="6"/>
      <c r="R252" s="6"/>
      <c r="S252" s="6"/>
      <c r="U252" s="1"/>
      <c r="V252" s="1"/>
      <c r="W252" s="1"/>
      <c r="X252" s="1"/>
      <c r="Y252" s="1"/>
    </row>
  </sheetData>
  <sheetProtection sheet="1" objects="1" scenarios="1"/>
  <mergeCells count="183">
    <mergeCell ref="A14:C14"/>
    <mergeCell ref="D2:K4"/>
    <mergeCell ref="L2:N4"/>
    <mergeCell ref="R3:T3"/>
    <mergeCell ref="B5:K5"/>
    <mergeCell ref="L5:N5"/>
    <mergeCell ref="R5:T5"/>
    <mergeCell ref="C8:F8"/>
    <mergeCell ref="K8:N8"/>
    <mergeCell ref="C10:F10"/>
    <mergeCell ref="K10:N10"/>
    <mergeCell ref="D15:E15"/>
    <mergeCell ref="F15:G15"/>
    <mergeCell ref="H15:J15"/>
    <mergeCell ref="K15:L15"/>
    <mergeCell ref="M15:N15"/>
    <mergeCell ref="A15:C15"/>
    <mergeCell ref="A16:C16"/>
    <mergeCell ref="A12:C12"/>
    <mergeCell ref="D12:E12"/>
    <mergeCell ref="F12:G12"/>
    <mergeCell ref="H12:J12"/>
    <mergeCell ref="K12:L12"/>
    <mergeCell ref="M12:N12"/>
    <mergeCell ref="D14:E14"/>
    <mergeCell ref="F14:G14"/>
    <mergeCell ref="H14:J14"/>
    <mergeCell ref="K14:L14"/>
    <mergeCell ref="M14:N14"/>
    <mergeCell ref="D13:E13"/>
    <mergeCell ref="F13:G13"/>
    <mergeCell ref="H13:J13"/>
    <mergeCell ref="K13:L13"/>
    <mergeCell ref="M13:N13"/>
    <mergeCell ref="A13:C13"/>
    <mergeCell ref="D17:E17"/>
    <mergeCell ref="F17:G17"/>
    <mergeCell ref="H17:J17"/>
    <mergeCell ref="K17:L17"/>
    <mergeCell ref="M17:N17"/>
    <mergeCell ref="A17:C17"/>
    <mergeCell ref="A18:C18"/>
    <mergeCell ref="D16:E16"/>
    <mergeCell ref="F16:G16"/>
    <mergeCell ref="H16:J16"/>
    <mergeCell ref="K16:L16"/>
    <mergeCell ref="M16:N16"/>
    <mergeCell ref="D19:E19"/>
    <mergeCell ref="F19:G19"/>
    <mergeCell ref="H19:J19"/>
    <mergeCell ref="K19:L19"/>
    <mergeCell ref="M19:N19"/>
    <mergeCell ref="A19:C19"/>
    <mergeCell ref="A20:C20"/>
    <mergeCell ref="D18:E18"/>
    <mergeCell ref="F18:G18"/>
    <mergeCell ref="H18:J18"/>
    <mergeCell ref="K18:L18"/>
    <mergeCell ref="M18:N18"/>
    <mergeCell ref="D21:E21"/>
    <mergeCell ref="F21:G21"/>
    <mergeCell ref="H21:J21"/>
    <mergeCell ref="K21:L21"/>
    <mergeCell ref="M21:N21"/>
    <mergeCell ref="A21:C21"/>
    <mergeCell ref="A22:C22"/>
    <mergeCell ref="D20:E20"/>
    <mergeCell ref="F20:G20"/>
    <mergeCell ref="H20:J20"/>
    <mergeCell ref="K20:L20"/>
    <mergeCell ref="M20:N20"/>
    <mergeCell ref="D23:E23"/>
    <mergeCell ref="F23:G23"/>
    <mergeCell ref="H23:J23"/>
    <mergeCell ref="K23:L23"/>
    <mergeCell ref="M23:N23"/>
    <mergeCell ref="A23:C23"/>
    <mergeCell ref="A24:C24"/>
    <mergeCell ref="D22:E22"/>
    <mergeCell ref="F22:G22"/>
    <mergeCell ref="H22:J22"/>
    <mergeCell ref="K22:L22"/>
    <mergeCell ref="M22:N22"/>
    <mergeCell ref="D25:E25"/>
    <mergeCell ref="F25:G25"/>
    <mergeCell ref="H25:J25"/>
    <mergeCell ref="K25:L25"/>
    <mergeCell ref="M25:N25"/>
    <mergeCell ref="A25:C25"/>
    <mergeCell ref="A26:C26"/>
    <mergeCell ref="D24:E24"/>
    <mergeCell ref="F24:G24"/>
    <mergeCell ref="H24:J24"/>
    <mergeCell ref="K24:L24"/>
    <mergeCell ref="M24:N24"/>
    <mergeCell ref="D27:E27"/>
    <mergeCell ref="F27:G27"/>
    <mergeCell ref="H27:J27"/>
    <mergeCell ref="K27:L27"/>
    <mergeCell ref="M27:N27"/>
    <mergeCell ref="A27:C27"/>
    <mergeCell ref="A28:C28"/>
    <mergeCell ref="D26:E26"/>
    <mergeCell ref="F26:G26"/>
    <mergeCell ref="H26:J26"/>
    <mergeCell ref="K26:L26"/>
    <mergeCell ref="M26:N26"/>
    <mergeCell ref="D29:E29"/>
    <mergeCell ref="F29:G29"/>
    <mergeCell ref="H29:J29"/>
    <mergeCell ref="K29:L29"/>
    <mergeCell ref="M29:N29"/>
    <mergeCell ref="A29:C29"/>
    <mergeCell ref="A30:C30"/>
    <mergeCell ref="D28:E28"/>
    <mergeCell ref="F28:G28"/>
    <mergeCell ref="H28:J28"/>
    <mergeCell ref="K28:L28"/>
    <mergeCell ref="M28:N28"/>
    <mergeCell ref="D31:E31"/>
    <mergeCell ref="F31:G31"/>
    <mergeCell ref="H31:J31"/>
    <mergeCell ref="K31:L31"/>
    <mergeCell ref="M31:N31"/>
    <mergeCell ref="A31:C31"/>
    <mergeCell ref="A32:C32"/>
    <mergeCell ref="D30:E30"/>
    <mergeCell ref="F30:G30"/>
    <mergeCell ref="H30:J30"/>
    <mergeCell ref="K30:L30"/>
    <mergeCell ref="M30:N30"/>
    <mergeCell ref="D33:E33"/>
    <mergeCell ref="F33:G33"/>
    <mergeCell ref="H33:J33"/>
    <mergeCell ref="K33:L33"/>
    <mergeCell ref="A33:C33"/>
    <mergeCell ref="A34:C34"/>
    <mergeCell ref="A35:C35"/>
    <mergeCell ref="M33:N33"/>
    <mergeCell ref="D32:E32"/>
    <mergeCell ref="F32:G32"/>
    <mergeCell ref="H32:J32"/>
    <mergeCell ref="K32:L32"/>
    <mergeCell ref="M32:N32"/>
    <mergeCell ref="A36:C36"/>
    <mergeCell ref="A37:C37"/>
    <mergeCell ref="A38:C38"/>
    <mergeCell ref="A39:C39"/>
    <mergeCell ref="D34:E34"/>
    <mergeCell ref="F34:G34"/>
    <mergeCell ref="K34:L34"/>
    <mergeCell ref="D35:E35"/>
    <mergeCell ref="F35:G35"/>
    <mergeCell ref="K35:L35"/>
    <mergeCell ref="D38:E38"/>
    <mergeCell ref="F38:G38"/>
    <mergeCell ref="K38:L38"/>
    <mergeCell ref="D39:E39"/>
    <mergeCell ref="F39:G39"/>
    <mergeCell ref="K39:L39"/>
    <mergeCell ref="D36:E36"/>
    <mergeCell ref="F36:G36"/>
    <mergeCell ref="K36:L36"/>
    <mergeCell ref="D37:E37"/>
    <mergeCell ref="F37:G37"/>
    <mergeCell ref="K37:L37"/>
    <mergeCell ref="A40:C40"/>
    <mergeCell ref="D49:E49"/>
    <mergeCell ref="B53:F58"/>
    <mergeCell ref="J53:N58"/>
    <mergeCell ref="D40:E40"/>
    <mergeCell ref="F40:G40"/>
    <mergeCell ref="K40:L40"/>
    <mergeCell ref="A48:C48"/>
    <mergeCell ref="D48:E48"/>
    <mergeCell ref="F48:G48"/>
    <mergeCell ref="A41:C41"/>
    <mergeCell ref="A42:C42"/>
    <mergeCell ref="A43:C43"/>
    <mergeCell ref="A44:C44"/>
    <mergeCell ref="A45:C45"/>
    <mergeCell ref="A46:C46"/>
    <mergeCell ref="A47:C47"/>
  </mergeCells>
  <conditionalFormatting sqref="D13:D48">
    <cfRule type="expression" dxfId="29" priority="5">
      <formula>#REF!="Non"</formula>
    </cfRule>
    <cfRule type="expression" dxfId="28" priority="6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7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80A6E"/>
    <pageSetUpPr fitToPage="1"/>
  </sheetPr>
  <dimension ref="A1:BD258"/>
  <sheetViews>
    <sheetView topLeftCell="A22" zoomScale="80" zoomScaleNormal="80" workbookViewId="0">
      <selection activeCell="T39" sqref="T39"/>
    </sheetView>
  </sheetViews>
  <sheetFormatPr baseColWidth="10" defaultColWidth="11.42578125" defaultRowHeight="15" x14ac:dyDescent="0.25"/>
  <cols>
    <col min="1" max="1" width="6.42578125" style="6" customWidth="1"/>
    <col min="2" max="2" width="7.42578125" style="25" customWidth="1"/>
    <col min="3" max="3" width="13.5703125" style="6" customWidth="1"/>
    <col min="4" max="4" width="8.42578125" style="6" customWidth="1"/>
    <col min="5" max="5" width="6.42578125" style="6" customWidth="1"/>
    <col min="6" max="6" width="5.42578125" style="6" customWidth="1"/>
    <col min="7" max="7" width="8" style="6" customWidth="1"/>
    <col min="8" max="8" width="5.85546875" style="6" customWidth="1"/>
    <col min="9" max="9" width="9.42578125" style="6" customWidth="1"/>
    <col min="10" max="10" width="14.42578125" style="6" customWidth="1"/>
    <col min="11" max="12" width="8.140625" style="6" customWidth="1"/>
    <col min="13" max="13" width="8" style="6" customWidth="1"/>
    <col min="14" max="14" width="10.42578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67</v>
      </c>
      <c r="E2" s="195"/>
      <c r="F2" s="195"/>
      <c r="G2" s="195"/>
      <c r="H2" s="195"/>
      <c r="I2" s="195"/>
      <c r="J2" s="195"/>
      <c r="K2" s="195"/>
      <c r="L2" s="251">
        <f>'Niveau 1 Oct'!L2:N4</f>
        <v>45566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6"/>
      <c r="Q3" s="4"/>
      <c r="R3" s="220"/>
      <c r="S3" s="220"/>
      <c r="T3" s="220"/>
      <c r="U3" s="36"/>
      <c r="V3" s="36"/>
      <c r="W3" s="36"/>
      <c r="X3" s="36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6"/>
      <c r="Q4" s="4"/>
      <c r="R4" s="36"/>
      <c r="S4" s="36"/>
      <c r="T4" s="36"/>
      <c r="U4" s="36"/>
      <c r="V4" s="36"/>
      <c r="W4" s="36"/>
      <c r="X4" s="36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f>+'Niveau 1 Oct'!L5:N5</f>
        <v>45566</v>
      </c>
      <c r="M5" s="222"/>
      <c r="N5" s="222"/>
      <c r="O5" s="3"/>
      <c r="P5" s="36"/>
      <c r="Q5" s="5"/>
      <c r="R5" s="220"/>
      <c r="S5" s="220"/>
      <c r="T5" s="220"/>
      <c r="U5" s="36"/>
      <c r="V5" s="36"/>
      <c r="W5" s="36"/>
      <c r="X5" s="36"/>
      <c r="Y5" s="5"/>
    </row>
    <row r="6" spans="1:25" ht="19.5" customHeight="1" x14ac:dyDescent="0.35">
      <c r="A6" s="46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36"/>
      <c r="V6" s="36"/>
      <c r="W6" s="36"/>
      <c r="X6" s="36"/>
      <c r="Y6" s="5"/>
    </row>
    <row r="7" spans="1:25" ht="19.5" customHeight="1" thickBot="1" x14ac:dyDescent="0.4">
      <c r="A7" s="48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38"/>
      <c r="V7" s="38"/>
      <c r="W7" s="38"/>
      <c r="X7" s="38"/>
      <c r="Y7" s="5"/>
    </row>
    <row r="8" spans="1:25" ht="18" customHeight="1" thickBot="1" x14ac:dyDescent="0.3">
      <c r="A8" s="8" t="s">
        <v>2</v>
      </c>
      <c r="B8" s="24"/>
      <c r="C8" s="324"/>
      <c r="D8" s="325"/>
      <c r="E8" s="325"/>
      <c r="F8" s="326"/>
      <c r="G8" s="9"/>
      <c r="H8" s="8" t="s">
        <v>26</v>
      </c>
      <c r="I8" s="8"/>
      <c r="J8" s="8"/>
      <c r="K8" s="324"/>
      <c r="L8" s="325"/>
      <c r="M8" s="325"/>
      <c r="N8" s="326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324"/>
      <c r="D10" s="325"/>
      <c r="E10" s="325"/>
      <c r="F10" s="326"/>
      <c r="G10" s="9"/>
      <c r="H10" s="8" t="s">
        <v>25</v>
      </c>
      <c r="I10" s="8"/>
      <c r="J10" s="8"/>
      <c r="K10" s="324"/>
      <c r="L10" s="325"/>
      <c r="M10" s="325"/>
      <c r="N10" s="326"/>
      <c r="O10" s="26"/>
      <c r="P10" s="26"/>
      <c r="Q10" s="26"/>
      <c r="R10" s="26"/>
      <c r="S10" s="26"/>
      <c r="T10" s="26"/>
      <c r="U10" s="11"/>
    </row>
    <row r="11" spans="1:25" ht="18" customHeight="1" thickBot="1" x14ac:dyDescent="0.35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8" customHeight="1" thickBot="1" x14ac:dyDescent="0.35">
      <c r="A12" s="8" t="s">
        <v>49</v>
      </c>
      <c r="B12" s="24"/>
      <c r="C12" s="324"/>
      <c r="D12" s="325"/>
      <c r="E12" s="325"/>
      <c r="F12" s="326"/>
      <c r="G12" s="24"/>
      <c r="H12" s="8" t="s">
        <v>52</v>
      </c>
      <c r="I12" s="8"/>
      <c r="J12" s="24"/>
      <c r="K12" s="346"/>
      <c r="L12" s="347"/>
      <c r="M12" s="8" t="s">
        <v>59</v>
      </c>
      <c r="N12" s="24"/>
      <c r="O12" s="26"/>
      <c r="P12" s="26"/>
      <c r="Q12" s="26"/>
      <c r="R12" s="26"/>
      <c r="S12" s="26"/>
      <c r="T12" s="26"/>
      <c r="U12" s="11"/>
    </row>
    <row r="13" spans="1:25" ht="18" customHeight="1" thickBot="1" x14ac:dyDescent="0.35">
      <c r="A13" s="8"/>
      <c r="B13" s="24"/>
      <c r="C13" s="24"/>
      <c r="D13" s="24"/>
      <c r="E13" s="24"/>
      <c r="F13" s="24"/>
      <c r="G13" s="24"/>
      <c r="H13" s="8" t="s">
        <v>51</v>
      </c>
      <c r="I13" s="8"/>
      <c r="J13" s="24"/>
      <c r="K13" s="344"/>
      <c r="L13" s="345"/>
      <c r="M13" s="32" t="s">
        <v>60</v>
      </c>
      <c r="N13" s="24"/>
      <c r="O13" s="26"/>
      <c r="P13" s="26"/>
      <c r="Q13" s="26"/>
      <c r="R13" s="26"/>
      <c r="S13" s="26"/>
      <c r="T13" s="26"/>
      <c r="U13" s="11"/>
    </row>
    <row r="14" spans="1:25" ht="13.5" customHeight="1" thickBot="1" x14ac:dyDescent="0.35">
      <c r="A14" s="8"/>
      <c r="B14" s="24"/>
      <c r="C14" s="24"/>
      <c r="D14" s="24"/>
      <c r="E14" s="24"/>
      <c r="F14" s="24"/>
      <c r="G14" s="9"/>
      <c r="H14" s="8"/>
      <c r="I14" s="8"/>
      <c r="J14" s="8"/>
      <c r="K14" s="8"/>
      <c r="L14" s="8"/>
      <c r="M14" s="8"/>
      <c r="N14" s="8"/>
      <c r="O14" s="26"/>
      <c r="P14" s="26"/>
      <c r="Q14" s="26"/>
      <c r="R14" s="26"/>
      <c r="S14" s="26"/>
      <c r="T14" s="26"/>
      <c r="U14" s="11"/>
    </row>
    <row r="15" spans="1:25" ht="22.5" customHeight="1" thickBot="1" x14ac:dyDescent="0.35">
      <c r="A15" s="8"/>
      <c r="B15" s="24"/>
      <c r="C15" s="10"/>
      <c r="D15" s="10"/>
      <c r="E15" s="10"/>
      <c r="F15" s="262" t="s">
        <v>28</v>
      </c>
      <c r="G15" s="263"/>
      <c r="H15" s="263"/>
      <c r="I15" s="263"/>
      <c r="J15" s="263"/>
      <c r="K15" s="263"/>
      <c r="L15" s="263"/>
      <c r="M15" s="263"/>
      <c r="N15" s="264"/>
      <c r="O15" s="26"/>
      <c r="P15" s="26"/>
      <c r="Q15" s="26"/>
      <c r="R15" s="26"/>
      <c r="S15" s="26"/>
      <c r="T15" s="26"/>
      <c r="U15" s="11"/>
    </row>
    <row r="16" spans="1:25" s="19" customFormat="1" ht="54.75" customHeight="1" x14ac:dyDescent="0.25">
      <c r="A16" s="200" t="s">
        <v>1</v>
      </c>
      <c r="B16" s="201"/>
      <c r="C16" s="202"/>
      <c r="D16" s="203" t="s">
        <v>58</v>
      </c>
      <c r="E16" s="204"/>
      <c r="F16" s="265" t="s">
        <v>29</v>
      </c>
      <c r="G16" s="265"/>
      <c r="H16" s="266" t="s">
        <v>61</v>
      </c>
      <c r="I16" s="267"/>
      <c r="J16" s="37" t="s">
        <v>63</v>
      </c>
      <c r="K16" s="268" t="s">
        <v>64</v>
      </c>
      <c r="L16" s="269"/>
      <c r="M16" s="266" t="s">
        <v>30</v>
      </c>
      <c r="N16" s="267"/>
      <c r="O16" s="26"/>
      <c r="P16" s="26"/>
      <c r="Q16" s="26"/>
      <c r="R16" s="26"/>
      <c r="S16" s="26"/>
      <c r="T16" s="26"/>
      <c r="U16" s="20"/>
      <c r="V16" s="20"/>
      <c r="W16" s="20"/>
      <c r="X16" s="21"/>
    </row>
    <row r="17" spans="1:24" s="3" customFormat="1" ht="15.75" x14ac:dyDescent="0.25">
      <c r="A17" s="191">
        <v>45530</v>
      </c>
      <c r="B17" s="286"/>
      <c r="C17" s="287"/>
      <c r="D17" s="336"/>
      <c r="E17" s="336"/>
      <c r="F17" s="337"/>
      <c r="G17" s="338"/>
      <c r="H17" s="339"/>
      <c r="I17" s="340"/>
      <c r="J17" s="49"/>
      <c r="K17" s="341"/>
      <c r="L17" s="341"/>
      <c r="M17" s="309">
        <f t="shared" ref="M17" si="0">+K17-J17</f>
        <v>0</v>
      </c>
      <c r="N17" s="310"/>
      <c r="O17" s="26"/>
      <c r="P17" s="26"/>
      <c r="Q17" s="26"/>
      <c r="R17" s="26"/>
      <c r="S17" s="26"/>
      <c r="T17" s="26"/>
      <c r="U17" s="13"/>
      <c r="V17" s="13"/>
      <c r="W17" s="13"/>
      <c r="X17" s="1"/>
    </row>
    <row r="18" spans="1:24" s="3" customFormat="1" ht="15.75" x14ac:dyDescent="0.25">
      <c r="A18" s="191">
        <v>45531</v>
      </c>
      <c r="B18" s="286"/>
      <c r="C18" s="287"/>
      <c r="D18" s="336"/>
      <c r="E18" s="336"/>
      <c r="F18" s="337"/>
      <c r="G18" s="338"/>
      <c r="H18" s="339"/>
      <c r="I18" s="340"/>
      <c r="J18" s="49"/>
      <c r="K18" s="341"/>
      <c r="L18" s="341"/>
      <c r="M18" s="309">
        <f t="shared" ref="M18:M44" si="1">+K18-J18</f>
        <v>0</v>
      </c>
      <c r="N18" s="310"/>
      <c r="P18" s="26"/>
      <c r="Q18" s="26"/>
      <c r="R18" s="26"/>
      <c r="S18" s="26"/>
      <c r="T18" s="26"/>
      <c r="U18" s="13"/>
      <c r="V18" s="13"/>
      <c r="W18" s="13"/>
      <c r="X18" s="1"/>
    </row>
    <row r="19" spans="1:24" s="3" customFormat="1" ht="15.75" x14ac:dyDescent="0.25">
      <c r="A19" s="191">
        <v>45532</v>
      </c>
      <c r="B19" s="286"/>
      <c r="C19" s="287"/>
      <c r="D19" s="336"/>
      <c r="E19" s="336"/>
      <c r="F19" s="337"/>
      <c r="G19" s="338"/>
      <c r="H19" s="339"/>
      <c r="I19" s="340"/>
      <c r="J19" s="49"/>
      <c r="K19" s="341"/>
      <c r="L19" s="341"/>
      <c r="M19" s="309">
        <f t="shared" si="1"/>
        <v>0</v>
      </c>
      <c r="N19" s="310"/>
      <c r="P19" s="26"/>
      <c r="Q19" s="26"/>
      <c r="R19" s="26"/>
      <c r="S19" s="26"/>
      <c r="T19" s="26"/>
      <c r="U19" s="26"/>
      <c r="V19" s="13"/>
      <c r="W19" s="13"/>
      <c r="X19" s="1"/>
    </row>
    <row r="20" spans="1:24" s="3" customFormat="1" x14ac:dyDescent="0.25">
      <c r="A20" s="191">
        <v>45533</v>
      </c>
      <c r="B20" s="286"/>
      <c r="C20" s="287"/>
      <c r="D20" s="336"/>
      <c r="E20" s="336"/>
      <c r="F20" s="337"/>
      <c r="G20" s="338"/>
      <c r="H20" s="339"/>
      <c r="I20" s="340"/>
      <c r="J20" s="49"/>
      <c r="K20" s="341"/>
      <c r="L20" s="341"/>
      <c r="M20" s="309">
        <f t="shared" si="1"/>
        <v>0</v>
      </c>
      <c r="N20" s="310"/>
      <c r="P20" s="12"/>
      <c r="Q20" s="12"/>
      <c r="R20" s="12"/>
      <c r="S20" s="12"/>
      <c r="T20" s="13"/>
      <c r="U20" s="13"/>
      <c r="V20" s="13"/>
      <c r="W20" s="13"/>
      <c r="X20" s="1"/>
    </row>
    <row r="21" spans="1:24" s="3" customFormat="1" x14ac:dyDescent="0.25">
      <c r="A21" s="191">
        <v>45534</v>
      </c>
      <c r="B21" s="286"/>
      <c r="C21" s="287"/>
      <c r="D21" s="336"/>
      <c r="E21" s="336"/>
      <c r="F21" s="337"/>
      <c r="G21" s="338"/>
      <c r="H21" s="339"/>
      <c r="I21" s="340"/>
      <c r="J21" s="49"/>
      <c r="K21" s="341"/>
      <c r="L21" s="341"/>
      <c r="M21" s="309">
        <f t="shared" si="1"/>
        <v>0</v>
      </c>
      <c r="N21" s="310"/>
      <c r="P21" s="12"/>
      <c r="Q21" s="12"/>
      <c r="R21" s="12"/>
      <c r="S21" s="12"/>
      <c r="T21" s="13"/>
      <c r="U21" s="13"/>
      <c r="V21" s="13"/>
      <c r="W21" s="13"/>
      <c r="X21" s="1"/>
    </row>
    <row r="22" spans="1:24" s="3" customFormat="1" x14ac:dyDescent="0.25">
      <c r="A22" s="191">
        <v>45535</v>
      </c>
      <c r="B22" s="286"/>
      <c r="C22" s="287"/>
      <c r="D22" s="336"/>
      <c r="E22" s="336"/>
      <c r="F22" s="337"/>
      <c r="G22" s="338"/>
      <c r="H22" s="339"/>
      <c r="I22" s="340"/>
      <c r="J22" s="49"/>
      <c r="K22" s="341"/>
      <c r="L22" s="341"/>
      <c r="M22" s="309">
        <f t="shared" si="1"/>
        <v>0</v>
      </c>
      <c r="N22" s="310"/>
      <c r="P22" s="12"/>
      <c r="Q22" s="12"/>
      <c r="R22" s="12"/>
      <c r="S22" s="12"/>
      <c r="T22" s="13"/>
      <c r="U22" s="13"/>
      <c r="V22" s="13"/>
      <c r="W22" s="13"/>
      <c r="X22" s="1"/>
    </row>
    <row r="23" spans="1:24" s="3" customFormat="1" x14ac:dyDescent="0.25">
      <c r="A23" s="191">
        <v>45536</v>
      </c>
      <c r="B23" s="286"/>
      <c r="C23" s="287"/>
      <c r="D23" s="336"/>
      <c r="E23" s="336"/>
      <c r="F23" s="337"/>
      <c r="G23" s="338"/>
      <c r="H23" s="339"/>
      <c r="I23" s="340"/>
      <c r="J23" s="49"/>
      <c r="K23" s="341"/>
      <c r="L23" s="341"/>
      <c r="M23" s="309">
        <f t="shared" si="1"/>
        <v>0</v>
      </c>
      <c r="N23" s="310"/>
      <c r="P23" s="12"/>
      <c r="Q23" s="12"/>
      <c r="R23" s="12"/>
      <c r="S23" s="12"/>
      <c r="T23" s="13"/>
      <c r="U23" s="13"/>
      <c r="V23" s="13"/>
      <c r="W23" s="13"/>
      <c r="X23" s="1"/>
    </row>
    <row r="24" spans="1:24" s="3" customFormat="1" x14ac:dyDescent="0.25">
      <c r="A24" s="191">
        <v>45537</v>
      </c>
      <c r="B24" s="286"/>
      <c r="C24" s="287"/>
      <c r="D24" s="336"/>
      <c r="E24" s="336"/>
      <c r="F24" s="337"/>
      <c r="G24" s="338"/>
      <c r="H24" s="339"/>
      <c r="I24" s="340"/>
      <c r="J24" s="49"/>
      <c r="K24" s="341"/>
      <c r="L24" s="341"/>
      <c r="M24" s="309">
        <f t="shared" si="1"/>
        <v>0</v>
      </c>
      <c r="N24" s="310"/>
      <c r="P24" s="12"/>
      <c r="Q24" s="12"/>
      <c r="R24" s="12"/>
      <c r="S24" s="12"/>
      <c r="T24" s="13"/>
      <c r="U24" s="13"/>
      <c r="V24" s="13"/>
      <c r="W24" s="13"/>
      <c r="X24" s="1"/>
    </row>
    <row r="25" spans="1:24" s="3" customFormat="1" x14ac:dyDescent="0.25">
      <c r="A25" s="191">
        <v>45538</v>
      </c>
      <c r="B25" s="286"/>
      <c r="C25" s="287"/>
      <c r="D25" s="336"/>
      <c r="E25" s="336"/>
      <c r="F25" s="337"/>
      <c r="G25" s="338"/>
      <c r="H25" s="339"/>
      <c r="I25" s="340"/>
      <c r="J25" s="49"/>
      <c r="K25" s="341"/>
      <c r="L25" s="341"/>
      <c r="M25" s="309">
        <f t="shared" si="1"/>
        <v>0</v>
      </c>
      <c r="N25" s="310"/>
      <c r="P25" s="12"/>
      <c r="Q25" s="12"/>
      <c r="R25" s="12"/>
      <c r="S25" s="12"/>
      <c r="T25" s="13"/>
      <c r="U25" s="13"/>
      <c r="V25" s="13"/>
      <c r="W25" s="13"/>
      <c r="X25" s="1"/>
    </row>
    <row r="26" spans="1:24" s="3" customFormat="1" x14ac:dyDescent="0.25">
      <c r="A26" s="191">
        <v>45539</v>
      </c>
      <c r="B26" s="286"/>
      <c r="C26" s="287"/>
      <c r="D26" s="336"/>
      <c r="E26" s="336"/>
      <c r="F26" s="337"/>
      <c r="G26" s="338"/>
      <c r="H26" s="339"/>
      <c r="I26" s="340"/>
      <c r="J26" s="49"/>
      <c r="K26" s="341"/>
      <c r="L26" s="341"/>
      <c r="M26" s="309">
        <f t="shared" si="1"/>
        <v>0</v>
      </c>
      <c r="N26" s="310"/>
      <c r="P26" s="12"/>
      <c r="Q26" s="12"/>
      <c r="R26" s="12"/>
      <c r="S26" s="12"/>
      <c r="T26" s="13"/>
      <c r="U26" s="13"/>
      <c r="V26" s="13"/>
      <c r="W26" s="13"/>
      <c r="X26" s="1"/>
    </row>
    <row r="27" spans="1:24" s="3" customFormat="1" x14ac:dyDescent="0.25">
      <c r="A27" s="191">
        <v>45540</v>
      </c>
      <c r="B27" s="286"/>
      <c r="C27" s="287"/>
      <c r="D27" s="336"/>
      <c r="E27" s="336"/>
      <c r="F27" s="337"/>
      <c r="G27" s="338"/>
      <c r="H27" s="339"/>
      <c r="I27" s="340"/>
      <c r="J27" s="49"/>
      <c r="K27" s="341"/>
      <c r="L27" s="341"/>
      <c r="M27" s="309">
        <f t="shared" si="1"/>
        <v>0</v>
      </c>
      <c r="N27" s="310"/>
      <c r="P27" s="12"/>
      <c r="Q27" s="15"/>
      <c r="R27" s="15"/>
      <c r="S27" s="15"/>
      <c r="T27" s="13"/>
      <c r="U27" s="13"/>
      <c r="V27" s="13"/>
      <c r="W27" s="13"/>
      <c r="X27" s="1"/>
    </row>
    <row r="28" spans="1:24" s="3" customFormat="1" x14ac:dyDescent="0.25">
      <c r="A28" s="191">
        <v>45541</v>
      </c>
      <c r="B28" s="286"/>
      <c r="C28" s="287"/>
      <c r="D28" s="336"/>
      <c r="E28" s="336"/>
      <c r="F28" s="337"/>
      <c r="G28" s="338"/>
      <c r="H28" s="339"/>
      <c r="I28" s="340"/>
      <c r="J28" s="49"/>
      <c r="K28" s="341"/>
      <c r="L28" s="341"/>
      <c r="M28" s="309">
        <f t="shared" si="1"/>
        <v>0</v>
      </c>
      <c r="N28" s="310"/>
      <c r="P28" s="12"/>
      <c r="Q28" s="15"/>
      <c r="R28" s="15"/>
      <c r="S28" s="15"/>
      <c r="T28" s="13"/>
      <c r="U28" s="13"/>
      <c r="V28" s="13"/>
      <c r="W28" s="13"/>
      <c r="X28" s="1"/>
    </row>
    <row r="29" spans="1:24" s="3" customFormat="1" x14ac:dyDescent="0.25">
      <c r="A29" s="191">
        <v>45542</v>
      </c>
      <c r="B29" s="286"/>
      <c r="C29" s="287"/>
      <c r="D29" s="336"/>
      <c r="E29" s="336"/>
      <c r="F29" s="337"/>
      <c r="G29" s="338"/>
      <c r="H29" s="339"/>
      <c r="I29" s="340"/>
      <c r="J29" s="49"/>
      <c r="K29" s="341"/>
      <c r="L29" s="341"/>
      <c r="M29" s="309">
        <f t="shared" si="1"/>
        <v>0</v>
      </c>
      <c r="N29" s="310"/>
      <c r="P29" s="12"/>
      <c r="Q29" s="15"/>
      <c r="R29" s="15"/>
      <c r="S29" s="15"/>
      <c r="T29" s="13"/>
      <c r="U29" s="13"/>
      <c r="V29" s="13"/>
      <c r="W29" s="13"/>
      <c r="X29" s="1"/>
    </row>
    <row r="30" spans="1:24" s="3" customFormat="1" x14ac:dyDescent="0.25">
      <c r="A30" s="191">
        <v>45543</v>
      </c>
      <c r="B30" s="286"/>
      <c r="C30" s="287"/>
      <c r="D30" s="336"/>
      <c r="E30" s="336"/>
      <c r="F30" s="337"/>
      <c r="G30" s="338"/>
      <c r="H30" s="339"/>
      <c r="I30" s="340"/>
      <c r="J30" s="49"/>
      <c r="K30" s="341"/>
      <c r="L30" s="341"/>
      <c r="M30" s="309">
        <f t="shared" si="1"/>
        <v>0</v>
      </c>
      <c r="N30" s="310"/>
      <c r="O30" s="1"/>
      <c r="P30" s="12"/>
      <c r="Q30" s="15"/>
      <c r="R30" s="15"/>
      <c r="S30" s="15"/>
      <c r="T30" s="13"/>
      <c r="U30" s="13"/>
      <c r="V30" s="13"/>
      <c r="W30" s="13"/>
      <c r="X30" s="1"/>
    </row>
    <row r="31" spans="1:24" s="3" customFormat="1" x14ac:dyDescent="0.25">
      <c r="A31" s="191">
        <v>45544</v>
      </c>
      <c r="B31" s="286"/>
      <c r="C31" s="287"/>
      <c r="D31" s="342"/>
      <c r="E31" s="343"/>
      <c r="F31" s="50"/>
      <c r="G31" s="51"/>
      <c r="H31" s="52"/>
      <c r="I31" s="53"/>
      <c r="J31" s="49"/>
      <c r="K31" s="309"/>
      <c r="L31" s="310"/>
      <c r="M31" s="309">
        <f t="shared" si="1"/>
        <v>0</v>
      </c>
      <c r="N31" s="310"/>
      <c r="O31" s="1"/>
      <c r="P31" s="12"/>
      <c r="Q31" s="15"/>
      <c r="R31" s="15"/>
      <c r="S31" s="15"/>
      <c r="T31" s="13"/>
      <c r="U31" s="13"/>
      <c r="V31" s="13"/>
      <c r="W31" s="13"/>
      <c r="X31" s="1"/>
    </row>
    <row r="32" spans="1:24" s="3" customFormat="1" x14ac:dyDescent="0.25">
      <c r="A32" s="191">
        <v>45545</v>
      </c>
      <c r="B32" s="286"/>
      <c r="C32" s="287"/>
      <c r="D32" s="342"/>
      <c r="E32" s="343"/>
      <c r="F32" s="50"/>
      <c r="G32" s="51"/>
      <c r="H32" s="52"/>
      <c r="I32" s="53"/>
      <c r="J32" s="49"/>
      <c r="K32" s="309"/>
      <c r="L32" s="310"/>
      <c r="M32" s="309">
        <f t="shared" si="1"/>
        <v>0</v>
      </c>
      <c r="N32" s="310"/>
      <c r="O32" s="1"/>
      <c r="P32" s="12"/>
      <c r="Q32" s="15"/>
      <c r="R32" s="15"/>
      <c r="S32" s="15"/>
      <c r="T32" s="13"/>
      <c r="U32" s="13"/>
      <c r="V32" s="13"/>
      <c r="W32" s="13"/>
      <c r="X32" s="1"/>
    </row>
    <row r="33" spans="1:24" s="3" customFormat="1" x14ac:dyDescent="0.25">
      <c r="A33" s="191">
        <v>45546</v>
      </c>
      <c r="B33" s="286"/>
      <c r="C33" s="287"/>
      <c r="D33" s="342"/>
      <c r="E33" s="343"/>
      <c r="F33" s="50"/>
      <c r="G33" s="51"/>
      <c r="H33" s="52"/>
      <c r="I33" s="53"/>
      <c r="J33" s="49"/>
      <c r="K33" s="309"/>
      <c r="L33" s="310"/>
      <c r="M33" s="309">
        <f t="shared" si="1"/>
        <v>0</v>
      </c>
      <c r="N33" s="310"/>
      <c r="O33" s="1"/>
      <c r="P33" s="12"/>
      <c r="Q33" s="15"/>
      <c r="R33" s="15"/>
      <c r="S33" s="15"/>
      <c r="T33" s="13"/>
      <c r="U33" s="13"/>
      <c r="V33" s="13"/>
      <c r="W33" s="13"/>
      <c r="X33" s="1"/>
    </row>
    <row r="34" spans="1:24" s="3" customFormat="1" x14ac:dyDescent="0.25">
      <c r="A34" s="191">
        <v>45547</v>
      </c>
      <c r="B34" s="286"/>
      <c r="C34" s="287"/>
      <c r="D34" s="342"/>
      <c r="E34" s="343"/>
      <c r="F34" s="50"/>
      <c r="G34" s="51"/>
      <c r="H34" s="52"/>
      <c r="I34" s="53"/>
      <c r="J34" s="49"/>
      <c r="K34" s="309"/>
      <c r="L34" s="310"/>
      <c r="M34" s="309">
        <f t="shared" si="1"/>
        <v>0</v>
      </c>
      <c r="N34" s="310"/>
      <c r="O34" s="1"/>
      <c r="P34" s="12"/>
      <c r="Q34" s="15"/>
      <c r="R34" s="15"/>
      <c r="S34" s="15"/>
      <c r="T34" s="13"/>
      <c r="U34" s="13"/>
      <c r="V34" s="13"/>
      <c r="W34" s="13"/>
      <c r="X34" s="1"/>
    </row>
    <row r="35" spans="1:24" s="3" customFormat="1" x14ac:dyDescent="0.25">
      <c r="A35" s="191">
        <v>45548</v>
      </c>
      <c r="B35" s="286"/>
      <c r="C35" s="287"/>
      <c r="D35" s="342"/>
      <c r="E35" s="343"/>
      <c r="F35" s="50"/>
      <c r="G35" s="51"/>
      <c r="H35" s="52"/>
      <c r="I35" s="53"/>
      <c r="J35" s="49"/>
      <c r="K35" s="309"/>
      <c r="L35" s="310"/>
      <c r="M35" s="309">
        <f t="shared" si="1"/>
        <v>0</v>
      </c>
      <c r="N35" s="310"/>
      <c r="O35" s="1"/>
      <c r="P35" s="12"/>
      <c r="Q35" s="15"/>
      <c r="R35" s="15"/>
      <c r="S35" s="15"/>
      <c r="T35" s="13"/>
      <c r="U35" s="13"/>
      <c r="V35" s="13"/>
      <c r="W35" s="13"/>
      <c r="X35" s="1"/>
    </row>
    <row r="36" spans="1:24" s="3" customFormat="1" x14ac:dyDescent="0.25">
      <c r="A36" s="191">
        <v>45549</v>
      </c>
      <c r="B36" s="286"/>
      <c r="C36" s="287"/>
      <c r="D36" s="342"/>
      <c r="E36" s="343"/>
      <c r="F36" s="50"/>
      <c r="G36" s="51"/>
      <c r="H36" s="52"/>
      <c r="I36" s="53"/>
      <c r="J36" s="49"/>
      <c r="K36" s="309"/>
      <c r="L36" s="310"/>
      <c r="M36" s="309">
        <f t="shared" si="1"/>
        <v>0</v>
      </c>
      <c r="N36" s="310"/>
      <c r="O36" s="1"/>
      <c r="P36" s="12"/>
      <c r="Q36" s="15"/>
      <c r="R36" s="15"/>
      <c r="S36" s="15"/>
      <c r="T36" s="13"/>
      <c r="U36" s="13"/>
      <c r="V36" s="13"/>
      <c r="W36" s="13"/>
      <c r="X36" s="1"/>
    </row>
    <row r="37" spans="1:24" s="3" customFormat="1" x14ac:dyDescent="0.25">
      <c r="A37" s="191">
        <v>45550</v>
      </c>
      <c r="B37" s="286"/>
      <c r="C37" s="287"/>
      <c r="D37" s="342"/>
      <c r="E37" s="343"/>
      <c r="F37" s="50"/>
      <c r="G37" s="51"/>
      <c r="H37" s="52"/>
      <c r="I37" s="53"/>
      <c r="J37" s="49"/>
      <c r="K37" s="309"/>
      <c r="L37" s="310"/>
      <c r="M37" s="309">
        <f t="shared" si="1"/>
        <v>0</v>
      </c>
      <c r="N37" s="310"/>
      <c r="O37" s="1"/>
      <c r="P37" s="12"/>
      <c r="Q37" s="15"/>
      <c r="R37" s="15"/>
      <c r="S37" s="15"/>
      <c r="T37" s="13"/>
      <c r="U37" s="13"/>
      <c r="V37" s="13"/>
      <c r="W37" s="13"/>
      <c r="X37" s="1"/>
    </row>
    <row r="38" spans="1:24" s="3" customFormat="1" x14ac:dyDescent="0.25">
      <c r="A38" s="191">
        <v>45551</v>
      </c>
      <c r="B38" s="286"/>
      <c r="C38" s="287"/>
      <c r="D38" s="336"/>
      <c r="E38" s="336"/>
      <c r="F38" s="337"/>
      <c r="G38" s="338"/>
      <c r="H38" s="339"/>
      <c r="I38" s="340"/>
      <c r="J38" s="49"/>
      <c r="K38" s="341"/>
      <c r="L38" s="341"/>
      <c r="M38" s="309">
        <f t="shared" si="1"/>
        <v>0</v>
      </c>
      <c r="N38" s="310"/>
      <c r="P38" s="12"/>
      <c r="Q38" s="15"/>
      <c r="R38" s="15"/>
      <c r="S38" s="15"/>
      <c r="T38" s="13"/>
      <c r="U38" s="13"/>
      <c r="V38" s="13"/>
      <c r="W38" s="13"/>
      <c r="X38" s="1"/>
    </row>
    <row r="39" spans="1:24" s="3" customFormat="1" x14ac:dyDescent="0.25">
      <c r="A39" s="191">
        <v>45552</v>
      </c>
      <c r="B39" s="286"/>
      <c r="C39" s="287"/>
      <c r="D39" s="336"/>
      <c r="E39" s="336"/>
      <c r="F39" s="337"/>
      <c r="G39" s="338"/>
      <c r="H39" s="339"/>
      <c r="I39" s="340"/>
      <c r="J39" s="49"/>
      <c r="K39" s="341"/>
      <c r="L39" s="341"/>
      <c r="M39" s="309">
        <f t="shared" si="1"/>
        <v>0</v>
      </c>
      <c r="N39" s="310"/>
      <c r="P39" s="12"/>
      <c r="Q39" s="15"/>
      <c r="R39" s="15"/>
      <c r="S39" s="15"/>
      <c r="T39" s="13"/>
      <c r="U39" s="13"/>
      <c r="V39" s="13"/>
      <c r="W39" s="13"/>
      <c r="X39" s="1"/>
    </row>
    <row r="40" spans="1:24" s="3" customFormat="1" x14ac:dyDescent="0.25">
      <c r="A40" s="191">
        <v>45553</v>
      </c>
      <c r="B40" s="286"/>
      <c r="C40" s="287"/>
      <c r="D40" s="336"/>
      <c r="E40" s="336"/>
      <c r="F40" s="337"/>
      <c r="G40" s="338"/>
      <c r="H40" s="339"/>
      <c r="I40" s="340"/>
      <c r="J40" s="49"/>
      <c r="K40" s="341"/>
      <c r="L40" s="341"/>
      <c r="M40" s="309">
        <f t="shared" si="1"/>
        <v>0</v>
      </c>
      <c r="N40" s="310"/>
      <c r="P40" s="12"/>
      <c r="Q40" s="15"/>
      <c r="R40" s="15"/>
      <c r="S40" s="15"/>
      <c r="T40" s="13"/>
      <c r="U40" s="13"/>
      <c r="V40" s="13"/>
      <c r="W40" s="13"/>
      <c r="X40" s="1"/>
    </row>
    <row r="41" spans="1:24" s="3" customFormat="1" x14ac:dyDescent="0.25">
      <c r="A41" s="191">
        <v>45554</v>
      </c>
      <c r="B41" s="286"/>
      <c r="C41" s="287"/>
      <c r="D41" s="336"/>
      <c r="E41" s="336"/>
      <c r="F41" s="337"/>
      <c r="G41" s="338"/>
      <c r="H41" s="339"/>
      <c r="I41" s="340"/>
      <c r="J41" s="49"/>
      <c r="K41" s="341"/>
      <c r="L41" s="341"/>
      <c r="M41" s="309">
        <f t="shared" si="1"/>
        <v>0</v>
      </c>
      <c r="N41" s="310"/>
      <c r="P41" s="12"/>
      <c r="Q41" s="15"/>
      <c r="R41" s="15"/>
      <c r="S41" s="15"/>
      <c r="T41" s="13"/>
      <c r="U41" s="13"/>
      <c r="V41" s="13"/>
      <c r="W41" s="13"/>
      <c r="X41" s="1"/>
    </row>
    <row r="42" spans="1:24" s="3" customFormat="1" x14ac:dyDescent="0.25">
      <c r="A42" s="191">
        <v>45555</v>
      </c>
      <c r="B42" s="286"/>
      <c r="C42" s="287"/>
      <c r="D42" s="336"/>
      <c r="E42" s="336"/>
      <c r="F42" s="337"/>
      <c r="G42" s="338"/>
      <c r="H42" s="339"/>
      <c r="I42" s="340"/>
      <c r="J42" s="49"/>
      <c r="K42" s="341"/>
      <c r="L42" s="341"/>
      <c r="M42" s="309">
        <f t="shared" si="1"/>
        <v>0</v>
      </c>
      <c r="N42" s="310"/>
      <c r="P42" s="12"/>
      <c r="Q42" s="15"/>
      <c r="R42" s="15"/>
      <c r="S42" s="15"/>
      <c r="T42" s="13"/>
      <c r="U42" s="13"/>
      <c r="V42" s="13"/>
      <c r="W42" s="13"/>
      <c r="X42" s="1"/>
    </row>
    <row r="43" spans="1:24" s="3" customFormat="1" x14ac:dyDescent="0.25">
      <c r="A43" s="191">
        <v>45556</v>
      </c>
      <c r="B43" s="286"/>
      <c r="C43" s="287"/>
      <c r="D43" s="336"/>
      <c r="E43" s="336"/>
      <c r="F43" s="337"/>
      <c r="G43" s="338"/>
      <c r="H43" s="339"/>
      <c r="I43" s="340"/>
      <c r="J43" s="49"/>
      <c r="K43" s="341"/>
      <c r="L43" s="341"/>
      <c r="M43" s="309">
        <f t="shared" si="1"/>
        <v>0</v>
      </c>
      <c r="N43" s="310"/>
      <c r="P43" s="12"/>
      <c r="Q43" s="15"/>
      <c r="R43" s="15"/>
      <c r="S43" s="15"/>
      <c r="T43" s="13"/>
      <c r="U43" s="13"/>
      <c r="V43" s="13"/>
      <c r="W43" s="13"/>
      <c r="X43" s="1"/>
    </row>
    <row r="44" spans="1:24" s="3" customFormat="1" x14ac:dyDescent="0.25">
      <c r="A44" s="191">
        <v>45557</v>
      </c>
      <c r="B44" s="286"/>
      <c r="C44" s="287"/>
      <c r="D44" s="336"/>
      <c r="E44" s="336"/>
      <c r="F44" s="337"/>
      <c r="G44" s="338"/>
      <c r="H44" s="339"/>
      <c r="I44" s="340"/>
      <c r="J44" s="49"/>
      <c r="K44" s="341"/>
      <c r="L44" s="341"/>
      <c r="M44" s="309">
        <f t="shared" si="1"/>
        <v>0</v>
      </c>
      <c r="N44" s="310"/>
      <c r="P44" s="12"/>
      <c r="Q44" s="15"/>
      <c r="R44" s="15"/>
      <c r="S44" s="15"/>
      <c r="T44" s="13"/>
      <c r="U44" s="13"/>
      <c r="V44" s="13"/>
      <c r="W44" s="13"/>
      <c r="X44" s="1"/>
    </row>
    <row r="45" spans="1:24" s="3" customFormat="1" x14ac:dyDescent="0.25">
      <c r="A45" s="191">
        <v>45558</v>
      </c>
      <c r="B45" s="286"/>
      <c r="C45" s="287"/>
      <c r="D45" s="162"/>
      <c r="E45" s="163"/>
      <c r="F45" s="158"/>
      <c r="G45" s="159"/>
      <c r="H45" s="160"/>
      <c r="I45" s="161"/>
      <c r="J45" s="49"/>
      <c r="K45" s="341"/>
      <c r="L45" s="341"/>
      <c r="M45" s="173"/>
      <c r="N45" s="174"/>
      <c r="P45" s="12"/>
      <c r="Q45" s="15"/>
      <c r="R45" s="15"/>
      <c r="S45" s="15"/>
      <c r="T45" s="13"/>
      <c r="U45" s="13"/>
      <c r="V45" s="13"/>
      <c r="W45" s="13"/>
      <c r="X45" s="1"/>
    </row>
    <row r="46" spans="1:24" s="3" customFormat="1" x14ac:dyDescent="0.25">
      <c r="A46" s="191">
        <v>45559</v>
      </c>
      <c r="B46" s="286"/>
      <c r="C46" s="287"/>
      <c r="D46" s="162"/>
      <c r="E46" s="163"/>
      <c r="F46" s="158"/>
      <c r="G46" s="159"/>
      <c r="H46" s="160"/>
      <c r="I46" s="161"/>
      <c r="J46" s="49"/>
      <c r="K46" s="341"/>
      <c r="L46" s="341"/>
      <c r="M46" s="173"/>
      <c r="N46" s="174"/>
      <c r="P46" s="12"/>
      <c r="Q46" s="15"/>
      <c r="R46" s="15"/>
      <c r="S46" s="15"/>
      <c r="T46" s="13"/>
      <c r="U46" s="13"/>
      <c r="V46" s="13"/>
      <c r="W46" s="13"/>
      <c r="X46" s="1"/>
    </row>
    <row r="47" spans="1:24" s="3" customFormat="1" x14ac:dyDescent="0.25">
      <c r="A47" s="191">
        <v>45560</v>
      </c>
      <c r="B47" s="286"/>
      <c r="C47" s="287"/>
      <c r="D47" s="162"/>
      <c r="E47" s="163"/>
      <c r="F47" s="158"/>
      <c r="G47" s="159"/>
      <c r="H47" s="160"/>
      <c r="I47" s="161"/>
      <c r="J47" s="49"/>
      <c r="K47" s="341"/>
      <c r="L47" s="341"/>
      <c r="M47" s="173"/>
      <c r="N47" s="174"/>
      <c r="P47" s="12"/>
      <c r="Q47" s="15"/>
      <c r="R47" s="15"/>
      <c r="S47" s="15"/>
      <c r="T47" s="13"/>
      <c r="U47" s="13"/>
      <c r="V47" s="13"/>
      <c r="W47" s="13"/>
      <c r="X47" s="1"/>
    </row>
    <row r="48" spans="1:24" s="3" customFormat="1" x14ac:dyDescent="0.25">
      <c r="A48" s="191">
        <v>45561</v>
      </c>
      <c r="B48" s="286"/>
      <c r="C48" s="287"/>
      <c r="D48" s="162"/>
      <c r="E48" s="163"/>
      <c r="F48" s="158"/>
      <c r="G48" s="159"/>
      <c r="H48" s="160"/>
      <c r="I48" s="161"/>
      <c r="J48" s="49"/>
      <c r="K48" s="341"/>
      <c r="L48" s="341"/>
      <c r="M48" s="173"/>
      <c r="N48" s="174"/>
      <c r="P48" s="12"/>
      <c r="Q48" s="15"/>
      <c r="R48" s="15"/>
      <c r="S48" s="15"/>
      <c r="T48" s="13"/>
      <c r="U48" s="13"/>
      <c r="V48" s="13"/>
      <c r="W48" s="13"/>
      <c r="X48" s="1"/>
    </row>
    <row r="49" spans="1:25" s="3" customFormat="1" x14ac:dyDescent="0.25">
      <c r="A49" s="191">
        <v>45562</v>
      </c>
      <c r="B49" s="286"/>
      <c r="C49" s="287"/>
      <c r="D49" s="162"/>
      <c r="E49" s="163"/>
      <c r="F49" s="158"/>
      <c r="G49" s="159"/>
      <c r="H49" s="160"/>
      <c r="I49" s="161"/>
      <c r="J49" s="49"/>
      <c r="K49" s="341"/>
      <c r="L49" s="341"/>
      <c r="M49" s="173"/>
      <c r="N49" s="174"/>
      <c r="P49" s="12"/>
      <c r="Q49" s="15"/>
      <c r="R49" s="15"/>
      <c r="S49" s="15"/>
      <c r="T49" s="13"/>
      <c r="U49" s="13"/>
      <c r="V49" s="13"/>
      <c r="W49" s="13"/>
      <c r="X49" s="1"/>
    </row>
    <row r="50" spans="1:25" s="3" customFormat="1" x14ac:dyDescent="0.25">
      <c r="A50" s="191">
        <v>45563</v>
      </c>
      <c r="B50" s="286"/>
      <c r="C50" s="287"/>
      <c r="D50" s="162"/>
      <c r="E50" s="163"/>
      <c r="F50" s="158"/>
      <c r="G50" s="159"/>
      <c r="H50" s="160"/>
      <c r="I50" s="161"/>
      <c r="J50" s="49"/>
      <c r="K50" s="341"/>
      <c r="L50" s="341"/>
      <c r="M50" s="173"/>
      <c r="N50" s="174"/>
      <c r="P50" s="12"/>
      <c r="Q50" s="15"/>
      <c r="R50" s="15"/>
      <c r="S50" s="15"/>
      <c r="T50" s="13"/>
      <c r="U50" s="13"/>
      <c r="V50" s="13"/>
      <c r="W50" s="13"/>
      <c r="X50" s="1"/>
    </row>
    <row r="51" spans="1:25" s="3" customFormat="1" x14ac:dyDescent="0.25">
      <c r="A51" s="191">
        <v>45564</v>
      </c>
      <c r="B51" s="286"/>
      <c r="C51" s="287"/>
      <c r="D51" s="162"/>
      <c r="E51" s="163"/>
      <c r="F51" s="158"/>
      <c r="G51" s="159"/>
      <c r="H51" s="160"/>
      <c r="I51" s="161"/>
      <c r="J51" s="49"/>
      <c r="K51" s="341"/>
      <c r="L51" s="341"/>
      <c r="M51" s="173"/>
      <c r="N51" s="174"/>
      <c r="P51" s="12"/>
      <c r="Q51" s="15"/>
      <c r="R51" s="15"/>
      <c r="S51" s="15"/>
      <c r="T51" s="13"/>
      <c r="U51" s="13"/>
      <c r="V51" s="13"/>
      <c r="W51" s="13"/>
      <c r="X51" s="1"/>
    </row>
    <row r="52" spans="1:25" s="3" customFormat="1" ht="15.75" x14ac:dyDescent="0.25">
      <c r="A52" s="231" t="s">
        <v>21</v>
      </c>
      <c r="B52" s="232"/>
      <c r="C52" s="233"/>
      <c r="D52" s="328">
        <f>+COUNTA(D17:E51)</f>
        <v>0</v>
      </c>
      <c r="E52" s="329"/>
      <c r="F52" s="330">
        <f>+COUNTA(F17:G51)</f>
        <v>0</v>
      </c>
      <c r="G52" s="331"/>
      <c r="H52" s="332">
        <f>SUM(H17:I51)</f>
        <v>0</v>
      </c>
      <c r="I52" s="332"/>
      <c r="J52" s="96"/>
      <c r="K52" s="333"/>
      <c r="L52" s="333"/>
      <c r="M52" s="334">
        <f>+SUM(M17:O51)</f>
        <v>0</v>
      </c>
      <c r="N52" s="335"/>
      <c r="P52" s="12"/>
      <c r="Q52" s="15"/>
      <c r="R52" s="15"/>
      <c r="S52" s="15"/>
      <c r="T52" s="13"/>
      <c r="U52" s="13"/>
      <c r="V52" s="13"/>
      <c r="W52" s="13"/>
      <c r="X52" s="1"/>
    </row>
    <row r="53" spans="1:25" s="3" customFormat="1" x14ac:dyDescent="0.25">
      <c r="A53" s="12"/>
      <c r="B53" s="12"/>
      <c r="C53" s="12"/>
      <c r="D53" s="272" t="s">
        <v>65</v>
      </c>
      <c r="E53" s="273"/>
      <c r="F53" s="274" t="s">
        <v>24</v>
      </c>
      <c r="G53" s="274"/>
      <c r="H53" s="275" t="s">
        <v>62</v>
      </c>
      <c r="I53" s="275"/>
      <c r="K53" s="12"/>
      <c r="L53" s="12"/>
      <c r="M53" s="276" t="s">
        <v>66</v>
      </c>
      <c r="N53" s="277"/>
      <c r="P53" s="12"/>
      <c r="Q53" s="15"/>
      <c r="R53" s="15"/>
      <c r="S53" s="15"/>
      <c r="T53" s="13"/>
      <c r="U53" s="13"/>
      <c r="V53" s="13"/>
      <c r="W53" s="13"/>
      <c r="X53" s="1"/>
    </row>
    <row r="54" spans="1:25" s="3" customFormat="1" x14ac:dyDescent="0.25">
      <c r="K54" s="12"/>
      <c r="L54" s="12"/>
      <c r="M54" s="12"/>
      <c r="N54" s="12"/>
      <c r="P54" s="12"/>
      <c r="Q54" s="15"/>
      <c r="R54" s="15"/>
      <c r="S54" s="15"/>
      <c r="T54" s="13"/>
      <c r="U54" s="13"/>
      <c r="V54" s="13"/>
      <c r="W54" s="13"/>
      <c r="X54" s="1"/>
    </row>
    <row r="55" spans="1:25" s="3" customFormat="1" x14ac:dyDescent="0.25">
      <c r="A55" s="28" t="s">
        <v>23</v>
      </c>
      <c r="J55" s="28" t="s">
        <v>27</v>
      </c>
      <c r="N55" s="47"/>
      <c r="P55" s="12"/>
      <c r="Q55" s="15"/>
      <c r="R55" s="15"/>
      <c r="S55" s="15"/>
      <c r="T55" s="13"/>
      <c r="U55" s="13"/>
      <c r="V55" s="13"/>
      <c r="W55" s="13"/>
      <c r="X55" s="1"/>
    </row>
    <row r="56" spans="1:25" s="3" customFormat="1" x14ac:dyDescent="0.25">
      <c r="J56" s="28" t="s">
        <v>31</v>
      </c>
      <c r="N56" s="47"/>
      <c r="P56" s="12"/>
      <c r="Q56" s="15"/>
      <c r="R56" s="15"/>
      <c r="S56" s="15"/>
      <c r="T56" s="13"/>
      <c r="U56" s="13"/>
      <c r="V56" s="13"/>
      <c r="W56" s="13"/>
      <c r="X56" s="1"/>
    </row>
    <row r="57" spans="1:25" s="3" customFormat="1" x14ac:dyDescent="0.25">
      <c r="A57" s="29" t="s">
        <v>20</v>
      </c>
      <c r="B57" s="30"/>
      <c r="C57" s="29"/>
      <c r="D57" s="29"/>
      <c r="E57" s="16"/>
      <c r="H57" s="18"/>
      <c r="P57" s="12"/>
      <c r="Q57" s="15"/>
      <c r="R57" s="15"/>
      <c r="S57" s="15"/>
      <c r="T57" s="13"/>
      <c r="U57" s="13"/>
      <c r="V57" s="13"/>
      <c r="W57" s="13"/>
      <c r="X57" s="1"/>
    </row>
    <row r="58" spans="1:25" s="3" customFormat="1" x14ac:dyDescent="0.25">
      <c r="A58" s="29" t="s">
        <v>7</v>
      </c>
      <c r="B58" s="30"/>
      <c r="C58" s="31">
        <f ca="1">TODAY()</f>
        <v>45320</v>
      </c>
      <c r="D58" s="29"/>
      <c r="E58" s="16"/>
      <c r="J58" s="28" t="s">
        <v>22</v>
      </c>
      <c r="P58" s="12"/>
      <c r="Q58" s="15"/>
      <c r="R58" s="15"/>
      <c r="S58" s="15"/>
      <c r="T58" s="13"/>
      <c r="U58" s="13"/>
      <c r="V58" s="13"/>
      <c r="W58" s="13"/>
      <c r="X58" s="1"/>
    </row>
    <row r="59" spans="1:25" s="3" customFormat="1" x14ac:dyDescent="0.25">
      <c r="A59" s="28"/>
      <c r="B59" s="315" t="s">
        <v>47</v>
      </c>
      <c r="C59" s="315"/>
      <c r="D59" s="315"/>
      <c r="E59" s="315"/>
      <c r="F59" s="315"/>
      <c r="J59" s="315" t="s">
        <v>48</v>
      </c>
      <c r="K59" s="315"/>
      <c r="L59" s="315"/>
      <c r="M59" s="315"/>
      <c r="N59" s="315"/>
      <c r="P59" s="12"/>
      <c r="Q59" s="12"/>
      <c r="R59" s="12"/>
      <c r="S59" s="12"/>
      <c r="T59" s="13"/>
      <c r="U59" s="13"/>
      <c r="V59" s="13"/>
      <c r="W59" s="13"/>
      <c r="X59" s="1"/>
    </row>
    <row r="60" spans="1:25" s="3" customFormat="1" x14ac:dyDescent="0.25">
      <c r="B60" s="315"/>
      <c r="C60" s="315"/>
      <c r="D60" s="315"/>
      <c r="E60" s="315"/>
      <c r="F60" s="315"/>
      <c r="J60" s="315"/>
      <c r="K60" s="315"/>
      <c r="L60" s="315"/>
      <c r="M60" s="315"/>
      <c r="N60" s="315"/>
      <c r="O60" s="12"/>
      <c r="P60" s="12"/>
      <c r="Q60" s="12"/>
      <c r="R60" s="12"/>
      <c r="S60" s="12"/>
      <c r="T60" s="13"/>
      <c r="U60" s="13"/>
      <c r="V60" s="13"/>
      <c r="W60" s="13"/>
      <c r="X60" s="1"/>
    </row>
    <row r="61" spans="1:25" s="3" customFormat="1" x14ac:dyDescent="0.25">
      <c r="B61" s="315"/>
      <c r="C61" s="315"/>
      <c r="D61" s="315"/>
      <c r="E61" s="315"/>
      <c r="F61" s="315"/>
      <c r="J61" s="315"/>
      <c r="K61" s="315"/>
      <c r="L61" s="315"/>
      <c r="M61" s="315"/>
      <c r="N61" s="315"/>
      <c r="O61" s="12"/>
      <c r="P61" s="12"/>
      <c r="U61" s="1"/>
      <c r="V61" s="1"/>
      <c r="W61" s="1"/>
      <c r="X61" s="1"/>
      <c r="Y61" s="1"/>
    </row>
    <row r="62" spans="1:25" s="3" customFormat="1" x14ac:dyDescent="0.25">
      <c r="B62" s="315"/>
      <c r="C62" s="315"/>
      <c r="D62" s="315"/>
      <c r="E62" s="315"/>
      <c r="F62" s="315"/>
      <c r="J62" s="315"/>
      <c r="K62" s="315"/>
      <c r="L62" s="315"/>
      <c r="M62" s="315"/>
      <c r="N62" s="315"/>
      <c r="P62" s="12"/>
      <c r="U62" s="1"/>
      <c r="V62" s="1"/>
      <c r="W62" s="1"/>
      <c r="X62" s="1"/>
      <c r="Y62" s="1"/>
    </row>
    <row r="63" spans="1:25" s="3" customFormat="1" x14ac:dyDescent="0.25">
      <c r="B63" s="315"/>
      <c r="C63" s="315"/>
      <c r="D63" s="315"/>
      <c r="E63" s="315"/>
      <c r="F63" s="315"/>
      <c r="J63" s="315"/>
      <c r="K63" s="315"/>
      <c r="L63" s="315"/>
      <c r="M63" s="315"/>
      <c r="N63" s="315"/>
      <c r="P63" s="12"/>
      <c r="U63" s="1"/>
      <c r="V63" s="1"/>
      <c r="W63" s="1"/>
      <c r="X63" s="1"/>
      <c r="Y63" s="1"/>
    </row>
    <row r="64" spans="1:25" s="3" customFormat="1" x14ac:dyDescent="0.25">
      <c r="B64" s="315"/>
      <c r="C64" s="315"/>
      <c r="D64" s="315"/>
      <c r="E64" s="315"/>
      <c r="F64" s="315"/>
      <c r="J64" s="315"/>
      <c r="K64" s="315"/>
      <c r="L64" s="315"/>
      <c r="M64" s="315"/>
      <c r="N64" s="315"/>
      <c r="P64" s="12"/>
      <c r="U64" s="1"/>
      <c r="V64" s="1"/>
      <c r="W64" s="1"/>
      <c r="X64" s="1"/>
      <c r="Y64" s="1"/>
    </row>
    <row r="65" spans="1:25" s="3" customFormat="1" x14ac:dyDescent="0.25">
      <c r="A65" s="3" t="s">
        <v>46</v>
      </c>
      <c r="B65" s="23"/>
      <c r="J65" s="3" t="s">
        <v>39</v>
      </c>
      <c r="P65" s="12"/>
      <c r="U65" s="1"/>
      <c r="V65" s="1"/>
      <c r="W65" s="1"/>
      <c r="X65" s="1"/>
      <c r="Y65" s="1"/>
    </row>
    <row r="66" spans="1:25" s="3" customFormat="1" x14ac:dyDescent="0.25">
      <c r="B66" s="23"/>
      <c r="U66" s="1"/>
      <c r="V66" s="1"/>
      <c r="W66" s="1"/>
      <c r="X66" s="1"/>
      <c r="Y66" s="1"/>
    </row>
    <row r="67" spans="1:25" s="3" customFormat="1" x14ac:dyDescent="0.25">
      <c r="B67" s="23"/>
      <c r="U67" s="1"/>
      <c r="V67" s="1"/>
      <c r="W67" s="1"/>
      <c r="X67" s="1"/>
      <c r="Y67" s="1"/>
    </row>
    <row r="68" spans="1:25" s="3" customFormat="1" x14ac:dyDescent="0.25">
      <c r="A68" s="29"/>
      <c r="B68" s="23"/>
      <c r="D68" s="29"/>
      <c r="U68" s="1"/>
      <c r="V68" s="1"/>
      <c r="W68" s="1"/>
      <c r="X68" s="1"/>
      <c r="Y68" s="1"/>
    </row>
    <row r="69" spans="1:25" s="3" customFormat="1" x14ac:dyDescent="0.25">
      <c r="U69" s="1"/>
      <c r="V69" s="1"/>
      <c r="W69" s="1"/>
      <c r="X69" s="1"/>
      <c r="Y69" s="1"/>
    </row>
    <row r="70" spans="1:25" s="3" customFormat="1" x14ac:dyDescent="0.25">
      <c r="B70" s="23"/>
      <c r="U70" s="1"/>
      <c r="V70" s="1"/>
      <c r="W70" s="1"/>
      <c r="X70" s="1"/>
      <c r="Y70" s="1"/>
    </row>
    <row r="71" spans="1:25" s="3" customFormat="1" x14ac:dyDescent="0.25">
      <c r="B71" s="23"/>
      <c r="U71" s="1"/>
      <c r="V71" s="1"/>
      <c r="W71" s="1"/>
      <c r="X71" s="1"/>
      <c r="Y71" s="1"/>
    </row>
    <row r="72" spans="1:25" s="3" customFormat="1" x14ac:dyDescent="0.25">
      <c r="B72" s="23"/>
      <c r="U72" s="1"/>
      <c r="V72" s="1"/>
      <c r="W72" s="1"/>
      <c r="X72" s="1"/>
      <c r="Y72" s="1"/>
    </row>
    <row r="73" spans="1:25" s="3" customFormat="1" x14ac:dyDescent="0.25">
      <c r="B73" s="23"/>
      <c r="U73" s="1"/>
      <c r="V73" s="1"/>
      <c r="W73" s="1"/>
      <c r="X73" s="1"/>
      <c r="Y73" s="1"/>
    </row>
    <row r="74" spans="1:25" s="3" customFormat="1" x14ac:dyDescent="0.25">
      <c r="B74" s="23"/>
      <c r="U74" s="1"/>
      <c r="V74" s="1"/>
      <c r="W74" s="1"/>
      <c r="X74" s="1"/>
      <c r="Y74" s="1"/>
    </row>
    <row r="75" spans="1:25" s="3" customFormat="1" x14ac:dyDescent="0.25">
      <c r="B75" s="23"/>
      <c r="U75" s="1"/>
      <c r="V75" s="1"/>
      <c r="W75" s="1"/>
      <c r="X75" s="1"/>
      <c r="Y75" s="1"/>
    </row>
    <row r="76" spans="1:25" s="3" customFormat="1" x14ac:dyDescent="0.25">
      <c r="B76" s="23"/>
      <c r="U76" s="1"/>
      <c r="V76" s="1"/>
      <c r="W76" s="1"/>
      <c r="X76" s="1"/>
      <c r="Y76" s="1"/>
    </row>
    <row r="77" spans="1:25" s="3" customFormat="1" x14ac:dyDescent="0.25">
      <c r="B77" s="23"/>
      <c r="U77" s="1"/>
      <c r="V77" s="1"/>
      <c r="W77" s="1"/>
      <c r="X77" s="1"/>
      <c r="Y77" s="1"/>
    </row>
    <row r="78" spans="1:25" s="3" customFormat="1" x14ac:dyDescent="0.25">
      <c r="B78" s="23"/>
      <c r="U78" s="1"/>
      <c r="V78" s="1"/>
      <c r="W78" s="1"/>
      <c r="X78" s="1"/>
      <c r="Y78" s="1"/>
    </row>
    <row r="79" spans="1:25" s="3" customFormat="1" x14ac:dyDescent="0.25">
      <c r="B79" s="23"/>
      <c r="U79" s="1"/>
      <c r="V79" s="1"/>
      <c r="W79" s="1"/>
      <c r="X79" s="1"/>
      <c r="Y79" s="1"/>
    </row>
    <row r="80" spans="1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2:25" s="3" customFormat="1" x14ac:dyDescent="0.25">
      <c r="B225" s="23"/>
      <c r="U225" s="1"/>
      <c r="V225" s="1"/>
      <c r="W225" s="1"/>
      <c r="X225" s="1"/>
      <c r="Y225" s="1"/>
    </row>
    <row r="226" spans="2:25" s="3" customFormat="1" x14ac:dyDescent="0.25">
      <c r="B226" s="23"/>
      <c r="U226" s="1"/>
      <c r="V226" s="1"/>
      <c r="W226" s="1"/>
      <c r="X226" s="1"/>
      <c r="Y226" s="1"/>
    </row>
    <row r="227" spans="2:25" s="3" customFormat="1" x14ac:dyDescent="0.25">
      <c r="B227" s="23"/>
      <c r="U227" s="1"/>
      <c r="V227" s="1"/>
      <c r="W227" s="1"/>
      <c r="X227" s="1"/>
      <c r="Y227" s="1"/>
    </row>
    <row r="228" spans="2:25" s="3" customFormat="1" x14ac:dyDescent="0.25">
      <c r="B228" s="23"/>
      <c r="U228" s="1"/>
      <c r="V228" s="1"/>
      <c r="W228" s="1"/>
      <c r="X228" s="1"/>
      <c r="Y228" s="1"/>
    </row>
    <row r="229" spans="2:25" s="3" customFormat="1" x14ac:dyDescent="0.25">
      <c r="B229" s="23"/>
      <c r="U229" s="1"/>
      <c r="V229" s="1"/>
      <c r="W229" s="1"/>
      <c r="X229" s="1"/>
      <c r="Y229" s="1"/>
    </row>
    <row r="230" spans="2:25" s="3" customFormat="1" x14ac:dyDescent="0.25">
      <c r="B230" s="23"/>
      <c r="U230" s="1"/>
      <c r="V230" s="1"/>
      <c r="W230" s="1"/>
      <c r="X230" s="1"/>
      <c r="Y230" s="1"/>
    </row>
    <row r="231" spans="2:25" s="3" customFormat="1" x14ac:dyDescent="0.25">
      <c r="B231" s="23"/>
      <c r="U231" s="1"/>
      <c r="V231" s="1"/>
      <c r="W231" s="1"/>
      <c r="X231" s="1"/>
      <c r="Y231" s="1"/>
    </row>
    <row r="232" spans="2:25" s="3" customFormat="1" x14ac:dyDescent="0.25">
      <c r="B232" s="23"/>
      <c r="U232" s="1"/>
      <c r="V232" s="1"/>
      <c r="W232" s="1"/>
      <c r="X232" s="1"/>
      <c r="Y232" s="1"/>
    </row>
    <row r="233" spans="2:25" s="3" customFormat="1" x14ac:dyDescent="0.25">
      <c r="B233" s="23"/>
      <c r="U233" s="1"/>
      <c r="V233" s="1"/>
      <c r="W233" s="1"/>
      <c r="X233" s="1"/>
      <c r="Y233" s="1"/>
    </row>
    <row r="234" spans="2:25" s="3" customFormat="1" x14ac:dyDescent="0.25">
      <c r="B234" s="23"/>
      <c r="U234" s="1"/>
      <c r="V234" s="1"/>
      <c r="W234" s="1"/>
      <c r="X234" s="1"/>
      <c r="Y234" s="1"/>
    </row>
    <row r="235" spans="2:25" s="3" customFormat="1" x14ac:dyDescent="0.25">
      <c r="B235" s="23"/>
      <c r="U235" s="1"/>
      <c r="V235" s="1"/>
      <c r="W235" s="1"/>
      <c r="X235" s="1"/>
      <c r="Y235" s="1"/>
    </row>
    <row r="236" spans="2:25" s="3" customFormat="1" x14ac:dyDescent="0.25">
      <c r="B236" s="23"/>
      <c r="U236" s="1"/>
      <c r="V236" s="1"/>
      <c r="W236" s="1"/>
      <c r="X236" s="1"/>
      <c r="Y236" s="1"/>
    </row>
    <row r="237" spans="2:25" s="3" customFormat="1" x14ac:dyDescent="0.25">
      <c r="B237" s="23"/>
      <c r="U237" s="1"/>
      <c r="V237" s="1"/>
      <c r="W237" s="1"/>
      <c r="X237" s="1"/>
      <c r="Y237" s="1"/>
    </row>
    <row r="238" spans="2:25" s="3" customFormat="1" x14ac:dyDescent="0.25">
      <c r="B238" s="23"/>
      <c r="U238" s="1"/>
      <c r="V238" s="1"/>
      <c r="W238" s="1"/>
      <c r="X238" s="1"/>
      <c r="Y238" s="1"/>
    </row>
    <row r="239" spans="2:25" s="3" customFormat="1" x14ac:dyDescent="0.25">
      <c r="B239" s="23"/>
      <c r="U239" s="1"/>
      <c r="V239" s="1"/>
      <c r="W239" s="1"/>
      <c r="X239" s="1"/>
      <c r="Y239" s="1"/>
    </row>
    <row r="240" spans="2:25" s="3" customFormat="1" x14ac:dyDescent="0.25">
      <c r="B240" s="23"/>
      <c r="U240" s="1"/>
      <c r="V240" s="1"/>
      <c r="W240" s="1"/>
      <c r="X240" s="1"/>
      <c r="Y240" s="1"/>
    </row>
    <row r="241" spans="1:25" s="3" customFormat="1" x14ac:dyDescent="0.25">
      <c r="B241" s="23"/>
      <c r="U241" s="1"/>
      <c r="V241" s="1"/>
      <c r="W241" s="1"/>
      <c r="X241" s="1"/>
      <c r="Y241" s="1"/>
    </row>
    <row r="242" spans="1:25" s="3" customFormat="1" x14ac:dyDescent="0.25">
      <c r="B242" s="23"/>
      <c r="K242" s="6"/>
      <c r="L242" s="6"/>
      <c r="M242" s="6"/>
      <c r="N242" s="6"/>
      <c r="U242" s="1"/>
      <c r="V242" s="1"/>
      <c r="W242" s="1"/>
      <c r="X242" s="1"/>
      <c r="Y242" s="1"/>
    </row>
    <row r="243" spans="1:25" s="3" customFormat="1" x14ac:dyDescent="0.25">
      <c r="B243" s="23"/>
      <c r="K243" s="6"/>
      <c r="L243" s="6"/>
      <c r="M243" s="6"/>
      <c r="N243" s="6"/>
      <c r="U243" s="1"/>
      <c r="V243" s="1"/>
      <c r="W243" s="1"/>
      <c r="X243" s="1"/>
      <c r="Y243" s="1"/>
    </row>
    <row r="244" spans="1:25" s="3" customFormat="1" x14ac:dyDescent="0.25">
      <c r="B244" s="23"/>
      <c r="K244" s="6"/>
      <c r="L244" s="6"/>
      <c r="M244" s="6"/>
      <c r="N244" s="6"/>
      <c r="U244" s="1"/>
      <c r="V244" s="1"/>
      <c r="W244" s="1"/>
      <c r="X244" s="1"/>
      <c r="Y244" s="1"/>
    </row>
    <row r="245" spans="1:25" s="3" customFormat="1" x14ac:dyDescent="0.25">
      <c r="B245" s="23"/>
      <c r="J245" s="6"/>
      <c r="K245" s="6"/>
      <c r="L245" s="6"/>
      <c r="M245" s="6"/>
      <c r="N245" s="6"/>
      <c r="U245" s="1"/>
      <c r="V245" s="1"/>
      <c r="W245" s="1"/>
      <c r="X245" s="1"/>
      <c r="Y245" s="1"/>
    </row>
    <row r="246" spans="1:25" s="3" customFormat="1" x14ac:dyDescent="0.25">
      <c r="B246" s="23"/>
      <c r="J246" s="6"/>
      <c r="K246" s="6"/>
      <c r="L246" s="6"/>
      <c r="M246" s="6"/>
      <c r="N246" s="6"/>
      <c r="U246" s="1"/>
      <c r="V246" s="1"/>
      <c r="W246" s="1"/>
      <c r="X246" s="1"/>
      <c r="Y246" s="1"/>
    </row>
    <row r="247" spans="1:25" s="3" customFormat="1" x14ac:dyDescent="0.25">
      <c r="B247" s="23"/>
      <c r="J247" s="6"/>
      <c r="K247" s="6"/>
      <c r="L247" s="6"/>
      <c r="M247" s="6"/>
      <c r="N247" s="6"/>
      <c r="U247" s="1"/>
      <c r="V247" s="1"/>
      <c r="W247" s="1"/>
      <c r="X247" s="1"/>
      <c r="Y247" s="1"/>
    </row>
    <row r="248" spans="1:25" s="3" customFormat="1" x14ac:dyDescent="0.25">
      <c r="B248" s="23"/>
      <c r="J248" s="6"/>
      <c r="K248" s="6"/>
      <c r="L248" s="6"/>
      <c r="M248" s="6"/>
      <c r="N248" s="6"/>
      <c r="U248" s="1"/>
      <c r="V248" s="1"/>
      <c r="W248" s="1"/>
      <c r="X248" s="1"/>
      <c r="Y248" s="1"/>
    </row>
    <row r="249" spans="1:25" s="3" customFormat="1" x14ac:dyDescent="0.25">
      <c r="B249" s="23"/>
      <c r="J249" s="6"/>
      <c r="K249" s="6"/>
      <c r="L249" s="6"/>
      <c r="M249" s="6"/>
      <c r="N249" s="6"/>
      <c r="U249" s="1"/>
      <c r="V249" s="1"/>
      <c r="W249" s="1"/>
      <c r="X249" s="1"/>
      <c r="Y249" s="1"/>
    </row>
    <row r="250" spans="1:25" s="3" customFormat="1" x14ac:dyDescent="0.25">
      <c r="B250" s="23"/>
      <c r="J250" s="6"/>
      <c r="K250" s="6"/>
      <c r="L250" s="6"/>
      <c r="M250" s="6"/>
      <c r="N250" s="6"/>
      <c r="U250" s="1"/>
      <c r="V250" s="1"/>
      <c r="W250" s="1"/>
      <c r="X250" s="1"/>
      <c r="Y250" s="1"/>
    </row>
    <row r="251" spans="1:25" s="3" customFormat="1" x14ac:dyDescent="0.25">
      <c r="A251" s="6"/>
      <c r="B251" s="25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U251" s="1"/>
      <c r="V251" s="1"/>
      <c r="W251" s="1"/>
      <c r="X251" s="1"/>
      <c r="Y251" s="1"/>
    </row>
    <row r="252" spans="1:25" s="3" customFormat="1" x14ac:dyDescent="0.25">
      <c r="A252" s="6"/>
      <c r="B252" s="25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U252" s="1"/>
      <c r="V252" s="1"/>
      <c r="W252" s="1"/>
      <c r="X252" s="1"/>
      <c r="Y252" s="1"/>
    </row>
    <row r="253" spans="1:25" s="3" customFormat="1" x14ac:dyDescent="0.25">
      <c r="A253" s="6"/>
      <c r="B253" s="25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U253" s="1"/>
      <c r="V253" s="1"/>
      <c r="W253" s="1"/>
      <c r="X253" s="1"/>
      <c r="Y253" s="1"/>
    </row>
    <row r="254" spans="1:25" s="3" customFormat="1" x14ac:dyDescent="0.25">
      <c r="A254" s="6"/>
      <c r="B254" s="25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U254" s="1"/>
      <c r="V254" s="1"/>
      <c r="W254" s="1"/>
      <c r="X254" s="1"/>
      <c r="Y254" s="1"/>
    </row>
    <row r="255" spans="1:25" s="3" customFormat="1" x14ac:dyDescent="0.25">
      <c r="A255" s="6"/>
      <c r="B255" s="25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U255" s="1"/>
      <c r="V255" s="1"/>
      <c r="W255" s="1"/>
      <c r="X255" s="1"/>
      <c r="Y255" s="1"/>
    </row>
    <row r="256" spans="1:25" s="3" customFormat="1" x14ac:dyDescent="0.25">
      <c r="A256" s="6"/>
      <c r="B256" s="25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U256" s="1"/>
      <c r="V256" s="1"/>
      <c r="W256" s="1"/>
      <c r="X256" s="1"/>
      <c r="Y256" s="1"/>
    </row>
    <row r="257" spans="1:25" s="3" customFormat="1" x14ac:dyDescent="0.25">
      <c r="A257" s="6"/>
      <c r="B257" s="25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U257" s="1"/>
      <c r="V257" s="1"/>
      <c r="W257" s="1"/>
      <c r="X257" s="1"/>
      <c r="Y257" s="1"/>
    </row>
    <row r="258" spans="1:25" s="3" customFormat="1" x14ac:dyDescent="0.25">
      <c r="A258" s="6"/>
      <c r="B258" s="25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Q258" s="6"/>
      <c r="R258" s="6"/>
      <c r="S258" s="6"/>
      <c r="U258" s="1"/>
      <c r="V258" s="1"/>
      <c r="W258" s="1"/>
      <c r="X258" s="1"/>
      <c r="Y258" s="1"/>
    </row>
  </sheetData>
  <sheetProtection sheet="1" objects="1" scenarios="1"/>
  <mergeCells count="200">
    <mergeCell ref="A17:C17"/>
    <mergeCell ref="A18:C18"/>
    <mergeCell ref="D18:E18"/>
    <mergeCell ref="F18:G18"/>
    <mergeCell ref="H18:I18"/>
    <mergeCell ref="K18:L18"/>
    <mergeCell ref="M18:N18"/>
    <mergeCell ref="D17:E17"/>
    <mergeCell ref="F17:G17"/>
    <mergeCell ref="H17:I17"/>
    <mergeCell ref="K17:L17"/>
    <mergeCell ref="M17:N17"/>
    <mergeCell ref="R3:T3"/>
    <mergeCell ref="B5:K5"/>
    <mergeCell ref="L5:N5"/>
    <mergeCell ref="R5:T5"/>
    <mergeCell ref="K13:L13"/>
    <mergeCell ref="F15:N15"/>
    <mergeCell ref="A16:C16"/>
    <mergeCell ref="D16:E16"/>
    <mergeCell ref="F16:G16"/>
    <mergeCell ref="H16:I16"/>
    <mergeCell ref="K16:L16"/>
    <mergeCell ref="M16:N16"/>
    <mergeCell ref="C8:F8"/>
    <mergeCell ref="K8:N8"/>
    <mergeCell ref="C10:F10"/>
    <mergeCell ref="K10:N10"/>
    <mergeCell ref="C12:F12"/>
    <mergeCell ref="K12:L12"/>
    <mergeCell ref="D2:K4"/>
    <mergeCell ref="L2:N4"/>
    <mergeCell ref="D19:E19"/>
    <mergeCell ref="F19:G19"/>
    <mergeCell ref="H19:I19"/>
    <mergeCell ref="K19:L19"/>
    <mergeCell ref="M19:N19"/>
    <mergeCell ref="D22:E22"/>
    <mergeCell ref="F22:G22"/>
    <mergeCell ref="H22:I22"/>
    <mergeCell ref="K22:L22"/>
    <mergeCell ref="M22:N22"/>
    <mergeCell ref="D21:E21"/>
    <mergeCell ref="F21:G21"/>
    <mergeCell ref="H21:I21"/>
    <mergeCell ref="K21:L21"/>
    <mergeCell ref="M21:N21"/>
    <mergeCell ref="D20:E20"/>
    <mergeCell ref="F20:G20"/>
    <mergeCell ref="H20:I20"/>
    <mergeCell ref="K20:L20"/>
    <mergeCell ref="M20:N20"/>
    <mergeCell ref="D24:E24"/>
    <mergeCell ref="F24:G24"/>
    <mergeCell ref="H24:I24"/>
    <mergeCell ref="K24:L24"/>
    <mergeCell ref="M24:N24"/>
    <mergeCell ref="D23:E23"/>
    <mergeCell ref="F23:G23"/>
    <mergeCell ref="H23:I23"/>
    <mergeCell ref="K23:L23"/>
    <mergeCell ref="M23:N23"/>
    <mergeCell ref="D26:E26"/>
    <mergeCell ref="F26:G26"/>
    <mergeCell ref="H26:I26"/>
    <mergeCell ref="K26:L26"/>
    <mergeCell ref="M26:N26"/>
    <mergeCell ref="D25:E25"/>
    <mergeCell ref="F25:G25"/>
    <mergeCell ref="H25:I25"/>
    <mergeCell ref="K25:L25"/>
    <mergeCell ref="M25:N25"/>
    <mergeCell ref="A29:C29"/>
    <mergeCell ref="A30:C30"/>
    <mergeCell ref="D28:E28"/>
    <mergeCell ref="F28:G28"/>
    <mergeCell ref="H28:I28"/>
    <mergeCell ref="K28:L28"/>
    <mergeCell ref="M28:N28"/>
    <mergeCell ref="D27:E27"/>
    <mergeCell ref="F27:G27"/>
    <mergeCell ref="H27:I27"/>
    <mergeCell ref="K27:L27"/>
    <mergeCell ref="M27:N27"/>
    <mergeCell ref="A28:C28"/>
    <mergeCell ref="D30:E30"/>
    <mergeCell ref="F30:G30"/>
    <mergeCell ref="H30:I30"/>
    <mergeCell ref="K30:L30"/>
    <mergeCell ref="M30:N30"/>
    <mergeCell ref="D29:E29"/>
    <mergeCell ref="F29:G29"/>
    <mergeCell ref="H29:I29"/>
    <mergeCell ref="K29:L29"/>
    <mergeCell ref="M29:N29"/>
    <mergeCell ref="D34:E34"/>
    <mergeCell ref="K34:L34"/>
    <mergeCell ref="D31:E31"/>
    <mergeCell ref="K31:L31"/>
    <mergeCell ref="D32:E32"/>
    <mergeCell ref="K32:L32"/>
    <mergeCell ref="A31:C31"/>
    <mergeCell ref="A32:C32"/>
    <mergeCell ref="A33:C33"/>
    <mergeCell ref="A34:C34"/>
    <mergeCell ref="A38:C38"/>
    <mergeCell ref="A39:C39"/>
    <mergeCell ref="A40:C40"/>
    <mergeCell ref="D37:E37"/>
    <mergeCell ref="K37:L37"/>
    <mergeCell ref="D38:E38"/>
    <mergeCell ref="F38:G38"/>
    <mergeCell ref="H38:I38"/>
    <mergeCell ref="K38:L38"/>
    <mergeCell ref="D40:E40"/>
    <mergeCell ref="F40:G40"/>
    <mergeCell ref="H40:I40"/>
    <mergeCell ref="K40:L40"/>
    <mergeCell ref="A37:C37"/>
    <mergeCell ref="M40:N40"/>
    <mergeCell ref="M38:N38"/>
    <mergeCell ref="D39:E39"/>
    <mergeCell ref="F39:G39"/>
    <mergeCell ref="H39:I39"/>
    <mergeCell ref="K39:L39"/>
    <mergeCell ref="M39:N39"/>
    <mergeCell ref="A43:C43"/>
    <mergeCell ref="A44:C44"/>
    <mergeCell ref="D42:E42"/>
    <mergeCell ref="F42:G42"/>
    <mergeCell ref="H42:I42"/>
    <mergeCell ref="K42:L42"/>
    <mergeCell ref="M42:N42"/>
    <mergeCell ref="D41:E41"/>
    <mergeCell ref="F41:G41"/>
    <mergeCell ref="H41:I41"/>
    <mergeCell ref="K41:L41"/>
    <mergeCell ref="M41:N41"/>
    <mergeCell ref="A41:C41"/>
    <mergeCell ref="A42:C42"/>
    <mergeCell ref="D44:E44"/>
    <mergeCell ref="F44:G44"/>
    <mergeCell ref="H44:I44"/>
    <mergeCell ref="D43:E43"/>
    <mergeCell ref="F43:G43"/>
    <mergeCell ref="H43:I43"/>
    <mergeCell ref="K43:L43"/>
    <mergeCell ref="M43:N43"/>
    <mergeCell ref="D53:E53"/>
    <mergeCell ref="F53:G53"/>
    <mergeCell ref="H53:I53"/>
    <mergeCell ref="M53:N53"/>
    <mergeCell ref="K45:L45"/>
    <mergeCell ref="K46:L46"/>
    <mergeCell ref="K47:L47"/>
    <mergeCell ref="K48:L48"/>
    <mergeCell ref="K49:L49"/>
    <mergeCell ref="K50:L50"/>
    <mergeCell ref="K51:L51"/>
    <mergeCell ref="B59:F64"/>
    <mergeCell ref="J59:N64"/>
    <mergeCell ref="A52:C52"/>
    <mergeCell ref="D52:E52"/>
    <mergeCell ref="F52:G52"/>
    <mergeCell ref="H52:I52"/>
    <mergeCell ref="K52:L52"/>
    <mergeCell ref="M52:N52"/>
    <mergeCell ref="K44:L44"/>
    <mergeCell ref="M44:N44"/>
    <mergeCell ref="A45:C45"/>
    <mergeCell ref="A46:C46"/>
    <mergeCell ref="A47:C47"/>
    <mergeCell ref="A48:C48"/>
    <mergeCell ref="A49:C49"/>
    <mergeCell ref="A50:C50"/>
    <mergeCell ref="A51:C51"/>
    <mergeCell ref="M31:N31"/>
    <mergeCell ref="M32:N32"/>
    <mergeCell ref="M33:N33"/>
    <mergeCell ref="M34:N34"/>
    <mergeCell ref="M35:N35"/>
    <mergeCell ref="M36:N36"/>
    <mergeCell ref="M37:N37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D35:E35"/>
    <mergeCell ref="K35:L35"/>
    <mergeCell ref="D36:E36"/>
    <mergeCell ref="K36:L36"/>
    <mergeCell ref="A35:C35"/>
    <mergeCell ref="A36:C36"/>
    <mergeCell ref="D33:E33"/>
    <mergeCell ref="K33:L33"/>
  </mergeCells>
  <conditionalFormatting sqref="D17:D52">
    <cfRule type="expression" dxfId="27" priority="7">
      <formula>#REF!="Non"</formula>
    </cfRule>
    <cfRule type="expression" dxfId="26" priority="8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0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80A6E"/>
    <pageSetUpPr fitToPage="1"/>
  </sheetPr>
  <dimension ref="A1:BD258"/>
  <sheetViews>
    <sheetView topLeftCell="A28" zoomScale="90" zoomScaleNormal="90" workbookViewId="0">
      <selection activeCell="T39" sqref="T39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2.28515625" style="6" customWidth="1"/>
    <col min="4" max="4" width="8.42578125" style="6" customWidth="1"/>
    <col min="5" max="5" width="6.42578125" style="6" customWidth="1"/>
    <col min="6" max="6" width="5.42578125" style="6" customWidth="1"/>
    <col min="7" max="7" width="8" style="6" customWidth="1"/>
    <col min="8" max="8" width="5.85546875" style="6" customWidth="1"/>
    <col min="9" max="9" width="10" style="6" customWidth="1"/>
    <col min="10" max="10" width="14.42578125" style="6" customWidth="1"/>
    <col min="11" max="12" width="8.140625" style="6" customWidth="1"/>
    <col min="13" max="13" width="8" style="6" customWidth="1"/>
    <col min="14" max="14" width="10.42578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69</v>
      </c>
      <c r="E2" s="195"/>
      <c r="F2" s="195"/>
      <c r="G2" s="195"/>
      <c r="H2" s="195"/>
      <c r="I2" s="195"/>
      <c r="J2" s="195"/>
      <c r="K2" s="195"/>
      <c r="L2" s="251">
        <f>'Niveau 1 Oct'!L2:N4</f>
        <v>45566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6"/>
      <c r="Q3" s="4"/>
      <c r="R3" s="220"/>
      <c r="S3" s="220"/>
      <c r="T3" s="220"/>
      <c r="U3" s="36"/>
      <c r="V3" s="36"/>
      <c r="W3" s="36"/>
      <c r="X3" s="36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6"/>
      <c r="Q4" s="4"/>
      <c r="R4" s="36"/>
      <c r="S4" s="36"/>
      <c r="T4" s="36"/>
      <c r="U4" s="36"/>
      <c r="V4" s="36"/>
      <c r="W4" s="36"/>
      <c r="X4" s="36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f>+'Niveau 1 Oct'!L5:N5</f>
        <v>45566</v>
      </c>
      <c r="M5" s="222"/>
      <c r="N5" s="222"/>
      <c r="O5" s="3"/>
      <c r="P5" s="36"/>
      <c r="Q5" s="5"/>
      <c r="R5" s="220"/>
      <c r="S5" s="220"/>
      <c r="T5" s="220"/>
      <c r="U5" s="36"/>
      <c r="V5" s="36"/>
      <c r="W5" s="36"/>
      <c r="X5" s="36"/>
      <c r="Y5" s="5"/>
    </row>
    <row r="6" spans="1:25" ht="19.5" customHeight="1" x14ac:dyDescent="0.35">
      <c r="A6" s="46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36"/>
      <c r="V6" s="36"/>
      <c r="W6" s="36"/>
      <c r="X6" s="36"/>
      <c r="Y6" s="5"/>
    </row>
    <row r="7" spans="1:25" ht="19.5" customHeight="1" thickBot="1" x14ac:dyDescent="0.4">
      <c r="A7" s="48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38"/>
      <c r="V7" s="38"/>
      <c r="W7" s="38"/>
      <c r="X7" s="38"/>
      <c r="Y7" s="5"/>
    </row>
    <row r="8" spans="1:25" ht="18" customHeight="1" thickBot="1" x14ac:dyDescent="0.3">
      <c r="A8" s="8" t="s">
        <v>2</v>
      </c>
      <c r="B8" s="24"/>
      <c r="C8" s="324"/>
      <c r="D8" s="325"/>
      <c r="E8" s="325"/>
      <c r="F8" s="326"/>
      <c r="G8" s="9"/>
      <c r="H8" s="8" t="s">
        <v>26</v>
      </c>
      <c r="I8" s="8"/>
      <c r="J8" s="8"/>
      <c r="K8" s="324"/>
      <c r="L8" s="325"/>
      <c r="M8" s="325"/>
      <c r="N8" s="326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324"/>
      <c r="D10" s="325"/>
      <c r="E10" s="325"/>
      <c r="F10" s="326"/>
      <c r="G10" s="9"/>
      <c r="H10" s="8" t="s">
        <v>25</v>
      </c>
      <c r="I10" s="8"/>
      <c r="J10" s="8"/>
      <c r="K10" s="324"/>
      <c r="L10" s="325"/>
      <c r="M10" s="325"/>
      <c r="N10" s="326"/>
      <c r="O10" s="26"/>
      <c r="P10" s="26"/>
      <c r="Q10" s="26"/>
      <c r="R10" s="26"/>
      <c r="S10" s="26"/>
      <c r="T10" s="26"/>
      <c r="U10" s="11"/>
    </row>
    <row r="11" spans="1:25" ht="18" customHeight="1" thickBot="1" x14ac:dyDescent="0.35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8" customHeight="1" thickBot="1" x14ac:dyDescent="0.35">
      <c r="A12" s="8" t="s">
        <v>49</v>
      </c>
      <c r="B12" s="24"/>
      <c r="C12" s="324" t="s">
        <v>50</v>
      </c>
      <c r="D12" s="325"/>
      <c r="E12" s="325"/>
      <c r="F12" s="326"/>
      <c r="G12" s="24"/>
      <c r="H12" s="8" t="s">
        <v>52</v>
      </c>
      <c r="I12" s="8"/>
      <c r="J12" s="24"/>
      <c r="K12" s="346"/>
      <c r="L12" s="347"/>
      <c r="M12" s="8" t="s">
        <v>59</v>
      </c>
      <c r="N12" s="24"/>
      <c r="O12" s="26"/>
      <c r="P12" s="26"/>
      <c r="Q12" s="26"/>
      <c r="R12" s="26"/>
      <c r="S12" s="26"/>
      <c r="T12" s="26"/>
      <c r="U12" s="11"/>
    </row>
    <row r="13" spans="1:25" ht="18" customHeight="1" thickBot="1" x14ac:dyDescent="0.35">
      <c r="A13" s="8"/>
      <c r="B13" s="24"/>
      <c r="C13" s="24"/>
      <c r="D13" s="24"/>
      <c r="E13" s="24"/>
      <c r="F13" s="24"/>
      <c r="G13" s="24"/>
      <c r="H13" s="8" t="s">
        <v>51</v>
      </c>
      <c r="I13" s="8"/>
      <c r="J13" s="24"/>
      <c r="K13" s="344"/>
      <c r="L13" s="345"/>
      <c r="M13" s="32" t="s">
        <v>60</v>
      </c>
      <c r="N13" s="24"/>
      <c r="O13" s="26"/>
      <c r="P13" s="26"/>
      <c r="Q13" s="26"/>
      <c r="R13" s="26"/>
      <c r="S13" s="26"/>
      <c r="T13" s="26"/>
      <c r="U13" s="11"/>
    </row>
    <row r="14" spans="1:25" ht="13.5" customHeight="1" thickBot="1" x14ac:dyDescent="0.35">
      <c r="A14" s="8" t="s">
        <v>70</v>
      </c>
      <c r="B14" s="24"/>
      <c r="C14" s="24"/>
      <c r="D14" s="24"/>
      <c r="E14" s="24"/>
      <c r="F14" s="24"/>
      <c r="G14" s="9"/>
      <c r="H14" s="8"/>
      <c r="I14" s="8"/>
      <c r="J14" s="8"/>
      <c r="K14" s="8"/>
      <c r="L14" s="8"/>
      <c r="M14" s="8"/>
      <c r="N14" s="8"/>
      <c r="O14" s="26"/>
      <c r="P14" s="26"/>
      <c r="Q14" s="26"/>
      <c r="R14" s="26"/>
      <c r="S14" s="26"/>
      <c r="T14" s="26"/>
      <c r="U14" s="11"/>
    </row>
    <row r="15" spans="1:25" ht="22.5" customHeight="1" thickBot="1" x14ac:dyDescent="0.35">
      <c r="A15" s="8"/>
      <c r="B15" s="24"/>
      <c r="C15" s="10"/>
      <c r="D15" s="10"/>
      <c r="E15" s="10"/>
      <c r="F15" s="262" t="s">
        <v>28</v>
      </c>
      <c r="G15" s="263"/>
      <c r="H15" s="263"/>
      <c r="I15" s="263"/>
      <c r="J15" s="263"/>
      <c r="K15" s="263"/>
      <c r="L15" s="263"/>
      <c r="M15" s="263"/>
      <c r="N15" s="264"/>
      <c r="O15" s="26"/>
      <c r="P15" s="26"/>
      <c r="Q15" s="26"/>
      <c r="R15" s="26"/>
      <c r="S15" s="26"/>
      <c r="T15" s="26"/>
      <c r="U15" s="11"/>
    </row>
    <row r="16" spans="1:25" s="19" customFormat="1" ht="54.75" customHeight="1" x14ac:dyDescent="0.25">
      <c r="A16" s="200" t="s">
        <v>1</v>
      </c>
      <c r="B16" s="201"/>
      <c r="C16" s="202"/>
      <c r="D16" s="203" t="s">
        <v>58</v>
      </c>
      <c r="E16" s="204"/>
      <c r="F16" s="265" t="s">
        <v>29</v>
      </c>
      <c r="G16" s="265"/>
      <c r="H16" s="266" t="s">
        <v>61</v>
      </c>
      <c r="I16" s="267"/>
      <c r="J16" s="37" t="s">
        <v>63</v>
      </c>
      <c r="K16" s="268" t="s">
        <v>64</v>
      </c>
      <c r="L16" s="269"/>
      <c r="M16" s="266" t="s">
        <v>30</v>
      </c>
      <c r="N16" s="267"/>
      <c r="O16" s="26"/>
      <c r="P16" s="26"/>
      <c r="Q16" s="26"/>
      <c r="R16" s="26"/>
      <c r="S16" s="26"/>
      <c r="T16" s="26"/>
      <c r="U16" s="20"/>
      <c r="V16" s="20"/>
      <c r="W16" s="20"/>
      <c r="X16" s="21"/>
    </row>
    <row r="17" spans="1:24" s="3" customFormat="1" ht="15.75" x14ac:dyDescent="0.25">
      <c r="A17" s="191">
        <v>45530</v>
      </c>
      <c r="B17" s="286"/>
      <c r="C17" s="287"/>
      <c r="D17" s="336"/>
      <c r="E17" s="336"/>
      <c r="F17" s="337"/>
      <c r="G17" s="338"/>
      <c r="H17" s="339"/>
      <c r="I17" s="340"/>
      <c r="J17" s="49"/>
      <c r="K17" s="341"/>
      <c r="L17" s="341"/>
      <c r="M17" s="309">
        <f t="shared" ref="M17" si="0">+K17-J17</f>
        <v>0</v>
      </c>
      <c r="N17" s="310"/>
      <c r="O17" s="26"/>
      <c r="P17" s="26"/>
      <c r="Q17" s="26"/>
      <c r="R17" s="26"/>
      <c r="S17" s="26"/>
      <c r="T17" s="26"/>
      <c r="U17" s="13"/>
      <c r="V17" s="13"/>
      <c r="W17" s="13"/>
      <c r="X17" s="1"/>
    </row>
    <row r="18" spans="1:24" s="3" customFormat="1" ht="15.75" x14ac:dyDescent="0.25">
      <c r="A18" s="191">
        <v>45531</v>
      </c>
      <c r="B18" s="286"/>
      <c r="C18" s="287"/>
      <c r="D18" s="336"/>
      <c r="E18" s="336"/>
      <c r="F18" s="337"/>
      <c r="G18" s="338"/>
      <c r="H18" s="339"/>
      <c r="I18" s="340"/>
      <c r="J18" s="49"/>
      <c r="K18" s="341"/>
      <c r="L18" s="341"/>
      <c r="M18" s="309">
        <f t="shared" ref="M18:M44" si="1">+K18-J18</f>
        <v>0</v>
      </c>
      <c r="N18" s="310"/>
      <c r="P18" s="26"/>
      <c r="Q18" s="26"/>
      <c r="R18" s="26"/>
      <c r="S18" s="26"/>
      <c r="T18" s="26"/>
      <c r="U18" s="13"/>
      <c r="V18" s="13"/>
      <c r="W18" s="13"/>
      <c r="X18" s="1"/>
    </row>
    <row r="19" spans="1:24" s="3" customFormat="1" ht="15.75" x14ac:dyDescent="0.25">
      <c r="A19" s="191">
        <v>45532</v>
      </c>
      <c r="B19" s="286"/>
      <c r="C19" s="287"/>
      <c r="D19" s="336"/>
      <c r="E19" s="336"/>
      <c r="F19" s="337"/>
      <c r="G19" s="338"/>
      <c r="H19" s="339"/>
      <c r="I19" s="340"/>
      <c r="J19" s="49"/>
      <c r="K19" s="341"/>
      <c r="L19" s="341"/>
      <c r="M19" s="309">
        <f t="shared" si="1"/>
        <v>0</v>
      </c>
      <c r="N19" s="310"/>
      <c r="P19" s="26"/>
      <c r="Q19" s="26"/>
      <c r="R19" s="26"/>
      <c r="S19" s="26"/>
      <c r="T19" s="26"/>
      <c r="U19" s="26"/>
      <c r="V19" s="13"/>
      <c r="W19" s="13"/>
      <c r="X19" s="1"/>
    </row>
    <row r="20" spans="1:24" s="3" customFormat="1" x14ac:dyDescent="0.25">
      <c r="A20" s="191">
        <v>45533</v>
      </c>
      <c r="B20" s="286"/>
      <c r="C20" s="287"/>
      <c r="D20" s="336"/>
      <c r="E20" s="336"/>
      <c r="F20" s="337"/>
      <c r="G20" s="338"/>
      <c r="H20" s="339"/>
      <c r="I20" s="340"/>
      <c r="J20" s="49"/>
      <c r="K20" s="341"/>
      <c r="L20" s="341"/>
      <c r="M20" s="309">
        <f t="shared" si="1"/>
        <v>0</v>
      </c>
      <c r="N20" s="310"/>
      <c r="P20" s="12"/>
      <c r="Q20" s="12"/>
      <c r="R20" s="12"/>
      <c r="S20" s="12"/>
      <c r="T20" s="13"/>
      <c r="U20" s="13"/>
      <c r="V20" s="13"/>
      <c r="W20" s="13"/>
      <c r="X20" s="1"/>
    </row>
    <row r="21" spans="1:24" s="3" customFormat="1" x14ac:dyDescent="0.25">
      <c r="A21" s="191">
        <v>45534</v>
      </c>
      <c r="B21" s="286"/>
      <c r="C21" s="287"/>
      <c r="D21" s="336"/>
      <c r="E21" s="336"/>
      <c r="F21" s="337"/>
      <c r="G21" s="338"/>
      <c r="H21" s="339"/>
      <c r="I21" s="340"/>
      <c r="J21" s="49"/>
      <c r="K21" s="341"/>
      <c r="L21" s="341"/>
      <c r="M21" s="309">
        <f t="shared" si="1"/>
        <v>0</v>
      </c>
      <c r="N21" s="310"/>
      <c r="P21" s="12"/>
      <c r="Q21" s="12"/>
      <c r="R21" s="12"/>
      <c r="S21" s="12"/>
      <c r="T21" s="13"/>
      <c r="U21" s="13"/>
      <c r="V21" s="13"/>
      <c r="W21" s="13"/>
      <c r="X21" s="1"/>
    </row>
    <row r="22" spans="1:24" s="3" customFormat="1" x14ac:dyDescent="0.25">
      <c r="A22" s="191">
        <v>45535</v>
      </c>
      <c r="B22" s="286"/>
      <c r="C22" s="287"/>
      <c r="D22" s="336"/>
      <c r="E22" s="336"/>
      <c r="F22" s="337"/>
      <c r="G22" s="338"/>
      <c r="H22" s="339"/>
      <c r="I22" s="340"/>
      <c r="J22" s="49"/>
      <c r="K22" s="341"/>
      <c r="L22" s="341"/>
      <c r="M22" s="309">
        <f t="shared" si="1"/>
        <v>0</v>
      </c>
      <c r="N22" s="310"/>
      <c r="P22" s="12"/>
      <c r="Q22" s="12"/>
      <c r="R22" s="12"/>
      <c r="S22" s="12"/>
      <c r="T22" s="13"/>
      <c r="U22" s="13"/>
      <c r="V22" s="13"/>
      <c r="W22" s="13"/>
      <c r="X22" s="1"/>
    </row>
    <row r="23" spans="1:24" s="3" customFormat="1" x14ac:dyDescent="0.25">
      <c r="A23" s="191">
        <v>45536</v>
      </c>
      <c r="B23" s="286"/>
      <c r="C23" s="287"/>
      <c r="D23" s="336"/>
      <c r="E23" s="336"/>
      <c r="F23" s="337"/>
      <c r="G23" s="338"/>
      <c r="H23" s="339"/>
      <c r="I23" s="340"/>
      <c r="J23" s="49"/>
      <c r="K23" s="341"/>
      <c r="L23" s="341"/>
      <c r="M23" s="309">
        <f t="shared" si="1"/>
        <v>0</v>
      </c>
      <c r="N23" s="310"/>
      <c r="P23" s="12"/>
      <c r="Q23" s="12"/>
      <c r="R23" s="12"/>
      <c r="S23" s="12"/>
      <c r="T23" s="13"/>
      <c r="U23" s="13"/>
      <c r="V23" s="13"/>
      <c r="W23" s="13"/>
      <c r="X23" s="1"/>
    </row>
    <row r="24" spans="1:24" s="3" customFormat="1" x14ac:dyDescent="0.25">
      <c r="A24" s="191">
        <v>45537</v>
      </c>
      <c r="B24" s="286"/>
      <c r="C24" s="287"/>
      <c r="D24" s="336"/>
      <c r="E24" s="336"/>
      <c r="F24" s="337"/>
      <c r="G24" s="338"/>
      <c r="H24" s="339"/>
      <c r="I24" s="340"/>
      <c r="J24" s="49"/>
      <c r="K24" s="341"/>
      <c r="L24" s="341"/>
      <c r="M24" s="309">
        <f t="shared" si="1"/>
        <v>0</v>
      </c>
      <c r="N24" s="310"/>
      <c r="P24" s="12"/>
      <c r="Q24" s="12"/>
      <c r="R24" s="12"/>
      <c r="S24" s="12"/>
      <c r="T24" s="13"/>
      <c r="U24" s="13"/>
      <c r="V24" s="13"/>
      <c r="W24" s="13"/>
      <c r="X24" s="1"/>
    </row>
    <row r="25" spans="1:24" s="3" customFormat="1" x14ac:dyDescent="0.25">
      <c r="A25" s="191">
        <v>45538</v>
      </c>
      <c r="B25" s="286"/>
      <c r="C25" s="287"/>
      <c r="D25" s="336"/>
      <c r="E25" s="336"/>
      <c r="F25" s="337"/>
      <c r="G25" s="338"/>
      <c r="H25" s="339"/>
      <c r="I25" s="340"/>
      <c r="J25" s="49"/>
      <c r="K25" s="341"/>
      <c r="L25" s="341"/>
      <c r="M25" s="309">
        <f t="shared" si="1"/>
        <v>0</v>
      </c>
      <c r="N25" s="310"/>
      <c r="P25" s="12"/>
      <c r="Q25" s="12"/>
      <c r="R25" s="12"/>
      <c r="S25" s="12"/>
      <c r="T25" s="13"/>
      <c r="U25" s="13"/>
      <c r="V25" s="13"/>
      <c r="W25" s="13"/>
      <c r="X25" s="1"/>
    </row>
    <row r="26" spans="1:24" s="3" customFormat="1" x14ac:dyDescent="0.25">
      <c r="A26" s="191">
        <v>45539</v>
      </c>
      <c r="B26" s="286"/>
      <c r="C26" s="287"/>
      <c r="D26" s="336"/>
      <c r="E26" s="336"/>
      <c r="F26" s="337"/>
      <c r="G26" s="338"/>
      <c r="H26" s="339"/>
      <c r="I26" s="340"/>
      <c r="J26" s="49"/>
      <c r="K26" s="341"/>
      <c r="L26" s="341"/>
      <c r="M26" s="309">
        <f t="shared" si="1"/>
        <v>0</v>
      </c>
      <c r="N26" s="310"/>
      <c r="P26" s="12"/>
      <c r="Q26" s="12"/>
      <c r="R26" s="12"/>
      <c r="S26" s="12"/>
      <c r="T26" s="13"/>
      <c r="U26" s="13"/>
      <c r="V26" s="13"/>
      <c r="W26" s="13"/>
      <c r="X26" s="1"/>
    </row>
    <row r="27" spans="1:24" s="3" customFormat="1" x14ac:dyDescent="0.25">
      <c r="A27" s="191">
        <v>45540</v>
      </c>
      <c r="B27" s="286"/>
      <c r="C27" s="287"/>
      <c r="D27" s="336"/>
      <c r="E27" s="336"/>
      <c r="F27" s="337"/>
      <c r="G27" s="338"/>
      <c r="H27" s="339"/>
      <c r="I27" s="340"/>
      <c r="J27" s="49"/>
      <c r="K27" s="341"/>
      <c r="L27" s="341"/>
      <c r="M27" s="309">
        <f t="shared" si="1"/>
        <v>0</v>
      </c>
      <c r="N27" s="310"/>
      <c r="P27" s="12"/>
      <c r="Q27" s="15"/>
      <c r="R27" s="15"/>
      <c r="S27" s="15"/>
      <c r="T27" s="13"/>
      <c r="U27" s="13"/>
      <c r="V27" s="13"/>
      <c r="W27" s="13"/>
      <c r="X27" s="1"/>
    </row>
    <row r="28" spans="1:24" s="3" customFormat="1" x14ac:dyDescent="0.25">
      <c r="A28" s="191">
        <v>45541</v>
      </c>
      <c r="B28" s="286"/>
      <c r="C28" s="287"/>
      <c r="D28" s="336"/>
      <c r="E28" s="336"/>
      <c r="F28" s="337"/>
      <c r="G28" s="338"/>
      <c r="H28" s="339"/>
      <c r="I28" s="340"/>
      <c r="J28" s="49"/>
      <c r="K28" s="341"/>
      <c r="L28" s="341"/>
      <c r="M28" s="309">
        <f t="shared" si="1"/>
        <v>0</v>
      </c>
      <c r="N28" s="310"/>
      <c r="P28" s="12"/>
      <c r="Q28" s="15"/>
      <c r="R28" s="15"/>
      <c r="S28" s="15"/>
      <c r="T28" s="13"/>
      <c r="U28" s="13"/>
      <c r="V28" s="13"/>
      <c r="W28" s="13"/>
      <c r="X28" s="1"/>
    </row>
    <row r="29" spans="1:24" s="3" customFormat="1" x14ac:dyDescent="0.25">
      <c r="A29" s="191">
        <v>45542</v>
      </c>
      <c r="B29" s="286"/>
      <c r="C29" s="287"/>
      <c r="D29" s="336"/>
      <c r="E29" s="336"/>
      <c r="F29" s="337"/>
      <c r="G29" s="338"/>
      <c r="H29" s="339"/>
      <c r="I29" s="340"/>
      <c r="J29" s="49"/>
      <c r="K29" s="341"/>
      <c r="L29" s="341"/>
      <c r="M29" s="309">
        <f t="shared" si="1"/>
        <v>0</v>
      </c>
      <c r="N29" s="310"/>
      <c r="P29" s="12"/>
      <c r="Q29" s="15"/>
      <c r="R29" s="15"/>
      <c r="S29" s="15"/>
      <c r="T29" s="13"/>
      <c r="U29" s="13"/>
      <c r="V29" s="13"/>
      <c r="W29" s="13"/>
      <c r="X29" s="1"/>
    </row>
    <row r="30" spans="1:24" s="3" customFormat="1" x14ac:dyDescent="0.25">
      <c r="A30" s="191">
        <v>45543</v>
      </c>
      <c r="B30" s="286"/>
      <c r="C30" s="287"/>
      <c r="D30" s="336"/>
      <c r="E30" s="336"/>
      <c r="F30" s="337"/>
      <c r="G30" s="338"/>
      <c r="H30" s="339"/>
      <c r="I30" s="340"/>
      <c r="J30" s="49"/>
      <c r="K30" s="341"/>
      <c r="L30" s="341"/>
      <c r="M30" s="309">
        <f t="shared" si="1"/>
        <v>0</v>
      </c>
      <c r="N30" s="310"/>
      <c r="O30" s="1"/>
      <c r="P30" s="12"/>
      <c r="Q30" s="15"/>
      <c r="R30" s="15"/>
      <c r="S30" s="15"/>
      <c r="T30" s="13"/>
      <c r="U30" s="13"/>
      <c r="V30" s="13"/>
      <c r="W30" s="13"/>
      <c r="X30" s="1"/>
    </row>
    <row r="31" spans="1:24" s="3" customFormat="1" x14ac:dyDescent="0.25">
      <c r="A31" s="191">
        <v>45544</v>
      </c>
      <c r="B31" s="286"/>
      <c r="C31" s="287"/>
      <c r="D31" s="342"/>
      <c r="E31" s="343"/>
      <c r="F31" s="50"/>
      <c r="G31" s="51"/>
      <c r="H31" s="52"/>
      <c r="I31" s="53"/>
      <c r="J31" s="49"/>
      <c r="K31" s="309"/>
      <c r="L31" s="310"/>
      <c r="M31" s="309">
        <f t="shared" si="1"/>
        <v>0</v>
      </c>
      <c r="N31" s="310"/>
      <c r="O31" s="1"/>
      <c r="P31" s="12"/>
      <c r="Q31" s="15"/>
      <c r="R31" s="15"/>
      <c r="S31" s="15"/>
      <c r="T31" s="13"/>
      <c r="U31" s="13"/>
      <c r="V31" s="13"/>
      <c r="W31" s="13"/>
      <c r="X31" s="1"/>
    </row>
    <row r="32" spans="1:24" s="3" customFormat="1" x14ac:dyDescent="0.25">
      <c r="A32" s="191">
        <v>45545</v>
      </c>
      <c r="B32" s="286"/>
      <c r="C32" s="287"/>
      <c r="D32" s="342"/>
      <c r="E32" s="343"/>
      <c r="F32" s="50"/>
      <c r="G32" s="51"/>
      <c r="H32" s="52"/>
      <c r="I32" s="53"/>
      <c r="J32" s="49"/>
      <c r="K32" s="309"/>
      <c r="L32" s="310"/>
      <c r="M32" s="309">
        <f t="shared" si="1"/>
        <v>0</v>
      </c>
      <c r="N32" s="310"/>
      <c r="O32" s="1"/>
      <c r="P32" s="12"/>
      <c r="Q32" s="15"/>
      <c r="R32" s="15"/>
      <c r="S32" s="15"/>
      <c r="T32" s="13"/>
      <c r="U32" s="13"/>
      <c r="V32" s="13"/>
      <c r="W32" s="13"/>
      <c r="X32" s="1"/>
    </row>
    <row r="33" spans="1:24" s="3" customFormat="1" x14ac:dyDescent="0.25">
      <c r="A33" s="191">
        <v>45546</v>
      </c>
      <c r="B33" s="286"/>
      <c r="C33" s="287"/>
      <c r="D33" s="342"/>
      <c r="E33" s="343"/>
      <c r="F33" s="50"/>
      <c r="G33" s="51"/>
      <c r="H33" s="52"/>
      <c r="I33" s="53"/>
      <c r="J33" s="49"/>
      <c r="K33" s="309"/>
      <c r="L33" s="310"/>
      <c r="M33" s="309">
        <f t="shared" si="1"/>
        <v>0</v>
      </c>
      <c r="N33" s="310"/>
      <c r="O33" s="1"/>
      <c r="P33" s="12"/>
      <c r="Q33" s="15"/>
      <c r="R33" s="15"/>
      <c r="S33" s="15"/>
      <c r="T33" s="13"/>
      <c r="U33" s="13"/>
      <c r="V33" s="13"/>
      <c r="W33" s="13"/>
      <c r="X33" s="1"/>
    </row>
    <row r="34" spans="1:24" s="3" customFormat="1" x14ac:dyDescent="0.25">
      <c r="A34" s="191">
        <v>45547</v>
      </c>
      <c r="B34" s="286"/>
      <c r="C34" s="287"/>
      <c r="D34" s="342"/>
      <c r="E34" s="343"/>
      <c r="F34" s="50"/>
      <c r="G34" s="51"/>
      <c r="H34" s="52"/>
      <c r="I34" s="53"/>
      <c r="J34" s="49"/>
      <c r="K34" s="309"/>
      <c r="L34" s="310"/>
      <c r="M34" s="309">
        <f t="shared" si="1"/>
        <v>0</v>
      </c>
      <c r="N34" s="310"/>
      <c r="O34" s="1"/>
      <c r="P34" s="12"/>
      <c r="Q34" s="15"/>
      <c r="R34" s="15"/>
      <c r="S34" s="15"/>
      <c r="T34" s="13"/>
      <c r="U34" s="13"/>
      <c r="V34" s="13"/>
      <c r="W34" s="13"/>
      <c r="X34" s="1"/>
    </row>
    <row r="35" spans="1:24" s="3" customFormat="1" x14ac:dyDescent="0.25">
      <c r="A35" s="191">
        <v>45548</v>
      </c>
      <c r="B35" s="286"/>
      <c r="C35" s="287"/>
      <c r="D35" s="342"/>
      <c r="E35" s="343"/>
      <c r="F35" s="50"/>
      <c r="G35" s="51"/>
      <c r="H35" s="52"/>
      <c r="I35" s="53"/>
      <c r="J35" s="49"/>
      <c r="K35" s="309"/>
      <c r="L35" s="310"/>
      <c r="M35" s="309">
        <f t="shared" si="1"/>
        <v>0</v>
      </c>
      <c r="N35" s="310"/>
      <c r="O35" s="1"/>
      <c r="P35" s="12"/>
      <c r="Q35" s="15"/>
      <c r="R35" s="15"/>
      <c r="S35" s="15"/>
      <c r="T35" s="13"/>
      <c r="U35" s="13"/>
      <c r="V35" s="13"/>
      <c r="W35" s="13"/>
      <c r="X35" s="1"/>
    </row>
    <row r="36" spans="1:24" s="3" customFormat="1" x14ac:dyDescent="0.25">
      <c r="A36" s="191">
        <v>45549</v>
      </c>
      <c r="B36" s="286"/>
      <c r="C36" s="287"/>
      <c r="D36" s="342"/>
      <c r="E36" s="343"/>
      <c r="F36" s="50"/>
      <c r="G36" s="51"/>
      <c r="H36" s="52"/>
      <c r="I36" s="53"/>
      <c r="J36" s="49"/>
      <c r="K36" s="309"/>
      <c r="L36" s="310"/>
      <c r="M36" s="309">
        <f t="shared" si="1"/>
        <v>0</v>
      </c>
      <c r="N36" s="310"/>
      <c r="O36" s="1"/>
      <c r="P36" s="12"/>
      <c r="Q36" s="15"/>
      <c r="R36" s="15"/>
      <c r="S36" s="15"/>
      <c r="T36" s="13"/>
      <c r="U36" s="13"/>
      <c r="V36" s="13"/>
      <c r="W36" s="13"/>
      <c r="X36" s="1"/>
    </row>
    <row r="37" spans="1:24" s="3" customFormat="1" x14ac:dyDescent="0.25">
      <c r="A37" s="191">
        <v>45550</v>
      </c>
      <c r="B37" s="286"/>
      <c r="C37" s="287"/>
      <c r="D37" s="342"/>
      <c r="E37" s="343"/>
      <c r="F37" s="50"/>
      <c r="G37" s="51"/>
      <c r="H37" s="52"/>
      <c r="I37" s="53"/>
      <c r="J37" s="49"/>
      <c r="K37" s="309"/>
      <c r="L37" s="310"/>
      <c r="M37" s="309">
        <f t="shared" si="1"/>
        <v>0</v>
      </c>
      <c r="N37" s="310"/>
      <c r="O37" s="1"/>
      <c r="P37" s="12"/>
      <c r="Q37" s="15"/>
      <c r="R37" s="15"/>
      <c r="S37" s="15"/>
      <c r="T37" s="13"/>
      <c r="U37" s="13"/>
      <c r="V37" s="13"/>
      <c r="W37" s="13"/>
      <c r="X37" s="1"/>
    </row>
    <row r="38" spans="1:24" s="3" customFormat="1" x14ac:dyDescent="0.25">
      <c r="A38" s="191">
        <v>45551</v>
      </c>
      <c r="B38" s="286"/>
      <c r="C38" s="287"/>
      <c r="D38" s="336"/>
      <c r="E38" s="336"/>
      <c r="F38" s="337"/>
      <c r="G38" s="338"/>
      <c r="H38" s="339"/>
      <c r="I38" s="340"/>
      <c r="J38" s="49"/>
      <c r="K38" s="341"/>
      <c r="L38" s="341"/>
      <c r="M38" s="309">
        <f t="shared" si="1"/>
        <v>0</v>
      </c>
      <c r="N38" s="310"/>
      <c r="P38" s="12"/>
      <c r="Q38" s="15"/>
      <c r="R38" s="15"/>
      <c r="S38" s="15"/>
      <c r="T38" s="13"/>
      <c r="U38" s="13"/>
      <c r="V38" s="13"/>
      <c r="W38" s="13"/>
      <c r="X38" s="1"/>
    </row>
    <row r="39" spans="1:24" s="3" customFormat="1" x14ac:dyDescent="0.25">
      <c r="A39" s="191">
        <v>45552</v>
      </c>
      <c r="B39" s="286"/>
      <c r="C39" s="287"/>
      <c r="D39" s="336"/>
      <c r="E39" s="336"/>
      <c r="F39" s="337"/>
      <c r="G39" s="338"/>
      <c r="H39" s="339"/>
      <c r="I39" s="340"/>
      <c r="J39" s="49"/>
      <c r="K39" s="341"/>
      <c r="L39" s="341"/>
      <c r="M39" s="309">
        <f t="shared" si="1"/>
        <v>0</v>
      </c>
      <c r="N39" s="310"/>
      <c r="P39" s="12"/>
      <c r="Q39" s="15"/>
      <c r="R39" s="15"/>
      <c r="S39" s="15"/>
      <c r="T39" s="13"/>
      <c r="U39" s="13"/>
      <c r="V39" s="13"/>
      <c r="W39" s="13"/>
      <c r="X39" s="1"/>
    </row>
    <row r="40" spans="1:24" s="3" customFormat="1" x14ac:dyDescent="0.25">
      <c r="A40" s="191">
        <v>45553</v>
      </c>
      <c r="B40" s="286"/>
      <c r="C40" s="287"/>
      <c r="D40" s="336"/>
      <c r="E40" s="336"/>
      <c r="F40" s="337"/>
      <c r="G40" s="338"/>
      <c r="H40" s="339"/>
      <c r="I40" s="340"/>
      <c r="J40" s="49"/>
      <c r="K40" s="341"/>
      <c r="L40" s="341"/>
      <c r="M40" s="309">
        <f t="shared" si="1"/>
        <v>0</v>
      </c>
      <c r="N40" s="310"/>
      <c r="P40" s="12"/>
      <c r="Q40" s="15"/>
      <c r="R40" s="15"/>
      <c r="S40" s="15"/>
      <c r="T40" s="13"/>
      <c r="U40" s="13"/>
      <c r="V40" s="13"/>
      <c r="W40" s="13"/>
      <c r="X40" s="1"/>
    </row>
    <row r="41" spans="1:24" s="3" customFormat="1" x14ac:dyDescent="0.25">
      <c r="A41" s="191">
        <v>45554</v>
      </c>
      <c r="B41" s="286"/>
      <c r="C41" s="287"/>
      <c r="D41" s="336"/>
      <c r="E41" s="336"/>
      <c r="F41" s="337"/>
      <c r="G41" s="338"/>
      <c r="H41" s="339"/>
      <c r="I41" s="340"/>
      <c r="J41" s="49"/>
      <c r="K41" s="341"/>
      <c r="L41" s="341"/>
      <c r="M41" s="309">
        <f t="shared" si="1"/>
        <v>0</v>
      </c>
      <c r="N41" s="310"/>
      <c r="P41" s="12"/>
      <c r="Q41" s="15"/>
      <c r="R41" s="15"/>
      <c r="S41" s="15"/>
      <c r="T41" s="13"/>
      <c r="U41" s="13"/>
      <c r="V41" s="13"/>
      <c r="W41" s="13"/>
      <c r="X41" s="1"/>
    </row>
    <row r="42" spans="1:24" s="3" customFormat="1" x14ac:dyDescent="0.25">
      <c r="A42" s="191">
        <v>45555</v>
      </c>
      <c r="B42" s="286"/>
      <c r="C42" s="287"/>
      <c r="D42" s="336"/>
      <c r="E42" s="336"/>
      <c r="F42" s="337"/>
      <c r="G42" s="338"/>
      <c r="H42" s="339"/>
      <c r="I42" s="340"/>
      <c r="J42" s="49"/>
      <c r="K42" s="341"/>
      <c r="L42" s="341"/>
      <c r="M42" s="309">
        <f t="shared" si="1"/>
        <v>0</v>
      </c>
      <c r="N42" s="310"/>
      <c r="P42" s="12"/>
      <c r="Q42" s="15"/>
      <c r="R42" s="15"/>
      <c r="S42" s="15"/>
      <c r="T42" s="13"/>
      <c r="U42" s="13"/>
      <c r="V42" s="13"/>
      <c r="W42" s="13"/>
      <c r="X42" s="1"/>
    </row>
    <row r="43" spans="1:24" s="3" customFormat="1" x14ac:dyDescent="0.25">
      <c r="A43" s="191">
        <v>45556</v>
      </c>
      <c r="B43" s="286"/>
      <c r="C43" s="287"/>
      <c r="D43" s="336"/>
      <c r="E43" s="336"/>
      <c r="F43" s="337"/>
      <c r="G43" s="338"/>
      <c r="H43" s="339"/>
      <c r="I43" s="340"/>
      <c r="J43" s="49"/>
      <c r="K43" s="341"/>
      <c r="L43" s="341"/>
      <c r="M43" s="309">
        <f t="shared" si="1"/>
        <v>0</v>
      </c>
      <c r="N43" s="310"/>
      <c r="P43" s="12"/>
      <c r="Q43" s="15"/>
      <c r="R43" s="15"/>
      <c r="S43" s="15"/>
      <c r="T43" s="13"/>
      <c r="U43" s="13"/>
      <c r="V43" s="13"/>
      <c r="W43" s="13"/>
      <c r="X43" s="1"/>
    </row>
    <row r="44" spans="1:24" s="3" customFormat="1" x14ac:dyDescent="0.25">
      <c r="A44" s="191">
        <v>45557</v>
      </c>
      <c r="B44" s="286"/>
      <c r="C44" s="287"/>
      <c r="D44" s="336"/>
      <c r="E44" s="336"/>
      <c r="F44" s="337"/>
      <c r="G44" s="338"/>
      <c r="H44" s="339"/>
      <c r="I44" s="340"/>
      <c r="J44" s="49"/>
      <c r="K44" s="341"/>
      <c r="L44" s="341"/>
      <c r="M44" s="309">
        <f t="shared" si="1"/>
        <v>0</v>
      </c>
      <c r="N44" s="310"/>
      <c r="P44" s="12"/>
      <c r="Q44" s="15"/>
      <c r="R44" s="15"/>
      <c r="S44" s="15"/>
      <c r="T44" s="13"/>
      <c r="U44" s="13"/>
      <c r="V44" s="13"/>
      <c r="W44" s="13"/>
      <c r="X44" s="1"/>
    </row>
    <row r="45" spans="1:24" s="3" customFormat="1" x14ac:dyDescent="0.25">
      <c r="A45" s="191">
        <v>45558</v>
      </c>
      <c r="B45" s="286"/>
      <c r="C45" s="287"/>
      <c r="D45" s="162"/>
      <c r="E45" s="163"/>
      <c r="F45" s="158"/>
      <c r="G45" s="159"/>
      <c r="H45" s="160"/>
      <c r="I45" s="161"/>
      <c r="J45" s="49"/>
      <c r="K45" s="341"/>
      <c r="L45" s="341"/>
      <c r="M45" s="173"/>
      <c r="N45" s="174"/>
      <c r="P45" s="12"/>
      <c r="Q45" s="15"/>
      <c r="R45" s="15"/>
      <c r="S45" s="15"/>
      <c r="T45" s="13"/>
      <c r="U45" s="13"/>
      <c r="V45" s="13"/>
      <c r="W45" s="13"/>
      <c r="X45" s="1"/>
    </row>
    <row r="46" spans="1:24" s="3" customFormat="1" x14ac:dyDescent="0.25">
      <c r="A46" s="191">
        <v>45559</v>
      </c>
      <c r="B46" s="286"/>
      <c r="C46" s="287"/>
      <c r="D46" s="162"/>
      <c r="E46" s="163"/>
      <c r="F46" s="158"/>
      <c r="G46" s="159"/>
      <c r="H46" s="160"/>
      <c r="I46" s="161"/>
      <c r="J46" s="49"/>
      <c r="K46" s="341"/>
      <c r="L46" s="341"/>
      <c r="M46" s="173"/>
      <c r="N46" s="174"/>
      <c r="P46" s="12"/>
      <c r="Q46" s="15"/>
      <c r="R46" s="15"/>
      <c r="S46" s="15"/>
      <c r="T46" s="13"/>
      <c r="U46" s="13"/>
      <c r="V46" s="13"/>
      <c r="W46" s="13"/>
      <c r="X46" s="1"/>
    </row>
    <row r="47" spans="1:24" s="3" customFormat="1" x14ac:dyDescent="0.25">
      <c r="A47" s="191">
        <v>45560</v>
      </c>
      <c r="B47" s="286"/>
      <c r="C47" s="287"/>
      <c r="D47" s="162"/>
      <c r="E47" s="163"/>
      <c r="F47" s="158"/>
      <c r="G47" s="159"/>
      <c r="H47" s="160"/>
      <c r="I47" s="161"/>
      <c r="J47" s="49"/>
      <c r="K47" s="341"/>
      <c r="L47" s="341"/>
      <c r="M47" s="173"/>
      <c r="N47" s="174"/>
      <c r="P47" s="12"/>
      <c r="Q47" s="15"/>
      <c r="R47" s="15"/>
      <c r="S47" s="15"/>
      <c r="T47" s="13"/>
      <c r="U47" s="13"/>
      <c r="V47" s="13"/>
      <c r="W47" s="13"/>
      <c r="X47" s="1"/>
    </row>
    <row r="48" spans="1:24" s="3" customFormat="1" x14ac:dyDescent="0.25">
      <c r="A48" s="191">
        <v>45561</v>
      </c>
      <c r="B48" s="286"/>
      <c r="C48" s="287"/>
      <c r="D48" s="162"/>
      <c r="E48" s="163"/>
      <c r="F48" s="158"/>
      <c r="G48" s="159"/>
      <c r="H48" s="160"/>
      <c r="I48" s="161"/>
      <c r="J48" s="49"/>
      <c r="K48" s="341"/>
      <c r="L48" s="341"/>
      <c r="M48" s="173"/>
      <c r="N48" s="174"/>
      <c r="P48" s="12"/>
      <c r="Q48" s="15"/>
      <c r="R48" s="15"/>
      <c r="S48" s="15"/>
      <c r="T48" s="13"/>
      <c r="U48" s="13"/>
      <c r="V48" s="13"/>
      <c r="W48" s="13"/>
      <c r="X48" s="1"/>
    </row>
    <row r="49" spans="1:25" s="3" customFormat="1" x14ac:dyDescent="0.25">
      <c r="A49" s="191">
        <v>45562</v>
      </c>
      <c r="B49" s="286"/>
      <c r="C49" s="287"/>
      <c r="D49" s="162"/>
      <c r="E49" s="163"/>
      <c r="F49" s="158"/>
      <c r="G49" s="159"/>
      <c r="H49" s="160"/>
      <c r="I49" s="161"/>
      <c r="J49" s="49"/>
      <c r="K49" s="341"/>
      <c r="L49" s="341"/>
      <c r="M49" s="173"/>
      <c r="N49" s="174"/>
      <c r="P49" s="12"/>
      <c r="Q49" s="15"/>
      <c r="R49" s="15"/>
      <c r="S49" s="15"/>
      <c r="T49" s="13"/>
      <c r="U49" s="13"/>
      <c r="V49" s="13"/>
      <c r="W49" s="13"/>
      <c r="X49" s="1"/>
    </row>
    <row r="50" spans="1:25" s="3" customFormat="1" x14ac:dyDescent="0.25">
      <c r="A50" s="191">
        <v>45563</v>
      </c>
      <c r="B50" s="286"/>
      <c r="C50" s="287"/>
      <c r="D50" s="162"/>
      <c r="E50" s="163"/>
      <c r="F50" s="158"/>
      <c r="G50" s="159"/>
      <c r="H50" s="160"/>
      <c r="I50" s="161"/>
      <c r="J50" s="49"/>
      <c r="K50" s="341"/>
      <c r="L50" s="341"/>
      <c r="M50" s="173"/>
      <c r="N50" s="174"/>
      <c r="P50" s="12"/>
      <c r="Q50" s="15"/>
      <c r="R50" s="15"/>
      <c r="S50" s="15"/>
      <c r="T50" s="13"/>
      <c r="U50" s="13"/>
      <c r="V50" s="13"/>
      <c r="W50" s="13"/>
      <c r="X50" s="1"/>
    </row>
    <row r="51" spans="1:25" s="3" customFormat="1" x14ac:dyDescent="0.25">
      <c r="A51" s="191">
        <v>45564</v>
      </c>
      <c r="B51" s="286"/>
      <c r="C51" s="287"/>
      <c r="D51" s="162"/>
      <c r="E51" s="163"/>
      <c r="F51" s="158"/>
      <c r="G51" s="159"/>
      <c r="H51" s="160"/>
      <c r="I51" s="161"/>
      <c r="J51" s="49"/>
      <c r="K51" s="341"/>
      <c r="L51" s="341"/>
      <c r="M51" s="173"/>
      <c r="N51" s="174"/>
      <c r="P51" s="12"/>
      <c r="Q51" s="15"/>
      <c r="R51" s="15"/>
      <c r="S51" s="15"/>
      <c r="T51" s="13"/>
      <c r="U51" s="13"/>
      <c r="V51" s="13"/>
      <c r="W51" s="13"/>
      <c r="X51" s="1"/>
    </row>
    <row r="52" spans="1:25" s="3" customFormat="1" ht="15.75" x14ac:dyDescent="0.25">
      <c r="A52" s="231" t="s">
        <v>21</v>
      </c>
      <c r="B52" s="232"/>
      <c r="C52" s="233"/>
      <c r="D52" s="328">
        <f>+COUNTA(D17:E51)</f>
        <v>0</v>
      </c>
      <c r="E52" s="329"/>
      <c r="F52" s="330">
        <f>+COUNTA(F17:G51)</f>
        <v>0</v>
      </c>
      <c r="G52" s="331"/>
      <c r="H52" s="332">
        <f>SUM(H17:I51)</f>
        <v>0</v>
      </c>
      <c r="I52" s="332"/>
      <c r="J52" s="54"/>
      <c r="K52" s="333"/>
      <c r="L52" s="333"/>
      <c r="M52" s="334">
        <f>+SUM(M17:O51)</f>
        <v>0</v>
      </c>
      <c r="N52" s="335"/>
      <c r="P52" s="12"/>
      <c r="Q52" s="15"/>
      <c r="R52" s="15"/>
      <c r="S52" s="15"/>
      <c r="T52" s="13"/>
      <c r="U52" s="13"/>
      <c r="V52" s="13"/>
      <c r="W52" s="13"/>
      <c r="X52" s="1"/>
    </row>
    <row r="53" spans="1:25" s="3" customFormat="1" x14ac:dyDescent="0.25">
      <c r="A53" s="12"/>
      <c r="B53" s="12"/>
      <c r="C53" s="12"/>
      <c r="D53" s="272" t="s">
        <v>65</v>
      </c>
      <c r="E53" s="273"/>
      <c r="F53" s="274" t="s">
        <v>24</v>
      </c>
      <c r="G53" s="274"/>
      <c r="H53" s="275" t="s">
        <v>62</v>
      </c>
      <c r="I53" s="275"/>
      <c r="K53" s="12"/>
      <c r="L53" s="12"/>
      <c r="M53" s="276" t="s">
        <v>66</v>
      </c>
      <c r="N53" s="277"/>
      <c r="P53" s="12"/>
      <c r="Q53" s="15"/>
      <c r="R53" s="15"/>
      <c r="S53" s="15"/>
      <c r="T53" s="13"/>
      <c r="U53" s="13"/>
      <c r="V53" s="13"/>
      <c r="W53" s="13"/>
      <c r="X53" s="1"/>
    </row>
    <row r="54" spans="1:25" s="3" customFormat="1" x14ac:dyDescent="0.25">
      <c r="K54" s="12"/>
      <c r="L54" s="12"/>
      <c r="M54" s="12"/>
      <c r="N54" s="12"/>
      <c r="P54" s="12"/>
      <c r="Q54" s="15"/>
      <c r="R54" s="15"/>
      <c r="S54" s="15"/>
      <c r="T54" s="13"/>
      <c r="U54" s="13"/>
      <c r="V54" s="13"/>
      <c r="W54" s="13"/>
      <c r="X54" s="1"/>
    </row>
    <row r="55" spans="1:25" s="3" customFormat="1" x14ac:dyDescent="0.25">
      <c r="A55" s="28" t="s">
        <v>23</v>
      </c>
      <c r="J55" s="28" t="s">
        <v>27</v>
      </c>
      <c r="N55" s="47"/>
      <c r="P55" s="12"/>
      <c r="Q55" s="15"/>
      <c r="R55" s="15"/>
      <c r="S55" s="15"/>
      <c r="T55" s="13"/>
      <c r="U55" s="13"/>
      <c r="V55" s="13"/>
      <c r="W55" s="13"/>
      <c r="X55" s="1"/>
    </row>
    <row r="56" spans="1:25" s="3" customFormat="1" x14ac:dyDescent="0.25">
      <c r="J56" s="28" t="s">
        <v>31</v>
      </c>
      <c r="N56" s="47"/>
      <c r="P56" s="12"/>
      <c r="Q56" s="15"/>
      <c r="R56" s="15"/>
      <c r="S56" s="15"/>
      <c r="T56" s="13"/>
      <c r="U56" s="13"/>
      <c r="V56" s="13"/>
      <c r="W56" s="13"/>
      <c r="X56" s="1"/>
    </row>
    <row r="57" spans="1:25" s="3" customFormat="1" x14ac:dyDescent="0.25">
      <c r="A57" s="29" t="s">
        <v>20</v>
      </c>
      <c r="B57" s="30"/>
      <c r="C57" s="29"/>
      <c r="D57" s="29"/>
      <c r="E57" s="16"/>
      <c r="H57" s="18"/>
      <c r="P57" s="12"/>
      <c r="Q57" s="15"/>
      <c r="R57" s="15"/>
      <c r="S57" s="15"/>
      <c r="T57" s="13"/>
      <c r="U57" s="13"/>
      <c r="V57" s="13"/>
      <c r="W57" s="13"/>
      <c r="X57" s="1"/>
    </row>
    <row r="58" spans="1:25" s="3" customFormat="1" x14ac:dyDescent="0.25">
      <c r="A58" s="29" t="s">
        <v>7</v>
      </c>
      <c r="B58" s="30"/>
      <c r="C58" s="31">
        <f ca="1">TODAY()</f>
        <v>45320</v>
      </c>
      <c r="D58" s="29"/>
      <c r="E58" s="16"/>
      <c r="J58" s="28" t="s">
        <v>22</v>
      </c>
      <c r="P58" s="12"/>
      <c r="Q58" s="15"/>
      <c r="R58" s="15"/>
      <c r="S58" s="15"/>
      <c r="T58" s="13"/>
      <c r="U58" s="13"/>
      <c r="V58" s="13"/>
      <c r="W58" s="13"/>
      <c r="X58" s="1"/>
    </row>
    <row r="59" spans="1:25" s="3" customFormat="1" x14ac:dyDescent="0.25">
      <c r="A59" s="28"/>
      <c r="B59" s="315" t="s">
        <v>47</v>
      </c>
      <c r="C59" s="315"/>
      <c r="D59" s="315"/>
      <c r="E59" s="315"/>
      <c r="F59" s="315"/>
      <c r="J59" s="315" t="s">
        <v>48</v>
      </c>
      <c r="K59" s="315"/>
      <c r="L59" s="315"/>
      <c r="M59" s="315"/>
      <c r="N59" s="315"/>
      <c r="P59" s="12"/>
      <c r="Q59" s="12"/>
      <c r="R59" s="12"/>
      <c r="S59" s="12"/>
      <c r="T59" s="13"/>
      <c r="U59" s="13"/>
      <c r="V59" s="13"/>
      <c r="W59" s="13"/>
      <c r="X59" s="1"/>
    </row>
    <row r="60" spans="1:25" s="3" customFormat="1" x14ac:dyDescent="0.25">
      <c r="B60" s="315"/>
      <c r="C60" s="315"/>
      <c r="D60" s="315"/>
      <c r="E60" s="315"/>
      <c r="F60" s="315"/>
      <c r="J60" s="315"/>
      <c r="K60" s="315"/>
      <c r="L60" s="315"/>
      <c r="M60" s="315"/>
      <c r="N60" s="315"/>
      <c r="O60" s="12"/>
      <c r="P60" s="12"/>
      <c r="Q60" s="12"/>
      <c r="R60" s="12"/>
      <c r="S60" s="12"/>
      <c r="T60" s="13"/>
      <c r="U60" s="13"/>
      <c r="V60" s="13"/>
      <c r="W60" s="13"/>
      <c r="X60" s="1"/>
    </row>
    <row r="61" spans="1:25" s="3" customFormat="1" x14ac:dyDescent="0.25">
      <c r="B61" s="315"/>
      <c r="C61" s="315"/>
      <c r="D61" s="315"/>
      <c r="E61" s="315"/>
      <c r="F61" s="315"/>
      <c r="J61" s="315"/>
      <c r="K61" s="315"/>
      <c r="L61" s="315"/>
      <c r="M61" s="315"/>
      <c r="N61" s="315"/>
      <c r="O61" s="12"/>
      <c r="P61" s="12"/>
      <c r="U61" s="1"/>
      <c r="V61" s="1"/>
      <c r="W61" s="1"/>
      <c r="X61" s="1"/>
      <c r="Y61" s="1"/>
    </row>
    <row r="62" spans="1:25" s="3" customFormat="1" x14ac:dyDescent="0.25">
      <c r="B62" s="315"/>
      <c r="C62" s="315"/>
      <c r="D62" s="315"/>
      <c r="E62" s="315"/>
      <c r="F62" s="315"/>
      <c r="J62" s="315"/>
      <c r="K62" s="315"/>
      <c r="L62" s="315"/>
      <c r="M62" s="315"/>
      <c r="N62" s="315"/>
      <c r="P62" s="12"/>
      <c r="U62" s="1"/>
      <c r="V62" s="1"/>
      <c r="W62" s="1"/>
      <c r="X62" s="1"/>
      <c r="Y62" s="1"/>
    </row>
    <row r="63" spans="1:25" s="3" customFormat="1" x14ac:dyDescent="0.25">
      <c r="B63" s="315"/>
      <c r="C63" s="315"/>
      <c r="D63" s="315"/>
      <c r="E63" s="315"/>
      <c r="F63" s="315"/>
      <c r="J63" s="315"/>
      <c r="K63" s="315"/>
      <c r="L63" s="315"/>
      <c r="M63" s="315"/>
      <c r="N63" s="315"/>
      <c r="P63" s="12"/>
      <c r="U63" s="1"/>
      <c r="V63" s="1"/>
      <c r="W63" s="1"/>
      <c r="X63" s="1"/>
      <c r="Y63" s="1"/>
    </row>
    <row r="64" spans="1:25" s="3" customFormat="1" x14ac:dyDescent="0.25">
      <c r="B64" s="315"/>
      <c r="C64" s="315"/>
      <c r="D64" s="315"/>
      <c r="E64" s="315"/>
      <c r="F64" s="315"/>
      <c r="J64" s="315"/>
      <c r="K64" s="315"/>
      <c r="L64" s="315"/>
      <c r="M64" s="315"/>
      <c r="N64" s="315"/>
      <c r="P64" s="12"/>
      <c r="U64" s="1"/>
      <c r="V64" s="1"/>
      <c r="W64" s="1"/>
      <c r="X64" s="1"/>
      <c r="Y64" s="1"/>
    </row>
    <row r="65" spans="1:25" s="3" customFormat="1" x14ac:dyDescent="0.25">
      <c r="A65" s="3" t="s">
        <v>46</v>
      </c>
      <c r="B65" s="23"/>
      <c r="J65" s="3" t="s">
        <v>39</v>
      </c>
      <c r="P65" s="12"/>
      <c r="U65" s="1"/>
      <c r="V65" s="1"/>
      <c r="W65" s="1"/>
      <c r="X65" s="1"/>
      <c r="Y65" s="1"/>
    </row>
    <row r="66" spans="1:25" s="3" customFormat="1" x14ac:dyDescent="0.25">
      <c r="B66" s="23"/>
      <c r="U66" s="1"/>
      <c r="V66" s="1"/>
      <c r="W66" s="1"/>
      <c r="X66" s="1"/>
      <c r="Y66" s="1"/>
    </row>
    <row r="67" spans="1:25" s="3" customFormat="1" x14ac:dyDescent="0.25">
      <c r="B67" s="23"/>
      <c r="U67" s="1"/>
      <c r="V67" s="1"/>
      <c r="W67" s="1"/>
      <c r="X67" s="1"/>
      <c r="Y67" s="1"/>
    </row>
    <row r="68" spans="1:25" s="3" customFormat="1" x14ac:dyDescent="0.25">
      <c r="A68" s="29"/>
      <c r="B68" s="23"/>
      <c r="D68" s="29"/>
      <c r="U68" s="1"/>
      <c r="V68" s="1"/>
      <c r="W68" s="1"/>
      <c r="X68" s="1"/>
      <c r="Y68" s="1"/>
    </row>
    <row r="69" spans="1:25" s="3" customFormat="1" x14ac:dyDescent="0.25">
      <c r="U69" s="1"/>
      <c r="V69" s="1"/>
      <c r="W69" s="1"/>
      <c r="X69" s="1"/>
      <c r="Y69" s="1"/>
    </row>
    <row r="70" spans="1:25" s="3" customFormat="1" x14ac:dyDescent="0.25">
      <c r="B70" s="23"/>
      <c r="U70" s="1"/>
      <c r="V70" s="1"/>
      <c r="W70" s="1"/>
      <c r="X70" s="1"/>
      <c r="Y70" s="1"/>
    </row>
    <row r="71" spans="1:25" s="3" customFormat="1" x14ac:dyDescent="0.25">
      <c r="B71" s="23"/>
      <c r="U71" s="1"/>
      <c r="V71" s="1"/>
      <c r="W71" s="1"/>
      <c r="X71" s="1"/>
      <c r="Y71" s="1"/>
    </row>
    <row r="72" spans="1:25" s="3" customFormat="1" x14ac:dyDescent="0.25">
      <c r="B72" s="23"/>
      <c r="U72" s="1"/>
      <c r="V72" s="1"/>
      <c r="W72" s="1"/>
      <c r="X72" s="1"/>
      <c r="Y72" s="1"/>
    </row>
    <row r="73" spans="1:25" s="3" customFormat="1" x14ac:dyDescent="0.25">
      <c r="B73" s="23"/>
      <c r="U73" s="1"/>
      <c r="V73" s="1"/>
      <c r="W73" s="1"/>
      <c r="X73" s="1"/>
      <c r="Y73" s="1"/>
    </row>
    <row r="74" spans="1:25" s="3" customFormat="1" x14ac:dyDescent="0.25">
      <c r="B74" s="23"/>
      <c r="U74" s="1"/>
      <c r="V74" s="1"/>
      <c r="W74" s="1"/>
      <c r="X74" s="1"/>
      <c r="Y74" s="1"/>
    </row>
    <row r="75" spans="1:25" s="3" customFormat="1" x14ac:dyDescent="0.25">
      <c r="B75" s="23"/>
      <c r="U75" s="1"/>
      <c r="V75" s="1"/>
      <c r="W75" s="1"/>
      <c r="X75" s="1"/>
      <c r="Y75" s="1"/>
    </row>
    <row r="76" spans="1:25" s="3" customFormat="1" x14ac:dyDescent="0.25">
      <c r="B76" s="23"/>
      <c r="U76" s="1"/>
      <c r="V76" s="1"/>
      <c r="W76" s="1"/>
      <c r="X76" s="1"/>
      <c r="Y76" s="1"/>
    </row>
    <row r="77" spans="1:25" s="3" customFormat="1" x14ac:dyDescent="0.25">
      <c r="B77" s="23"/>
      <c r="U77" s="1"/>
      <c r="V77" s="1"/>
      <c r="W77" s="1"/>
      <c r="X77" s="1"/>
      <c r="Y77" s="1"/>
    </row>
    <row r="78" spans="1:25" s="3" customFormat="1" x14ac:dyDescent="0.25">
      <c r="B78" s="23"/>
      <c r="U78" s="1"/>
      <c r="V78" s="1"/>
      <c r="W78" s="1"/>
      <c r="X78" s="1"/>
      <c r="Y78" s="1"/>
    </row>
    <row r="79" spans="1:25" s="3" customFormat="1" x14ac:dyDescent="0.25">
      <c r="B79" s="23"/>
      <c r="U79" s="1"/>
      <c r="V79" s="1"/>
      <c r="W79" s="1"/>
      <c r="X79" s="1"/>
      <c r="Y79" s="1"/>
    </row>
    <row r="80" spans="1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2:25" s="3" customFormat="1" x14ac:dyDescent="0.25">
      <c r="B225" s="23"/>
      <c r="U225" s="1"/>
      <c r="V225" s="1"/>
      <c r="W225" s="1"/>
      <c r="X225" s="1"/>
      <c r="Y225" s="1"/>
    </row>
    <row r="226" spans="2:25" s="3" customFormat="1" x14ac:dyDescent="0.25">
      <c r="B226" s="23"/>
      <c r="U226" s="1"/>
      <c r="V226" s="1"/>
      <c r="W226" s="1"/>
      <c r="X226" s="1"/>
      <c r="Y226" s="1"/>
    </row>
    <row r="227" spans="2:25" s="3" customFormat="1" x14ac:dyDescent="0.25">
      <c r="B227" s="23"/>
      <c r="U227" s="1"/>
      <c r="V227" s="1"/>
      <c r="W227" s="1"/>
      <c r="X227" s="1"/>
      <c r="Y227" s="1"/>
    </row>
    <row r="228" spans="2:25" s="3" customFormat="1" x14ac:dyDescent="0.25">
      <c r="B228" s="23"/>
      <c r="U228" s="1"/>
      <c r="V228" s="1"/>
      <c r="W228" s="1"/>
      <c r="X228" s="1"/>
      <c r="Y228" s="1"/>
    </row>
    <row r="229" spans="2:25" s="3" customFormat="1" x14ac:dyDescent="0.25">
      <c r="B229" s="23"/>
      <c r="U229" s="1"/>
      <c r="V229" s="1"/>
      <c r="W229" s="1"/>
      <c r="X229" s="1"/>
      <c r="Y229" s="1"/>
    </row>
    <row r="230" spans="2:25" s="3" customFormat="1" x14ac:dyDescent="0.25">
      <c r="B230" s="23"/>
      <c r="U230" s="1"/>
      <c r="V230" s="1"/>
      <c r="W230" s="1"/>
      <c r="X230" s="1"/>
      <c r="Y230" s="1"/>
    </row>
    <row r="231" spans="2:25" s="3" customFormat="1" x14ac:dyDescent="0.25">
      <c r="B231" s="23"/>
      <c r="U231" s="1"/>
      <c r="V231" s="1"/>
      <c r="W231" s="1"/>
      <c r="X231" s="1"/>
      <c r="Y231" s="1"/>
    </row>
    <row r="232" spans="2:25" s="3" customFormat="1" x14ac:dyDescent="0.25">
      <c r="B232" s="23"/>
      <c r="U232" s="1"/>
      <c r="V232" s="1"/>
      <c r="W232" s="1"/>
      <c r="X232" s="1"/>
      <c r="Y232" s="1"/>
    </row>
    <row r="233" spans="2:25" s="3" customFormat="1" x14ac:dyDescent="0.25">
      <c r="B233" s="23"/>
      <c r="U233" s="1"/>
      <c r="V233" s="1"/>
      <c r="W233" s="1"/>
      <c r="X233" s="1"/>
      <c r="Y233" s="1"/>
    </row>
    <row r="234" spans="2:25" s="3" customFormat="1" x14ac:dyDescent="0.25">
      <c r="B234" s="23"/>
      <c r="U234" s="1"/>
      <c r="V234" s="1"/>
      <c r="W234" s="1"/>
      <c r="X234" s="1"/>
      <c r="Y234" s="1"/>
    </row>
    <row r="235" spans="2:25" s="3" customFormat="1" x14ac:dyDescent="0.25">
      <c r="B235" s="23"/>
      <c r="U235" s="1"/>
      <c r="V235" s="1"/>
      <c r="W235" s="1"/>
      <c r="X235" s="1"/>
      <c r="Y235" s="1"/>
    </row>
    <row r="236" spans="2:25" s="3" customFormat="1" x14ac:dyDescent="0.25">
      <c r="B236" s="23"/>
      <c r="U236" s="1"/>
      <c r="V236" s="1"/>
      <c r="W236" s="1"/>
      <c r="X236" s="1"/>
      <c r="Y236" s="1"/>
    </row>
    <row r="237" spans="2:25" s="3" customFormat="1" x14ac:dyDescent="0.25">
      <c r="B237" s="23"/>
      <c r="U237" s="1"/>
      <c r="V237" s="1"/>
      <c r="W237" s="1"/>
      <c r="X237" s="1"/>
      <c r="Y237" s="1"/>
    </row>
    <row r="238" spans="2:25" s="3" customFormat="1" x14ac:dyDescent="0.25">
      <c r="B238" s="23"/>
      <c r="U238" s="1"/>
      <c r="V238" s="1"/>
      <c r="W238" s="1"/>
      <c r="X238" s="1"/>
      <c r="Y238" s="1"/>
    </row>
    <row r="239" spans="2:25" s="3" customFormat="1" x14ac:dyDescent="0.25">
      <c r="B239" s="23"/>
      <c r="U239" s="1"/>
      <c r="V239" s="1"/>
      <c r="W239" s="1"/>
      <c r="X239" s="1"/>
      <c r="Y239" s="1"/>
    </row>
    <row r="240" spans="2:25" s="3" customFormat="1" x14ac:dyDescent="0.25">
      <c r="B240" s="23"/>
      <c r="U240" s="1"/>
      <c r="V240" s="1"/>
      <c r="W240" s="1"/>
      <c r="X240" s="1"/>
      <c r="Y240" s="1"/>
    </row>
    <row r="241" spans="1:25" s="3" customFormat="1" x14ac:dyDescent="0.25">
      <c r="B241" s="23"/>
      <c r="U241" s="1"/>
      <c r="V241" s="1"/>
      <c r="W241" s="1"/>
      <c r="X241" s="1"/>
      <c r="Y241" s="1"/>
    </row>
    <row r="242" spans="1:25" s="3" customFormat="1" x14ac:dyDescent="0.25">
      <c r="B242" s="23"/>
      <c r="K242" s="6"/>
      <c r="L242" s="6"/>
      <c r="M242" s="6"/>
      <c r="N242" s="6"/>
      <c r="U242" s="1"/>
      <c r="V242" s="1"/>
      <c r="W242" s="1"/>
      <c r="X242" s="1"/>
      <c r="Y242" s="1"/>
    </row>
    <row r="243" spans="1:25" s="3" customFormat="1" x14ac:dyDescent="0.25">
      <c r="B243" s="23"/>
      <c r="K243" s="6"/>
      <c r="L243" s="6"/>
      <c r="M243" s="6"/>
      <c r="N243" s="6"/>
      <c r="U243" s="1"/>
      <c r="V243" s="1"/>
      <c r="W243" s="1"/>
      <c r="X243" s="1"/>
      <c r="Y243" s="1"/>
    </row>
    <row r="244" spans="1:25" s="3" customFormat="1" x14ac:dyDescent="0.25">
      <c r="B244" s="23"/>
      <c r="K244" s="6"/>
      <c r="L244" s="6"/>
      <c r="M244" s="6"/>
      <c r="N244" s="6"/>
      <c r="U244" s="1"/>
      <c r="V244" s="1"/>
      <c r="W244" s="1"/>
      <c r="X244" s="1"/>
      <c r="Y244" s="1"/>
    </row>
    <row r="245" spans="1:25" s="3" customFormat="1" x14ac:dyDescent="0.25">
      <c r="B245" s="23"/>
      <c r="J245" s="6"/>
      <c r="K245" s="6"/>
      <c r="L245" s="6"/>
      <c r="M245" s="6"/>
      <c r="N245" s="6"/>
      <c r="U245" s="1"/>
      <c r="V245" s="1"/>
      <c r="W245" s="1"/>
      <c r="X245" s="1"/>
      <c r="Y245" s="1"/>
    </row>
    <row r="246" spans="1:25" s="3" customFormat="1" x14ac:dyDescent="0.25">
      <c r="B246" s="23"/>
      <c r="J246" s="6"/>
      <c r="K246" s="6"/>
      <c r="L246" s="6"/>
      <c r="M246" s="6"/>
      <c r="N246" s="6"/>
      <c r="U246" s="1"/>
      <c r="V246" s="1"/>
      <c r="W246" s="1"/>
      <c r="X246" s="1"/>
      <c r="Y246" s="1"/>
    </row>
    <row r="247" spans="1:25" s="3" customFormat="1" x14ac:dyDescent="0.25">
      <c r="B247" s="23"/>
      <c r="J247" s="6"/>
      <c r="K247" s="6"/>
      <c r="L247" s="6"/>
      <c r="M247" s="6"/>
      <c r="N247" s="6"/>
      <c r="U247" s="1"/>
      <c r="V247" s="1"/>
      <c r="W247" s="1"/>
      <c r="X247" s="1"/>
      <c r="Y247" s="1"/>
    </row>
    <row r="248" spans="1:25" s="3" customFormat="1" x14ac:dyDescent="0.25">
      <c r="B248" s="23"/>
      <c r="J248" s="6"/>
      <c r="K248" s="6"/>
      <c r="L248" s="6"/>
      <c r="M248" s="6"/>
      <c r="N248" s="6"/>
      <c r="U248" s="1"/>
      <c r="V248" s="1"/>
      <c r="W248" s="1"/>
      <c r="X248" s="1"/>
      <c r="Y248" s="1"/>
    </row>
    <row r="249" spans="1:25" s="3" customFormat="1" x14ac:dyDescent="0.25">
      <c r="B249" s="23"/>
      <c r="J249" s="6"/>
      <c r="K249" s="6"/>
      <c r="L249" s="6"/>
      <c r="M249" s="6"/>
      <c r="N249" s="6"/>
      <c r="U249" s="1"/>
      <c r="V249" s="1"/>
      <c r="W249" s="1"/>
      <c r="X249" s="1"/>
      <c r="Y249" s="1"/>
    </row>
    <row r="250" spans="1:25" s="3" customFormat="1" x14ac:dyDescent="0.25">
      <c r="B250" s="23"/>
      <c r="J250" s="6"/>
      <c r="K250" s="6"/>
      <c r="L250" s="6"/>
      <c r="M250" s="6"/>
      <c r="N250" s="6"/>
      <c r="U250" s="1"/>
      <c r="V250" s="1"/>
      <c r="W250" s="1"/>
      <c r="X250" s="1"/>
      <c r="Y250" s="1"/>
    </row>
    <row r="251" spans="1:25" s="3" customFormat="1" x14ac:dyDescent="0.25">
      <c r="A251" s="6"/>
      <c r="B251" s="25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U251" s="1"/>
      <c r="V251" s="1"/>
      <c r="W251" s="1"/>
      <c r="X251" s="1"/>
      <c r="Y251" s="1"/>
    </row>
    <row r="252" spans="1:25" s="3" customFormat="1" x14ac:dyDescent="0.25">
      <c r="A252" s="6"/>
      <c r="B252" s="25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U252" s="1"/>
      <c r="V252" s="1"/>
      <c r="W252" s="1"/>
      <c r="X252" s="1"/>
      <c r="Y252" s="1"/>
    </row>
    <row r="253" spans="1:25" s="3" customFormat="1" x14ac:dyDescent="0.25">
      <c r="A253" s="6"/>
      <c r="B253" s="25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U253" s="1"/>
      <c r="V253" s="1"/>
      <c r="W253" s="1"/>
      <c r="X253" s="1"/>
      <c r="Y253" s="1"/>
    </row>
    <row r="254" spans="1:25" s="3" customFormat="1" x14ac:dyDescent="0.25">
      <c r="A254" s="6"/>
      <c r="B254" s="25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U254" s="1"/>
      <c r="V254" s="1"/>
      <c r="W254" s="1"/>
      <c r="X254" s="1"/>
      <c r="Y254" s="1"/>
    </row>
    <row r="255" spans="1:25" s="3" customFormat="1" x14ac:dyDescent="0.25">
      <c r="A255" s="6"/>
      <c r="B255" s="25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U255" s="1"/>
      <c r="V255" s="1"/>
      <c r="W255" s="1"/>
      <c r="X255" s="1"/>
      <c r="Y255" s="1"/>
    </row>
    <row r="256" spans="1:25" s="3" customFormat="1" x14ac:dyDescent="0.25">
      <c r="A256" s="6"/>
      <c r="B256" s="25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U256" s="1"/>
      <c r="V256" s="1"/>
      <c r="W256" s="1"/>
      <c r="X256" s="1"/>
      <c r="Y256" s="1"/>
    </row>
    <row r="257" spans="1:25" s="3" customFormat="1" x14ac:dyDescent="0.25">
      <c r="A257" s="6"/>
      <c r="B257" s="25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U257" s="1"/>
      <c r="V257" s="1"/>
      <c r="W257" s="1"/>
      <c r="X257" s="1"/>
      <c r="Y257" s="1"/>
    </row>
    <row r="258" spans="1:25" s="3" customFormat="1" x14ac:dyDescent="0.25">
      <c r="A258" s="6"/>
      <c r="B258" s="25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Q258" s="6"/>
      <c r="R258" s="6"/>
      <c r="S258" s="6"/>
      <c r="U258" s="1"/>
      <c r="V258" s="1"/>
      <c r="W258" s="1"/>
      <c r="X258" s="1"/>
      <c r="Y258" s="1"/>
    </row>
  </sheetData>
  <sheetProtection sheet="1" objects="1" scenarios="1"/>
  <mergeCells count="200">
    <mergeCell ref="A17:C17"/>
    <mergeCell ref="A18:C18"/>
    <mergeCell ref="D18:E18"/>
    <mergeCell ref="F18:G18"/>
    <mergeCell ref="H18:I18"/>
    <mergeCell ref="K18:L18"/>
    <mergeCell ref="M18:N18"/>
    <mergeCell ref="D17:E17"/>
    <mergeCell ref="F17:G17"/>
    <mergeCell ref="H17:I17"/>
    <mergeCell ref="K17:L17"/>
    <mergeCell ref="M17:N17"/>
    <mergeCell ref="R3:T3"/>
    <mergeCell ref="B5:K5"/>
    <mergeCell ref="L5:N5"/>
    <mergeCell ref="R5:T5"/>
    <mergeCell ref="K13:L13"/>
    <mergeCell ref="F15:N15"/>
    <mergeCell ref="A16:C16"/>
    <mergeCell ref="D16:E16"/>
    <mergeCell ref="F16:G16"/>
    <mergeCell ref="H16:I16"/>
    <mergeCell ref="K16:L16"/>
    <mergeCell ref="M16:N16"/>
    <mergeCell ref="C8:F8"/>
    <mergeCell ref="K8:N8"/>
    <mergeCell ref="C10:F10"/>
    <mergeCell ref="K10:N10"/>
    <mergeCell ref="C12:F12"/>
    <mergeCell ref="K12:L12"/>
    <mergeCell ref="D2:K4"/>
    <mergeCell ref="L2:N4"/>
    <mergeCell ref="D19:E19"/>
    <mergeCell ref="F19:G19"/>
    <mergeCell ref="H19:I19"/>
    <mergeCell ref="K19:L19"/>
    <mergeCell ref="M19:N19"/>
    <mergeCell ref="D22:E22"/>
    <mergeCell ref="F22:G22"/>
    <mergeCell ref="H22:I22"/>
    <mergeCell ref="K22:L22"/>
    <mergeCell ref="M22:N22"/>
    <mergeCell ref="D21:E21"/>
    <mergeCell ref="F21:G21"/>
    <mergeCell ref="H21:I21"/>
    <mergeCell ref="K21:L21"/>
    <mergeCell ref="M21:N21"/>
    <mergeCell ref="D20:E20"/>
    <mergeCell ref="F20:G20"/>
    <mergeCell ref="H20:I20"/>
    <mergeCell ref="K20:L20"/>
    <mergeCell ref="M20:N20"/>
    <mergeCell ref="D24:E24"/>
    <mergeCell ref="F24:G24"/>
    <mergeCell ref="H24:I24"/>
    <mergeCell ref="K24:L24"/>
    <mergeCell ref="M24:N24"/>
    <mergeCell ref="D23:E23"/>
    <mergeCell ref="F23:G23"/>
    <mergeCell ref="H23:I23"/>
    <mergeCell ref="K23:L23"/>
    <mergeCell ref="M23:N23"/>
    <mergeCell ref="D26:E26"/>
    <mergeCell ref="F26:G26"/>
    <mergeCell ref="H26:I26"/>
    <mergeCell ref="K26:L26"/>
    <mergeCell ref="M26:N26"/>
    <mergeCell ref="D25:E25"/>
    <mergeCell ref="F25:G25"/>
    <mergeCell ref="H25:I25"/>
    <mergeCell ref="K25:L25"/>
    <mergeCell ref="M25:N25"/>
    <mergeCell ref="A29:C29"/>
    <mergeCell ref="A30:C30"/>
    <mergeCell ref="D28:E28"/>
    <mergeCell ref="F28:G28"/>
    <mergeCell ref="H28:I28"/>
    <mergeCell ref="K28:L28"/>
    <mergeCell ref="M28:N28"/>
    <mergeCell ref="D27:E27"/>
    <mergeCell ref="F27:G27"/>
    <mergeCell ref="H27:I27"/>
    <mergeCell ref="K27:L27"/>
    <mergeCell ref="M27:N27"/>
    <mergeCell ref="A28:C28"/>
    <mergeCell ref="D30:E30"/>
    <mergeCell ref="F30:G30"/>
    <mergeCell ref="H30:I30"/>
    <mergeCell ref="K30:L30"/>
    <mergeCell ref="M30:N30"/>
    <mergeCell ref="D29:E29"/>
    <mergeCell ref="F29:G29"/>
    <mergeCell ref="H29:I29"/>
    <mergeCell ref="K29:L29"/>
    <mergeCell ref="M29:N29"/>
    <mergeCell ref="D34:E34"/>
    <mergeCell ref="K34:L34"/>
    <mergeCell ref="D31:E31"/>
    <mergeCell ref="K31:L31"/>
    <mergeCell ref="D32:E32"/>
    <mergeCell ref="K32:L32"/>
    <mergeCell ref="A31:C31"/>
    <mergeCell ref="A32:C32"/>
    <mergeCell ref="A33:C33"/>
    <mergeCell ref="A34:C34"/>
    <mergeCell ref="A38:C38"/>
    <mergeCell ref="A39:C39"/>
    <mergeCell ref="A40:C40"/>
    <mergeCell ref="D37:E37"/>
    <mergeCell ref="K37:L37"/>
    <mergeCell ref="D38:E38"/>
    <mergeCell ref="F38:G38"/>
    <mergeCell ref="H38:I38"/>
    <mergeCell ref="K38:L38"/>
    <mergeCell ref="D40:E40"/>
    <mergeCell ref="F40:G40"/>
    <mergeCell ref="H40:I40"/>
    <mergeCell ref="K40:L40"/>
    <mergeCell ref="A37:C37"/>
    <mergeCell ref="M40:N40"/>
    <mergeCell ref="M38:N38"/>
    <mergeCell ref="D39:E39"/>
    <mergeCell ref="F39:G39"/>
    <mergeCell ref="H39:I39"/>
    <mergeCell ref="K39:L39"/>
    <mergeCell ref="M39:N39"/>
    <mergeCell ref="A43:C43"/>
    <mergeCell ref="A44:C44"/>
    <mergeCell ref="D42:E42"/>
    <mergeCell ref="F42:G42"/>
    <mergeCell ref="H42:I42"/>
    <mergeCell ref="K42:L42"/>
    <mergeCell ref="M42:N42"/>
    <mergeCell ref="D41:E41"/>
    <mergeCell ref="F41:G41"/>
    <mergeCell ref="H41:I41"/>
    <mergeCell ref="K41:L41"/>
    <mergeCell ref="M41:N41"/>
    <mergeCell ref="A41:C41"/>
    <mergeCell ref="A42:C42"/>
    <mergeCell ref="D44:E44"/>
    <mergeCell ref="F44:G44"/>
    <mergeCell ref="H44:I44"/>
    <mergeCell ref="D43:E43"/>
    <mergeCell ref="F43:G43"/>
    <mergeCell ref="H43:I43"/>
    <mergeCell ref="K43:L43"/>
    <mergeCell ref="M43:N43"/>
    <mergeCell ref="D53:E53"/>
    <mergeCell ref="F53:G53"/>
    <mergeCell ref="H53:I53"/>
    <mergeCell ref="M53:N53"/>
    <mergeCell ref="K45:L45"/>
    <mergeCell ref="K46:L46"/>
    <mergeCell ref="K47:L47"/>
    <mergeCell ref="K48:L48"/>
    <mergeCell ref="K49:L49"/>
    <mergeCell ref="K50:L50"/>
    <mergeCell ref="K51:L51"/>
    <mergeCell ref="B59:F64"/>
    <mergeCell ref="J59:N64"/>
    <mergeCell ref="A52:C52"/>
    <mergeCell ref="D52:E52"/>
    <mergeCell ref="F52:G52"/>
    <mergeCell ref="H52:I52"/>
    <mergeCell ref="K52:L52"/>
    <mergeCell ref="M52:N52"/>
    <mergeCell ref="K44:L44"/>
    <mergeCell ref="M44:N44"/>
    <mergeCell ref="A45:C45"/>
    <mergeCell ref="A46:C46"/>
    <mergeCell ref="A47:C47"/>
    <mergeCell ref="A48:C48"/>
    <mergeCell ref="A49:C49"/>
    <mergeCell ref="A50:C50"/>
    <mergeCell ref="A51:C51"/>
    <mergeCell ref="M31:N31"/>
    <mergeCell ref="M32:N32"/>
    <mergeCell ref="M33:N33"/>
    <mergeCell ref="M34:N34"/>
    <mergeCell ref="M35:N35"/>
    <mergeCell ref="M36:N36"/>
    <mergeCell ref="M37:N37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D35:E35"/>
    <mergeCell ref="K35:L35"/>
    <mergeCell ref="D36:E36"/>
    <mergeCell ref="K36:L36"/>
    <mergeCell ref="A35:C35"/>
    <mergeCell ref="A36:C36"/>
    <mergeCell ref="D33:E33"/>
    <mergeCell ref="K33:L33"/>
  </mergeCells>
  <conditionalFormatting sqref="D17:D52">
    <cfRule type="expression" dxfId="25" priority="7">
      <formula>#REF!="Non"</formula>
    </cfRule>
    <cfRule type="expression" dxfId="24" priority="8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0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  <pageSetUpPr fitToPage="1"/>
  </sheetPr>
  <dimension ref="A1:BD239"/>
  <sheetViews>
    <sheetView topLeftCell="A10" zoomScale="90" zoomScaleNormal="90" workbookViewId="0">
      <selection activeCell="T39" sqref="T39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2.28515625" style="6" customWidth="1"/>
    <col min="4" max="4" width="8.42578125" style="6" customWidth="1"/>
    <col min="5" max="5" width="10.42578125" style="6" customWidth="1"/>
    <col min="6" max="6" width="5.42578125" style="6" customWidth="1"/>
    <col min="7" max="7" width="9.85546875" style="6" customWidth="1"/>
    <col min="8" max="8" width="5.85546875" style="6" customWidth="1"/>
    <col min="9" max="9" width="1.85546875" style="6" customWidth="1"/>
    <col min="10" max="10" width="11.85546875" style="6" customWidth="1"/>
    <col min="11" max="12" width="8.140625" style="6" customWidth="1"/>
    <col min="13" max="13" width="8" style="6" customWidth="1"/>
    <col min="14" max="14" width="9.5703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68</v>
      </c>
      <c r="E2" s="195"/>
      <c r="F2" s="195"/>
      <c r="G2" s="195"/>
      <c r="H2" s="195"/>
      <c r="I2" s="195"/>
      <c r="J2" s="195"/>
      <c r="K2" s="195"/>
      <c r="L2" s="251">
        <v>45597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6"/>
      <c r="Q3" s="4"/>
      <c r="R3" s="220"/>
      <c r="S3" s="220"/>
      <c r="T3" s="220"/>
      <c r="U3" s="36"/>
      <c r="V3" s="36"/>
      <c r="W3" s="36"/>
      <c r="X3" s="36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6"/>
      <c r="Q4" s="4"/>
      <c r="R4" s="36"/>
      <c r="S4" s="36"/>
      <c r="T4" s="36"/>
      <c r="U4" s="36"/>
      <c r="V4" s="36"/>
      <c r="W4" s="36"/>
      <c r="X4" s="36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v>45594</v>
      </c>
      <c r="M5" s="222"/>
      <c r="N5" s="222"/>
      <c r="O5" s="3"/>
      <c r="P5" s="36"/>
      <c r="Q5" s="5"/>
      <c r="R5" s="220"/>
      <c r="S5" s="220"/>
      <c r="T5" s="220"/>
      <c r="U5" s="36"/>
      <c r="V5" s="36"/>
      <c r="W5" s="36"/>
      <c r="X5" s="36"/>
      <c r="Y5" s="5"/>
    </row>
    <row r="6" spans="1:25" ht="19.5" customHeight="1" x14ac:dyDescent="0.35">
      <c r="A6" s="46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36"/>
      <c r="V6" s="36"/>
      <c r="W6" s="36"/>
      <c r="X6" s="36"/>
      <c r="Y6" s="5"/>
    </row>
    <row r="7" spans="1:25" ht="19.5" customHeight="1" thickBot="1" x14ac:dyDescent="0.4">
      <c r="A7" s="48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38"/>
      <c r="V7" s="38"/>
      <c r="W7" s="38"/>
      <c r="X7" s="38"/>
      <c r="Y7" s="5"/>
    </row>
    <row r="8" spans="1:25" ht="18" customHeight="1" thickBot="1" x14ac:dyDescent="0.3">
      <c r="A8" s="8" t="s">
        <v>2</v>
      </c>
      <c r="B8" s="24"/>
      <c r="C8" s="324"/>
      <c r="D8" s="325"/>
      <c r="E8" s="325"/>
      <c r="F8" s="326"/>
      <c r="G8" s="9"/>
      <c r="H8" s="8" t="s">
        <v>26</v>
      </c>
      <c r="I8" s="8"/>
      <c r="J8" s="8"/>
      <c r="K8" s="324"/>
      <c r="L8" s="325"/>
      <c r="M8" s="325"/>
      <c r="N8" s="326"/>
      <c r="O8" s="26"/>
      <c r="P8" s="26"/>
      <c r="Q8" s="26"/>
      <c r="R8" s="26"/>
      <c r="S8" s="26"/>
      <c r="T8" s="26"/>
    </row>
    <row r="9" spans="1:25" ht="16.5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324"/>
      <c r="D10" s="325"/>
      <c r="E10" s="325"/>
      <c r="F10" s="326"/>
      <c r="G10" s="9"/>
      <c r="H10" s="8" t="s">
        <v>25</v>
      </c>
      <c r="I10" s="8"/>
      <c r="J10" s="8"/>
      <c r="K10" s="324"/>
      <c r="L10" s="325"/>
      <c r="M10" s="325"/>
      <c r="N10" s="326"/>
      <c r="O10" s="26"/>
      <c r="P10" s="26"/>
      <c r="Q10" s="26"/>
      <c r="R10" s="26"/>
      <c r="S10" s="26"/>
      <c r="T10" s="26"/>
      <c r="U10" s="11"/>
    </row>
    <row r="11" spans="1:25" ht="13.5" customHeight="1" x14ac:dyDescent="0.3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3.5" customHeight="1" x14ac:dyDescent="0.3">
      <c r="A12" s="8"/>
      <c r="B12" s="24"/>
      <c r="C12" s="24"/>
      <c r="D12" s="24"/>
      <c r="E12" s="24"/>
      <c r="F12" s="24"/>
      <c r="G12" s="9"/>
      <c r="H12" s="8"/>
      <c r="I12" s="8"/>
      <c r="J12" s="8"/>
      <c r="K12" s="8"/>
      <c r="L12" s="8"/>
      <c r="M12" s="8"/>
      <c r="N12" s="8"/>
      <c r="O12" s="26"/>
      <c r="P12" s="26"/>
      <c r="Q12" s="26"/>
      <c r="R12" s="26"/>
      <c r="S12" s="26"/>
      <c r="T12" s="26"/>
      <c r="U12" s="11"/>
    </row>
    <row r="13" spans="1:25" s="19" customFormat="1" ht="54.75" customHeight="1" x14ac:dyDescent="0.25">
      <c r="A13" s="200" t="s">
        <v>1</v>
      </c>
      <c r="B13" s="201"/>
      <c r="C13" s="202"/>
      <c r="D13" s="203" t="s">
        <v>55</v>
      </c>
      <c r="E13" s="204"/>
      <c r="F13" s="205" t="s">
        <v>54</v>
      </c>
      <c r="G13" s="205"/>
      <c r="H13" s="203" t="s">
        <v>56</v>
      </c>
      <c r="I13" s="206"/>
      <c r="J13" s="207"/>
      <c r="K13" s="203" t="s">
        <v>57</v>
      </c>
      <c r="L13" s="208"/>
      <c r="M13" s="205" t="s">
        <v>53</v>
      </c>
      <c r="N13" s="205"/>
      <c r="O13" s="26"/>
      <c r="P13" s="26"/>
      <c r="Q13" s="26"/>
      <c r="R13" s="26"/>
      <c r="S13" s="26"/>
      <c r="T13" s="26"/>
      <c r="U13" s="20"/>
      <c r="V13" s="20"/>
      <c r="W13" s="20"/>
      <c r="X13" s="21"/>
    </row>
    <row r="14" spans="1:25" s="3" customFormat="1" x14ac:dyDescent="0.25">
      <c r="A14" s="191">
        <v>45565</v>
      </c>
      <c r="B14" s="286"/>
      <c r="C14" s="287"/>
      <c r="D14" s="68"/>
      <c r="E14" s="69"/>
      <c r="F14" s="55"/>
      <c r="G14" s="57"/>
      <c r="H14" s="55"/>
      <c r="I14" s="56"/>
      <c r="J14" s="57"/>
      <c r="K14" s="56"/>
      <c r="L14" s="57"/>
      <c r="M14" s="56"/>
      <c r="N14" s="57"/>
      <c r="P14" s="12"/>
      <c r="Q14" s="15"/>
      <c r="R14" s="15"/>
      <c r="S14" s="15"/>
      <c r="T14" s="13"/>
      <c r="U14" s="13"/>
      <c r="V14" s="13"/>
      <c r="W14" s="13"/>
      <c r="X14" s="1"/>
    </row>
    <row r="15" spans="1:25" s="3" customFormat="1" x14ac:dyDescent="0.25">
      <c r="A15" s="191">
        <v>45566</v>
      </c>
      <c r="B15" s="286"/>
      <c r="C15" s="287"/>
      <c r="D15" s="68"/>
      <c r="E15" s="69"/>
      <c r="F15" s="55"/>
      <c r="G15" s="57"/>
      <c r="H15" s="55"/>
      <c r="I15" s="56"/>
      <c r="J15" s="57"/>
      <c r="K15" s="56"/>
      <c r="L15" s="57"/>
      <c r="M15" s="56"/>
      <c r="N15" s="57"/>
      <c r="P15" s="12"/>
      <c r="Q15" s="15"/>
      <c r="R15" s="15"/>
      <c r="S15" s="15"/>
      <c r="T15" s="13"/>
      <c r="U15" s="13"/>
      <c r="V15" s="13"/>
      <c r="W15" s="13"/>
      <c r="X15" s="1"/>
    </row>
    <row r="16" spans="1:25" s="3" customFormat="1" x14ac:dyDescent="0.25">
      <c r="A16" s="191">
        <v>45567</v>
      </c>
      <c r="B16" s="286"/>
      <c r="C16" s="287"/>
      <c r="D16" s="68"/>
      <c r="E16" s="69"/>
      <c r="F16" s="55"/>
      <c r="G16" s="57"/>
      <c r="H16" s="55"/>
      <c r="I16" s="56"/>
      <c r="J16" s="57"/>
      <c r="K16" s="56"/>
      <c r="L16" s="57"/>
      <c r="M16" s="56"/>
      <c r="N16" s="57"/>
      <c r="P16" s="12"/>
      <c r="Q16" s="15"/>
      <c r="R16" s="15"/>
      <c r="S16" s="15"/>
      <c r="T16" s="13"/>
      <c r="U16" s="13"/>
      <c r="V16" s="13"/>
      <c r="W16" s="13"/>
      <c r="X16" s="1"/>
    </row>
    <row r="17" spans="1:24" s="3" customFormat="1" x14ac:dyDescent="0.25">
      <c r="A17" s="191">
        <v>45568</v>
      </c>
      <c r="B17" s="286"/>
      <c r="C17" s="287"/>
      <c r="D17" s="68"/>
      <c r="E17" s="69"/>
      <c r="F17" s="55"/>
      <c r="G17" s="57"/>
      <c r="H17" s="55"/>
      <c r="I17" s="56"/>
      <c r="J17" s="57"/>
      <c r="K17" s="56"/>
      <c r="L17" s="57"/>
      <c r="M17" s="56"/>
      <c r="N17" s="57"/>
      <c r="P17" s="12"/>
      <c r="Q17" s="15"/>
      <c r="R17" s="15"/>
      <c r="S17" s="15"/>
      <c r="T17" s="13"/>
      <c r="U17" s="13"/>
      <c r="V17" s="13"/>
      <c r="W17" s="13"/>
      <c r="X17" s="1"/>
    </row>
    <row r="18" spans="1:24" s="3" customFormat="1" x14ac:dyDescent="0.25">
      <c r="A18" s="191">
        <v>45569</v>
      </c>
      <c r="B18" s="286"/>
      <c r="C18" s="287"/>
      <c r="D18" s="68"/>
      <c r="E18" s="69"/>
      <c r="F18" s="55"/>
      <c r="G18" s="57"/>
      <c r="H18" s="55"/>
      <c r="I18" s="56"/>
      <c r="J18" s="57"/>
      <c r="K18" s="56"/>
      <c r="L18" s="57"/>
      <c r="M18" s="56"/>
      <c r="N18" s="57"/>
      <c r="P18" s="12"/>
      <c r="Q18" s="15"/>
      <c r="R18" s="15"/>
      <c r="S18" s="15"/>
      <c r="T18" s="13"/>
      <c r="U18" s="13"/>
      <c r="V18" s="13"/>
      <c r="W18" s="13"/>
      <c r="X18" s="1"/>
    </row>
    <row r="19" spans="1:24" s="3" customFormat="1" x14ac:dyDescent="0.25">
      <c r="A19" s="191">
        <v>45570</v>
      </c>
      <c r="B19" s="286"/>
      <c r="C19" s="287"/>
      <c r="D19" s="68"/>
      <c r="E19" s="69"/>
      <c r="F19" s="55"/>
      <c r="G19" s="57"/>
      <c r="H19" s="55"/>
      <c r="I19" s="56"/>
      <c r="J19" s="57"/>
      <c r="K19" s="56"/>
      <c r="L19" s="57"/>
      <c r="M19" s="56"/>
      <c r="N19" s="57"/>
      <c r="P19" s="12"/>
      <c r="Q19" s="15"/>
      <c r="R19" s="15"/>
      <c r="S19" s="15"/>
      <c r="T19" s="13"/>
      <c r="U19" s="13"/>
      <c r="V19" s="13"/>
      <c r="W19" s="13"/>
      <c r="X19" s="1"/>
    </row>
    <row r="20" spans="1:24" s="3" customFormat="1" x14ac:dyDescent="0.25">
      <c r="A20" s="191">
        <v>45571</v>
      </c>
      <c r="B20" s="286"/>
      <c r="C20" s="287"/>
      <c r="D20" s="68"/>
      <c r="E20" s="69"/>
      <c r="F20" s="55"/>
      <c r="G20" s="57"/>
      <c r="H20" s="70"/>
      <c r="I20" s="71"/>
      <c r="J20" s="72"/>
      <c r="K20" s="71"/>
      <c r="L20" s="72"/>
      <c r="M20" s="71"/>
      <c r="N20" s="72"/>
      <c r="P20" s="12"/>
      <c r="Q20" s="15"/>
      <c r="R20" s="15"/>
      <c r="S20" s="15"/>
      <c r="T20" s="13"/>
      <c r="U20" s="13"/>
      <c r="V20" s="13"/>
      <c r="W20" s="13"/>
      <c r="X20" s="1"/>
    </row>
    <row r="21" spans="1:24" s="3" customFormat="1" ht="15.75" x14ac:dyDescent="0.25">
      <c r="A21" s="191">
        <v>45572</v>
      </c>
      <c r="B21" s="286"/>
      <c r="C21" s="287"/>
      <c r="D21" s="357"/>
      <c r="E21" s="357"/>
      <c r="F21" s="354"/>
      <c r="G21" s="354"/>
      <c r="H21" s="354"/>
      <c r="I21" s="354"/>
      <c r="J21" s="354"/>
      <c r="K21" s="354"/>
      <c r="L21" s="354"/>
      <c r="M21" s="350"/>
      <c r="N21" s="351"/>
      <c r="O21" s="26"/>
      <c r="P21" s="26"/>
      <c r="Q21" s="26"/>
      <c r="R21" s="26"/>
      <c r="S21" s="26"/>
      <c r="T21" s="26"/>
      <c r="U21" s="13"/>
      <c r="V21" s="13"/>
      <c r="W21" s="13"/>
      <c r="X21" s="1"/>
    </row>
    <row r="22" spans="1:24" s="3" customFormat="1" ht="15.75" x14ac:dyDescent="0.25">
      <c r="A22" s="191">
        <v>45573</v>
      </c>
      <c r="B22" s="286"/>
      <c r="C22" s="287"/>
      <c r="D22" s="357"/>
      <c r="E22" s="357"/>
      <c r="F22" s="354"/>
      <c r="G22" s="354"/>
      <c r="H22" s="354"/>
      <c r="I22" s="354"/>
      <c r="J22" s="354"/>
      <c r="K22" s="354"/>
      <c r="L22" s="354"/>
      <c r="M22" s="350"/>
      <c r="N22" s="351"/>
      <c r="P22" s="26"/>
      <c r="Q22" s="26"/>
      <c r="R22" s="26"/>
      <c r="S22" s="26"/>
      <c r="T22" s="26"/>
      <c r="U22" s="13"/>
      <c r="V22" s="13"/>
      <c r="W22" s="13"/>
      <c r="X22" s="1"/>
    </row>
    <row r="23" spans="1:24" s="3" customFormat="1" ht="15.75" x14ac:dyDescent="0.25">
      <c r="A23" s="191">
        <v>45574</v>
      </c>
      <c r="B23" s="286"/>
      <c r="C23" s="287"/>
      <c r="D23" s="357"/>
      <c r="E23" s="357"/>
      <c r="F23" s="354"/>
      <c r="G23" s="354"/>
      <c r="H23" s="354"/>
      <c r="I23" s="354"/>
      <c r="J23" s="354"/>
      <c r="K23" s="354"/>
      <c r="L23" s="354"/>
      <c r="M23" s="350"/>
      <c r="N23" s="351"/>
      <c r="P23" s="26"/>
      <c r="Q23" s="26"/>
      <c r="R23" s="26"/>
      <c r="S23" s="26"/>
      <c r="T23" s="26"/>
      <c r="U23" s="26"/>
      <c r="V23" s="13"/>
      <c r="W23" s="13"/>
      <c r="X23" s="1"/>
    </row>
    <row r="24" spans="1:24" s="3" customFormat="1" x14ac:dyDescent="0.25">
      <c r="A24" s="191">
        <v>45575</v>
      </c>
      <c r="B24" s="286"/>
      <c r="C24" s="287"/>
      <c r="D24" s="357"/>
      <c r="E24" s="357"/>
      <c r="F24" s="354"/>
      <c r="G24" s="354"/>
      <c r="H24" s="354"/>
      <c r="I24" s="354"/>
      <c r="J24" s="354"/>
      <c r="K24" s="354"/>
      <c r="L24" s="354"/>
      <c r="M24" s="350"/>
      <c r="N24" s="351"/>
      <c r="P24" s="12"/>
      <c r="Q24" s="12"/>
      <c r="R24" s="12"/>
      <c r="S24" s="12"/>
      <c r="T24" s="13"/>
      <c r="U24" s="13"/>
      <c r="V24" s="13"/>
      <c r="W24" s="13"/>
      <c r="X24" s="1"/>
    </row>
    <row r="25" spans="1:24" s="3" customFormat="1" x14ac:dyDescent="0.25">
      <c r="A25" s="191">
        <v>45576</v>
      </c>
      <c r="B25" s="286"/>
      <c r="C25" s="287"/>
      <c r="D25" s="357"/>
      <c r="E25" s="357"/>
      <c r="F25" s="354"/>
      <c r="G25" s="354"/>
      <c r="H25" s="350"/>
      <c r="I25" s="358"/>
      <c r="J25" s="351"/>
      <c r="K25" s="354"/>
      <c r="L25" s="354"/>
      <c r="M25" s="350"/>
      <c r="N25" s="351"/>
      <c r="P25" s="12"/>
      <c r="Q25" s="12"/>
      <c r="R25" s="12"/>
      <c r="S25" s="12"/>
      <c r="T25" s="13"/>
      <c r="U25" s="13"/>
      <c r="V25" s="13"/>
      <c r="W25" s="13"/>
      <c r="X25" s="1"/>
    </row>
    <row r="26" spans="1:24" s="3" customFormat="1" x14ac:dyDescent="0.25">
      <c r="A26" s="191">
        <v>45577</v>
      </c>
      <c r="B26" s="286"/>
      <c r="C26" s="287"/>
      <c r="D26" s="357"/>
      <c r="E26" s="357"/>
      <c r="F26" s="354"/>
      <c r="G26" s="354"/>
      <c r="H26" s="354"/>
      <c r="I26" s="354"/>
      <c r="J26" s="354"/>
      <c r="K26" s="354"/>
      <c r="L26" s="354"/>
      <c r="M26" s="350"/>
      <c r="N26" s="351"/>
      <c r="P26" s="12"/>
      <c r="Q26" s="12"/>
      <c r="R26" s="12"/>
      <c r="S26" s="12"/>
      <c r="T26" s="13"/>
      <c r="U26" s="13"/>
      <c r="V26" s="13"/>
      <c r="W26" s="13"/>
      <c r="X26" s="1"/>
    </row>
    <row r="27" spans="1:24" s="3" customFormat="1" x14ac:dyDescent="0.25">
      <c r="A27" s="191">
        <v>45578</v>
      </c>
      <c r="B27" s="286"/>
      <c r="C27" s="287"/>
      <c r="D27" s="357"/>
      <c r="E27" s="357"/>
      <c r="F27" s="354"/>
      <c r="G27" s="354"/>
      <c r="H27" s="354"/>
      <c r="I27" s="354"/>
      <c r="J27" s="354"/>
      <c r="K27" s="354"/>
      <c r="L27" s="354"/>
      <c r="M27" s="350"/>
      <c r="N27" s="351"/>
      <c r="P27" s="12"/>
      <c r="Q27" s="12"/>
      <c r="R27" s="12"/>
      <c r="S27" s="12"/>
      <c r="T27" s="13"/>
      <c r="U27" s="13"/>
      <c r="V27" s="13"/>
      <c r="W27" s="13"/>
      <c r="X27" s="1"/>
    </row>
    <row r="28" spans="1:24" s="3" customFormat="1" x14ac:dyDescent="0.25">
      <c r="A28" s="191">
        <v>45579</v>
      </c>
      <c r="B28" s="286"/>
      <c r="C28" s="287"/>
      <c r="D28" s="357"/>
      <c r="E28" s="357"/>
      <c r="F28" s="354"/>
      <c r="G28" s="354"/>
      <c r="H28" s="354"/>
      <c r="I28" s="354"/>
      <c r="J28" s="354"/>
      <c r="K28" s="354"/>
      <c r="L28" s="354"/>
      <c r="M28" s="350"/>
      <c r="N28" s="351"/>
      <c r="P28" s="12"/>
      <c r="Q28" s="12"/>
      <c r="R28" s="12"/>
      <c r="S28" s="12"/>
      <c r="T28" s="13"/>
      <c r="U28" s="13"/>
      <c r="V28" s="13"/>
      <c r="W28" s="13"/>
      <c r="X28" s="1"/>
    </row>
    <row r="29" spans="1:24" s="3" customFormat="1" x14ac:dyDescent="0.25">
      <c r="A29" s="191">
        <v>45580</v>
      </c>
      <c r="B29" s="286"/>
      <c r="C29" s="287"/>
      <c r="D29" s="357"/>
      <c r="E29" s="357"/>
      <c r="F29" s="354"/>
      <c r="G29" s="354"/>
      <c r="H29" s="354"/>
      <c r="I29" s="354"/>
      <c r="J29" s="354"/>
      <c r="K29" s="354"/>
      <c r="L29" s="354"/>
      <c r="M29" s="350"/>
      <c r="N29" s="351"/>
      <c r="P29" s="12"/>
      <c r="Q29" s="12"/>
      <c r="R29" s="12"/>
      <c r="S29" s="12"/>
      <c r="T29" s="13"/>
      <c r="U29" s="13"/>
      <c r="V29" s="13"/>
      <c r="W29" s="13"/>
      <c r="X29" s="1"/>
    </row>
    <row r="30" spans="1:24" s="3" customFormat="1" x14ac:dyDescent="0.25">
      <c r="A30" s="191">
        <v>45581</v>
      </c>
      <c r="B30" s="286"/>
      <c r="C30" s="287"/>
      <c r="D30" s="357"/>
      <c r="E30" s="357"/>
      <c r="F30" s="354"/>
      <c r="G30" s="354"/>
      <c r="H30" s="354"/>
      <c r="I30" s="354"/>
      <c r="J30" s="354"/>
      <c r="K30" s="354"/>
      <c r="L30" s="354"/>
      <c r="M30" s="350"/>
      <c r="N30" s="351"/>
      <c r="P30" s="12"/>
      <c r="Q30" s="12"/>
      <c r="R30" s="12"/>
      <c r="S30" s="12"/>
      <c r="T30" s="13"/>
      <c r="U30" s="13"/>
      <c r="V30" s="13"/>
      <c r="W30" s="13"/>
      <c r="X30" s="1"/>
    </row>
    <row r="31" spans="1:24" s="3" customFormat="1" x14ac:dyDescent="0.25">
      <c r="A31" s="191">
        <v>45582</v>
      </c>
      <c r="B31" s="286"/>
      <c r="C31" s="287"/>
      <c r="D31" s="357"/>
      <c r="E31" s="357"/>
      <c r="F31" s="354"/>
      <c r="G31" s="354"/>
      <c r="H31" s="354"/>
      <c r="I31" s="354"/>
      <c r="J31" s="354"/>
      <c r="K31" s="354"/>
      <c r="L31" s="354"/>
      <c r="M31" s="350"/>
      <c r="N31" s="351"/>
      <c r="P31" s="12"/>
      <c r="Q31" s="15"/>
      <c r="R31" s="15"/>
      <c r="S31" s="15"/>
      <c r="T31" s="13"/>
      <c r="U31" s="13"/>
      <c r="V31" s="13"/>
      <c r="W31" s="13"/>
      <c r="X31" s="1"/>
    </row>
    <row r="32" spans="1:24" s="3" customFormat="1" x14ac:dyDescent="0.25">
      <c r="A32" s="191">
        <v>45583</v>
      </c>
      <c r="B32" s="286"/>
      <c r="C32" s="287"/>
      <c r="D32" s="357"/>
      <c r="E32" s="357"/>
      <c r="F32" s="354"/>
      <c r="G32" s="354"/>
      <c r="H32" s="354"/>
      <c r="I32" s="354"/>
      <c r="J32" s="354"/>
      <c r="K32" s="354"/>
      <c r="L32" s="354"/>
      <c r="M32" s="350"/>
      <c r="N32" s="351"/>
      <c r="P32" s="12"/>
      <c r="Q32" s="15"/>
      <c r="R32" s="15"/>
      <c r="S32" s="15"/>
      <c r="T32" s="13"/>
      <c r="U32" s="13"/>
      <c r="V32" s="13"/>
      <c r="W32" s="13"/>
      <c r="X32" s="1"/>
    </row>
    <row r="33" spans="1:25" s="3" customFormat="1" x14ac:dyDescent="0.25">
      <c r="A33" s="191">
        <v>45584</v>
      </c>
      <c r="B33" s="286"/>
      <c r="C33" s="287"/>
      <c r="D33" s="357"/>
      <c r="E33" s="357"/>
      <c r="F33" s="354"/>
      <c r="G33" s="354"/>
      <c r="H33" s="354"/>
      <c r="I33" s="354"/>
      <c r="J33" s="354"/>
      <c r="K33" s="354"/>
      <c r="L33" s="354"/>
      <c r="M33" s="350"/>
      <c r="N33" s="351"/>
      <c r="P33" s="12"/>
      <c r="Q33" s="15"/>
      <c r="R33" s="15"/>
      <c r="S33" s="15"/>
      <c r="T33" s="13"/>
      <c r="U33" s="13"/>
      <c r="V33" s="13"/>
      <c r="W33" s="13"/>
      <c r="X33" s="1"/>
    </row>
    <row r="34" spans="1:25" s="3" customFormat="1" x14ac:dyDescent="0.25">
      <c r="A34" s="191">
        <v>45585</v>
      </c>
      <c r="B34" s="286"/>
      <c r="C34" s="287"/>
      <c r="D34" s="357"/>
      <c r="E34" s="357"/>
      <c r="F34" s="354"/>
      <c r="G34" s="354"/>
      <c r="H34" s="354"/>
      <c r="I34" s="354"/>
      <c r="J34" s="354"/>
      <c r="K34" s="354"/>
      <c r="L34" s="354"/>
      <c r="M34" s="350"/>
      <c r="N34" s="351"/>
      <c r="O34" s="1"/>
      <c r="P34" s="12"/>
      <c r="Q34" s="15"/>
      <c r="R34" s="15"/>
      <c r="S34" s="15"/>
      <c r="T34" s="13"/>
      <c r="U34" s="13"/>
      <c r="V34" s="13"/>
      <c r="W34" s="13"/>
      <c r="X34" s="1"/>
    </row>
    <row r="35" spans="1:25" s="3" customFormat="1" x14ac:dyDescent="0.25">
      <c r="A35" s="191">
        <v>45586</v>
      </c>
      <c r="B35" s="286"/>
      <c r="C35" s="287"/>
      <c r="D35" s="357"/>
      <c r="E35" s="357"/>
      <c r="F35" s="354"/>
      <c r="G35" s="354"/>
      <c r="H35" s="354"/>
      <c r="I35" s="354"/>
      <c r="J35" s="354"/>
      <c r="K35" s="354"/>
      <c r="L35" s="354"/>
      <c r="M35" s="350"/>
      <c r="N35" s="351"/>
      <c r="P35" s="12"/>
      <c r="Q35" s="15"/>
      <c r="R35" s="15"/>
      <c r="S35" s="15"/>
      <c r="T35" s="13"/>
      <c r="U35" s="13"/>
      <c r="V35" s="13"/>
      <c r="W35" s="13"/>
      <c r="X35" s="1"/>
    </row>
    <row r="36" spans="1:25" s="3" customFormat="1" x14ac:dyDescent="0.25">
      <c r="A36" s="191">
        <v>45587</v>
      </c>
      <c r="B36" s="286"/>
      <c r="C36" s="287"/>
      <c r="D36" s="357"/>
      <c r="E36" s="357"/>
      <c r="F36" s="354"/>
      <c r="G36" s="354"/>
      <c r="H36" s="354"/>
      <c r="I36" s="354"/>
      <c r="J36" s="354"/>
      <c r="K36" s="354"/>
      <c r="L36" s="354"/>
      <c r="M36" s="350"/>
      <c r="N36" s="351"/>
      <c r="P36" s="12"/>
      <c r="Q36" s="15"/>
      <c r="R36" s="15"/>
      <c r="S36" s="15"/>
      <c r="T36" s="13"/>
      <c r="U36" s="13"/>
      <c r="V36" s="13"/>
      <c r="W36" s="13"/>
      <c r="X36" s="1"/>
    </row>
    <row r="37" spans="1:25" s="3" customFormat="1" x14ac:dyDescent="0.25">
      <c r="A37" s="191">
        <v>45588</v>
      </c>
      <c r="B37" s="286"/>
      <c r="C37" s="287"/>
      <c r="D37" s="357"/>
      <c r="E37" s="357"/>
      <c r="F37" s="354"/>
      <c r="G37" s="354"/>
      <c r="H37" s="354"/>
      <c r="I37" s="354"/>
      <c r="J37" s="354"/>
      <c r="K37" s="354"/>
      <c r="L37" s="354"/>
      <c r="M37" s="350"/>
      <c r="N37" s="351"/>
      <c r="P37" s="12"/>
      <c r="Q37" s="15"/>
      <c r="R37" s="15"/>
      <c r="S37" s="15"/>
      <c r="T37" s="13"/>
      <c r="U37" s="13"/>
      <c r="V37" s="13"/>
      <c r="W37" s="13"/>
      <c r="X37" s="1"/>
    </row>
    <row r="38" spans="1:25" s="3" customFormat="1" x14ac:dyDescent="0.25">
      <c r="A38" s="191">
        <v>45589</v>
      </c>
      <c r="B38" s="286"/>
      <c r="C38" s="287"/>
      <c r="D38" s="357"/>
      <c r="E38" s="357"/>
      <c r="F38" s="354"/>
      <c r="G38" s="354"/>
      <c r="H38" s="354"/>
      <c r="I38" s="354"/>
      <c r="J38" s="354"/>
      <c r="K38" s="354"/>
      <c r="L38" s="354"/>
      <c r="M38" s="350"/>
      <c r="N38" s="351"/>
      <c r="P38" s="12"/>
      <c r="Q38" s="15"/>
      <c r="R38" s="15"/>
      <c r="S38" s="15"/>
      <c r="T38" s="13"/>
      <c r="U38" s="13"/>
      <c r="V38" s="13"/>
      <c r="W38" s="13"/>
      <c r="X38" s="1"/>
    </row>
    <row r="39" spans="1:25" s="3" customFormat="1" x14ac:dyDescent="0.25">
      <c r="A39" s="191">
        <v>45590</v>
      </c>
      <c r="B39" s="286"/>
      <c r="C39" s="287"/>
      <c r="D39" s="357"/>
      <c r="E39" s="357"/>
      <c r="F39" s="354"/>
      <c r="G39" s="354"/>
      <c r="H39" s="354"/>
      <c r="I39" s="354"/>
      <c r="J39" s="354"/>
      <c r="K39" s="354"/>
      <c r="L39" s="354"/>
      <c r="M39" s="350"/>
      <c r="N39" s="351"/>
      <c r="P39" s="12"/>
      <c r="Q39" s="15"/>
      <c r="R39" s="15"/>
      <c r="S39" s="15"/>
      <c r="T39" s="13"/>
      <c r="U39" s="13"/>
      <c r="V39" s="13"/>
      <c r="W39" s="13"/>
      <c r="X39" s="1"/>
    </row>
    <row r="40" spans="1:25" s="3" customFormat="1" x14ac:dyDescent="0.25">
      <c r="A40" s="191">
        <v>45591</v>
      </c>
      <c r="B40" s="286"/>
      <c r="C40" s="287"/>
      <c r="D40" s="357"/>
      <c r="E40" s="357"/>
      <c r="F40" s="354"/>
      <c r="G40" s="354"/>
      <c r="H40" s="354"/>
      <c r="I40" s="354"/>
      <c r="J40" s="354"/>
      <c r="K40" s="354"/>
      <c r="L40" s="354"/>
      <c r="M40" s="350"/>
      <c r="N40" s="351"/>
      <c r="P40" s="12"/>
      <c r="Q40" s="15"/>
      <c r="R40" s="15"/>
      <c r="S40" s="15"/>
      <c r="T40" s="13"/>
      <c r="U40" s="13"/>
      <c r="V40" s="13"/>
      <c r="W40" s="13"/>
      <c r="X40" s="1"/>
    </row>
    <row r="41" spans="1:25" s="3" customFormat="1" x14ac:dyDescent="0.25">
      <c r="A41" s="191">
        <v>45592</v>
      </c>
      <c r="B41" s="286"/>
      <c r="C41" s="287"/>
      <c r="D41" s="357"/>
      <c r="E41" s="357"/>
      <c r="F41" s="354"/>
      <c r="G41" s="354"/>
      <c r="H41" s="354"/>
      <c r="I41" s="354"/>
      <c r="J41" s="354"/>
      <c r="K41" s="354"/>
      <c r="L41" s="354"/>
      <c r="M41" s="350"/>
      <c r="N41" s="351"/>
      <c r="P41" s="12"/>
      <c r="Q41" s="15"/>
      <c r="R41" s="15"/>
      <c r="S41" s="15"/>
      <c r="T41" s="13"/>
      <c r="U41" s="13"/>
      <c r="V41" s="13"/>
      <c r="W41" s="13"/>
      <c r="X41" s="1"/>
    </row>
    <row r="42" spans="1:25" s="3" customFormat="1" ht="15.75" x14ac:dyDescent="0.25">
      <c r="A42" s="231" t="s">
        <v>21</v>
      </c>
      <c r="B42" s="232"/>
      <c r="C42" s="233"/>
      <c r="D42" s="311">
        <f>+COUNTA(D14:E41)</f>
        <v>0</v>
      </c>
      <c r="E42" s="312"/>
      <c r="F42" s="313">
        <f>+COUNTA(F14:G41)</f>
        <v>0</v>
      </c>
      <c r="G42" s="314"/>
      <c r="H42" s="385"/>
      <c r="I42" s="317"/>
      <c r="J42" s="318"/>
      <c r="K42" s="385"/>
      <c r="L42" s="318"/>
      <c r="M42" s="385"/>
      <c r="N42" s="318"/>
      <c r="O42" s="12"/>
      <c r="P42" s="12"/>
      <c r="Q42" s="12"/>
      <c r="R42" s="12"/>
      <c r="S42" s="12"/>
      <c r="T42" s="13"/>
      <c r="U42" s="13"/>
      <c r="V42" s="13"/>
      <c r="W42" s="13"/>
      <c r="X42" s="1"/>
    </row>
    <row r="43" spans="1:25" s="3" customFormat="1" x14ac:dyDescent="0.25">
      <c r="A43" s="12"/>
      <c r="B43" s="12"/>
      <c r="C43" s="12"/>
      <c r="D43" s="238" t="s">
        <v>38</v>
      </c>
      <c r="E43" s="239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3"/>
      <c r="U43" s="13"/>
      <c r="V43" s="13"/>
      <c r="W43" s="13"/>
      <c r="X43" s="1"/>
    </row>
    <row r="44" spans="1:25" s="3" customFormat="1" x14ac:dyDescent="0.25">
      <c r="K44" s="12"/>
      <c r="L44" s="12"/>
      <c r="M44" s="12"/>
      <c r="N44" s="12"/>
      <c r="O44" s="12"/>
      <c r="P44" s="12"/>
      <c r="U44" s="1"/>
      <c r="V44" s="1"/>
      <c r="W44" s="1"/>
      <c r="X44" s="1"/>
      <c r="Y44" s="1"/>
    </row>
    <row r="45" spans="1:25" s="3" customFormat="1" x14ac:dyDescent="0.25">
      <c r="A45" s="29" t="s">
        <v>20</v>
      </c>
      <c r="B45" s="30"/>
      <c r="C45" s="29"/>
      <c r="D45" s="29"/>
      <c r="E45" s="16"/>
      <c r="H45" s="18"/>
      <c r="P45" s="12"/>
      <c r="U45" s="1"/>
      <c r="V45" s="1"/>
      <c r="W45" s="1"/>
      <c r="X45" s="1"/>
      <c r="Y45" s="1"/>
    </row>
    <row r="46" spans="1:25" s="3" customFormat="1" x14ac:dyDescent="0.25">
      <c r="A46" s="29" t="s">
        <v>7</v>
      </c>
      <c r="B46" s="30"/>
      <c r="C46" s="31">
        <f ca="1">TODAY()</f>
        <v>45320</v>
      </c>
      <c r="D46" s="29"/>
      <c r="E46" s="16"/>
      <c r="J46" s="28" t="s">
        <v>22</v>
      </c>
      <c r="P46" s="12"/>
      <c r="U46" s="1"/>
      <c r="V46" s="1"/>
      <c r="W46" s="1"/>
      <c r="X46" s="1"/>
      <c r="Y46" s="1"/>
    </row>
    <row r="47" spans="1:25" s="3" customFormat="1" x14ac:dyDescent="0.25">
      <c r="A47" s="28"/>
      <c r="B47" s="315" t="s">
        <v>47</v>
      </c>
      <c r="C47" s="315"/>
      <c r="D47" s="315"/>
      <c r="E47" s="315"/>
      <c r="F47" s="315"/>
      <c r="J47" s="315" t="s">
        <v>48</v>
      </c>
      <c r="K47" s="315"/>
      <c r="L47" s="315"/>
      <c r="M47" s="315"/>
      <c r="N47" s="315"/>
      <c r="U47" s="1"/>
      <c r="V47" s="1"/>
      <c r="W47" s="1"/>
      <c r="X47" s="1"/>
      <c r="Y47" s="1"/>
    </row>
    <row r="48" spans="1:25" s="3" customFormat="1" x14ac:dyDescent="0.25">
      <c r="B48" s="315"/>
      <c r="C48" s="315"/>
      <c r="D48" s="315"/>
      <c r="E48" s="315"/>
      <c r="F48" s="315"/>
      <c r="J48" s="315"/>
      <c r="K48" s="315"/>
      <c r="L48" s="315"/>
      <c r="M48" s="315"/>
      <c r="N48" s="315"/>
      <c r="U48" s="1"/>
      <c r="V48" s="1"/>
      <c r="W48" s="1"/>
      <c r="X48" s="1"/>
      <c r="Y48" s="1"/>
    </row>
    <row r="49" spans="1:25" s="3" customFormat="1" x14ac:dyDescent="0.25">
      <c r="B49" s="315"/>
      <c r="C49" s="315"/>
      <c r="D49" s="315"/>
      <c r="E49" s="315"/>
      <c r="F49" s="315"/>
      <c r="J49" s="315"/>
      <c r="K49" s="315"/>
      <c r="L49" s="315"/>
      <c r="M49" s="315"/>
      <c r="N49" s="315"/>
      <c r="U49" s="1"/>
      <c r="V49" s="1"/>
      <c r="W49" s="1"/>
      <c r="X49" s="1"/>
      <c r="Y49" s="1"/>
    </row>
    <row r="50" spans="1:25" s="3" customFormat="1" x14ac:dyDescent="0.25">
      <c r="B50" s="315"/>
      <c r="C50" s="315"/>
      <c r="D50" s="315"/>
      <c r="E50" s="315"/>
      <c r="F50" s="315"/>
      <c r="J50" s="315"/>
      <c r="K50" s="315"/>
      <c r="L50" s="315"/>
      <c r="M50" s="315"/>
      <c r="N50" s="315"/>
      <c r="U50" s="1"/>
      <c r="V50" s="1"/>
      <c r="W50" s="1"/>
      <c r="X50" s="1"/>
      <c r="Y50" s="1"/>
    </row>
    <row r="51" spans="1:25" s="3" customFormat="1" x14ac:dyDescent="0.25">
      <c r="B51" s="315"/>
      <c r="C51" s="315"/>
      <c r="D51" s="315"/>
      <c r="E51" s="315"/>
      <c r="F51" s="315"/>
      <c r="J51" s="315"/>
      <c r="K51" s="315"/>
      <c r="L51" s="315"/>
      <c r="M51" s="315"/>
      <c r="N51" s="315"/>
      <c r="U51" s="1"/>
      <c r="V51" s="1"/>
      <c r="W51" s="1"/>
      <c r="X51" s="1"/>
      <c r="Y51" s="1"/>
    </row>
    <row r="52" spans="1:25" s="3" customFormat="1" x14ac:dyDescent="0.25">
      <c r="B52" s="315"/>
      <c r="C52" s="315"/>
      <c r="D52" s="315"/>
      <c r="E52" s="315"/>
      <c r="F52" s="315"/>
      <c r="J52" s="315"/>
      <c r="K52" s="315"/>
      <c r="L52" s="315"/>
      <c r="M52" s="315"/>
      <c r="N52" s="315"/>
      <c r="U52" s="1"/>
      <c r="V52" s="1"/>
      <c r="W52" s="1"/>
      <c r="X52" s="1"/>
      <c r="Y52" s="1"/>
    </row>
    <row r="53" spans="1:25" s="3" customFormat="1" x14ac:dyDescent="0.25">
      <c r="A53" s="3" t="s">
        <v>46</v>
      </c>
      <c r="B53" s="23"/>
      <c r="J53" s="3" t="s">
        <v>39</v>
      </c>
      <c r="U53" s="1"/>
      <c r="V53" s="1"/>
      <c r="W53" s="1"/>
      <c r="X53" s="1"/>
      <c r="Y53" s="1"/>
    </row>
    <row r="54" spans="1:25" s="3" customFormat="1" x14ac:dyDescent="0.25">
      <c r="B54" s="23"/>
      <c r="U54" s="1"/>
      <c r="V54" s="1"/>
      <c r="W54" s="1"/>
      <c r="X54" s="1"/>
      <c r="Y54" s="1"/>
    </row>
    <row r="55" spans="1:25" s="3" customFormat="1" x14ac:dyDescent="0.25">
      <c r="B55" s="23"/>
      <c r="U55" s="1"/>
      <c r="V55" s="1"/>
      <c r="W55" s="1"/>
      <c r="X55" s="1"/>
      <c r="Y55" s="1"/>
    </row>
    <row r="56" spans="1:25" s="3" customFormat="1" x14ac:dyDescent="0.25">
      <c r="A56" s="29"/>
      <c r="B56" s="23"/>
      <c r="D56" s="29"/>
      <c r="U56" s="1"/>
      <c r="V56" s="1"/>
      <c r="W56" s="1"/>
      <c r="X56" s="1"/>
      <c r="Y56" s="1"/>
    </row>
    <row r="57" spans="1:25" s="3" customFormat="1" x14ac:dyDescent="0.25">
      <c r="U57" s="1"/>
      <c r="V57" s="1"/>
      <c r="W57" s="1"/>
      <c r="X57" s="1"/>
      <c r="Y57" s="1"/>
    </row>
    <row r="58" spans="1:25" s="3" customFormat="1" x14ac:dyDescent="0.25">
      <c r="B58" s="23"/>
      <c r="U58" s="1"/>
      <c r="V58" s="1"/>
      <c r="W58" s="1"/>
      <c r="X58" s="1"/>
      <c r="Y58" s="1"/>
    </row>
    <row r="59" spans="1:25" s="3" customFormat="1" x14ac:dyDescent="0.25">
      <c r="B59" s="23"/>
      <c r="U59" s="1"/>
      <c r="V59" s="1"/>
      <c r="W59" s="1"/>
      <c r="X59" s="1"/>
      <c r="Y59" s="1"/>
    </row>
    <row r="60" spans="1:25" s="3" customFormat="1" x14ac:dyDescent="0.25">
      <c r="B60" s="23"/>
      <c r="U60" s="1"/>
      <c r="V60" s="1"/>
      <c r="W60" s="1"/>
      <c r="X60" s="1"/>
      <c r="Y60" s="1"/>
    </row>
    <row r="61" spans="1:25" s="3" customFormat="1" x14ac:dyDescent="0.25">
      <c r="B61" s="23"/>
      <c r="U61" s="1"/>
      <c r="V61" s="1"/>
      <c r="W61" s="1"/>
      <c r="X61" s="1"/>
      <c r="Y61" s="1"/>
    </row>
    <row r="62" spans="1:25" s="3" customFormat="1" x14ac:dyDescent="0.25">
      <c r="B62" s="23"/>
      <c r="U62" s="1"/>
      <c r="V62" s="1"/>
      <c r="W62" s="1"/>
      <c r="X62" s="1"/>
      <c r="Y62" s="1"/>
    </row>
    <row r="63" spans="1:25" s="3" customFormat="1" x14ac:dyDescent="0.25">
      <c r="B63" s="23"/>
      <c r="U63" s="1"/>
      <c r="V63" s="1"/>
      <c r="W63" s="1"/>
      <c r="X63" s="1"/>
      <c r="Y63" s="1"/>
    </row>
    <row r="64" spans="1:25" s="3" customFormat="1" x14ac:dyDescent="0.25">
      <c r="B64" s="23"/>
      <c r="U64" s="1"/>
      <c r="V64" s="1"/>
      <c r="W64" s="1"/>
      <c r="X64" s="1"/>
      <c r="Y64" s="1"/>
    </row>
    <row r="65" spans="2:25" s="3" customFormat="1" x14ac:dyDescent="0.25">
      <c r="B65" s="23"/>
      <c r="U65" s="1"/>
      <c r="V65" s="1"/>
      <c r="W65" s="1"/>
      <c r="X65" s="1"/>
      <c r="Y65" s="1"/>
    </row>
    <row r="66" spans="2:25" s="3" customFormat="1" x14ac:dyDescent="0.25">
      <c r="B66" s="23"/>
      <c r="U66" s="1"/>
      <c r="V66" s="1"/>
      <c r="W66" s="1"/>
      <c r="X66" s="1"/>
      <c r="Y66" s="1"/>
    </row>
    <row r="67" spans="2:25" s="3" customFormat="1" x14ac:dyDescent="0.25">
      <c r="B67" s="23"/>
      <c r="U67" s="1"/>
      <c r="V67" s="1"/>
      <c r="W67" s="1"/>
      <c r="X67" s="1"/>
      <c r="Y67" s="1"/>
    </row>
    <row r="68" spans="2:25" s="3" customFormat="1" x14ac:dyDescent="0.25">
      <c r="B68" s="23"/>
      <c r="U68" s="1"/>
      <c r="V68" s="1"/>
      <c r="W68" s="1"/>
      <c r="X68" s="1"/>
      <c r="Y68" s="1"/>
    </row>
    <row r="69" spans="2:25" s="3" customFormat="1" x14ac:dyDescent="0.25">
      <c r="B69" s="23"/>
      <c r="U69" s="1"/>
      <c r="V69" s="1"/>
      <c r="W69" s="1"/>
      <c r="X69" s="1"/>
      <c r="Y69" s="1"/>
    </row>
    <row r="70" spans="2:25" s="3" customFormat="1" x14ac:dyDescent="0.25">
      <c r="B70" s="23"/>
      <c r="U70" s="1"/>
      <c r="V70" s="1"/>
      <c r="W70" s="1"/>
      <c r="X70" s="1"/>
      <c r="Y70" s="1"/>
    </row>
    <row r="71" spans="2:25" s="3" customFormat="1" x14ac:dyDescent="0.25">
      <c r="B71" s="23"/>
      <c r="U71" s="1"/>
      <c r="V71" s="1"/>
      <c r="W71" s="1"/>
      <c r="X71" s="1"/>
      <c r="Y71" s="1"/>
    </row>
    <row r="72" spans="2:25" s="3" customFormat="1" x14ac:dyDescent="0.25">
      <c r="B72" s="23"/>
      <c r="U72" s="1"/>
      <c r="V72" s="1"/>
      <c r="W72" s="1"/>
      <c r="X72" s="1"/>
      <c r="Y72" s="1"/>
    </row>
    <row r="73" spans="2:25" s="3" customFormat="1" x14ac:dyDescent="0.25">
      <c r="B73" s="23"/>
      <c r="U73" s="1"/>
      <c r="V73" s="1"/>
      <c r="W73" s="1"/>
      <c r="X73" s="1"/>
      <c r="Y73" s="1"/>
    </row>
    <row r="74" spans="2:25" s="3" customFormat="1" x14ac:dyDescent="0.25">
      <c r="B74" s="23"/>
      <c r="U74" s="1"/>
      <c r="V74" s="1"/>
      <c r="W74" s="1"/>
      <c r="X74" s="1"/>
      <c r="Y74" s="1"/>
    </row>
    <row r="75" spans="2:25" s="3" customFormat="1" x14ac:dyDescent="0.25">
      <c r="B75" s="23"/>
      <c r="U75" s="1"/>
      <c r="V75" s="1"/>
      <c r="W75" s="1"/>
      <c r="X75" s="1"/>
      <c r="Y75" s="1"/>
    </row>
    <row r="76" spans="2:25" s="3" customFormat="1" x14ac:dyDescent="0.25">
      <c r="B76" s="23"/>
      <c r="U76" s="1"/>
      <c r="V76" s="1"/>
      <c r="W76" s="1"/>
      <c r="X76" s="1"/>
      <c r="Y76" s="1"/>
    </row>
    <row r="77" spans="2:25" s="3" customFormat="1" x14ac:dyDescent="0.25">
      <c r="B77" s="23"/>
      <c r="U77" s="1"/>
      <c r="V77" s="1"/>
      <c r="W77" s="1"/>
      <c r="X77" s="1"/>
      <c r="Y77" s="1"/>
    </row>
    <row r="78" spans="2:25" s="3" customFormat="1" x14ac:dyDescent="0.25">
      <c r="B78" s="23"/>
      <c r="U78" s="1"/>
      <c r="V78" s="1"/>
      <c r="W78" s="1"/>
      <c r="X78" s="1"/>
      <c r="Y78" s="1"/>
    </row>
    <row r="79" spans="2:25" s="3" customFormat="1" x14ac:dyDescent="0.25">
      <c r="B79" s="23"/>
      <c r="U79" s="1"/>
      <c r="V79" s="1"/>
      <c r="W79" s="1"/>
      <c r="X79" s="1"/>
      <c r="Y79" s="1"/>
    </row>
    <row r="80" spans="2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1:25" s="3" customFormat="1" x14ac:dyDescent="0.25">
      <c r="B225" s="23"/>
      <c r="U225" s="1"/>
      <c r="V225" s="1"/>
      <c r="W225" s="1"/>
      <c r="X225" s="1"/>
      <c r="Y225" s="1"/>
    </row>
    <row r="226" spans="1:25" s="3" customFormat="1" x14ac:dyDescent="0.25">
      <c r="B226" s="23"/>
      <c r="U226" s="1"/>
      <c r="V226" s="1"/>
      <c r="W226" s="1"/>
      <c r="X226" s="1"/>
      <c r="Y226" s="1"/>
    </row>
    <row r="227" spans="1:25" s="3" customFormat="1" x14ac:dyDescent="0.25">
      <c r="B227" s="23"/>
      <c r="U227" s="1"/>
      <c r="V227" s="1"/>
      <c r="W227" s="1"/>
      <c r="X227" s="1"/>
      <c r="Y227" s="1"/>
    </row>
    <row r="228" spans="1:25" s="3" customFormat="1" x14ac:dyDescent="0.25">
      <c r="B228" s="23"/>
      <c r="U228" s="1"/>
      <c r="V228" s="1"/>
      <c r="W228" s="1"/>
      <c r="X228" s="1"/>
      <c r="Y228" s="1"/>
    </row>
    <row r="229" spans="1:25" s="3" customFormat="1" x14ac:dyDescent="0.25">
      <c r="B229" s="23"/>
      <c r="U229" s="1"/>
      <c r="V229" s="1"/>
      <c r="W229" s="1"/>
      <c r="X229" s="1"/>
      <c r="Y229" s="1"/>
    </row>
    <row r="230" spans="1:25" s="3" customFormat="1" x14ac:dyDescent="0.25">
      <c r="B230" s="23"/>
      <c r="K230" s="6"/>
      <c r="L230" s="6"/>
      <c r="M230" s="6"/>
      <c r="N230" s="6"/>
      <c r="U230" s="1"/>
      <c r="V230" s="1"/>
      <c r="W230" s="1"/>
      <c r="X230" s="1"/>
      <c r="Y230" s="1"/>
    </row>
    <row r="231" spans="1:25" s="3" customFormat="1" x14ac:dyDescent="0.25">
      <c r="B231" s="23"/>
      <c r="K231" s="6"/>
      <c r="L231" s="6"/>
      <c r="M231" s="6"/>
      <c r="N231" s="6"/>
      <c r="U231" s="1"/>
      <c r="V231" s="1"/>
      <c r="W231" s="1"/>
      <c r="X231" s="1"/>
      <c r="Y231" s="1"/>
    </row>
    <row r="232" spans="1:25" s="3" customFormat="1" x14ac:dyDescent="0.25">
      <c r="B232" s="23"/>
      <c r="K232" s="6"/>
      <c r="L232" s="6"/>
      <c r="M232" s="6"/>
      <c r="N232" s="6"/>
      <c r="U232" s="1"/>
      <c r="V232" s="1"/>
      <c r="W232" s="1"/>
      <c r="X232" s="1"/>
      <c r="Y232" s="1"/>
    </row>
    <row r="233" spans="1:25" s="3" customFormat="1" x14ac:dyDescent="0.25">
      <c r="B233" s="23"/>
      <c r="J233" s="6"/>
      <c r="K233" s="6"/>
      <c r="L233" s="6"/>
      <c r="M233" s="6"/>
      <c r="N233" s="6"/>
      <c r="U233" s="1"/>
      <c r="V233" s="1"/>
      <c r="W233" s="1"/>
      <c r="X233" s="1"/>
      <c r="Y233" s="1"/>
    </row>
    <row r="234" spans="1:25" s="3" customFormat="1" x14ac:dyDescent="0.25">
      <c r="B234" s="23"/>
      <c r="J234" s="6"/>
      <c r="K234" s="6"/>
      <c r="L234" s="6"/>
      <c r="M234" s="6"/>
      <c r="N234" s="6"/>
      <c r="U234" s="1"/>
      <c r="V234" s="1"/>
      <c r="W234" s="1"/>
      <c r="X234" s="1"/>
      <c r="Y234" s="1"/>
    </row>
    <row r="235" spans="1:25" s="3" customFormat="1" x14ac:dyDescent="0.25">
      <c r="B235" s="23"/>
      <c r="J235" s="6"/>
      <c r="K235" s="6"/>
      <c r="L235" s="6"/>
      <c r="M235" s="6"/>
      <c r="N235" s="6"/>
      <c r="U235" s="1"/>
      <c r="V235" s="1"/>
      <c r="W235" s="1"/>
      <c r="X235" s="1"/>
      <c r="Y235" s="1"/>
    </row>
    <row r="236" spans="1:25" s="3" customFormat="1" x14ac:dyDescent="0.25">
      <c r="B236" s="23"/>
      <c r="J236" s="6"/>
      <c r="K236" s="6"/>
      <c r="L236" s="6"/>
      <c r="M236" s="6"/>
      <c r="N236" s="6"/>
      <c r="U236" s="1"/>
      <c r="V236" s="1"/>
      <c r="W236" s="1"/>
      <c r="X236" s="1"/>
      <c r="Y236" s="1"/>
    </row>
    <row r="237" spans="1:25" s="3" customFormat="1" x14ac:dyDescent="0.25">
      <c r="B237" s="23"/>
      <c r="J237" s="6"/>
      <c r="K237" s="6"/>
      <c r="L237" s="6"/>
      <c r="M237" s="6"/>
      <c r="N237" s="6"/>
      <c r="O237" s="6"/>
      <c r="U237" s="1"/>
      <c r="V237" s="1"/>
      <c r="W237" s="1"/>
      <c r="X237" s="1"/>
      <c r="Y237" s="1"/>
    </row>
    <row r="238" spans="1:25" s="3" customFormat="1" x14ac:dyDescent="0.25">
      <c r="B238" s="23"/>
      <c r="J238" s="6"/>
      <c r="K238" s="6"/>
      <c r="L238" s="6"/>
      <c r="M238" s="6"/>
      <c r="N238" s="6"/>
      <c r="O238" s="6"/>
      <c r="U238" s="1"/>
      <c r="V238" s="1"/>
      <c r="W238" s="1"/>
      <c r="X238" s="1"/>
      <c r="Y238" s="1"/>
    </row>
    <row r="239" spans="1:25" s="3" customFormat="1" x14ac:dyDescent="0.25">
      <c r="A239" s="6"/>
      <c r="B239" s="25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Q239" s="6"/>
      <c r="R239" s="6"/>
      <c r="S239" s="6"/>
      <c r="U239" s="1"/>
      <c r="V239" s="1"/>
      <c r="W239" s="1"/>
      <c r="X239" s="1"/>
      <c r="Y239" s="1"/>
    </row>
  </sheetData>
  <sheetProtection sheet="1" objects="1" scenarios="1"/>
  <mergeCells count="158">
    <mergeCell ref="D2:K4"/>
    <mergeCell ref="L2:N4"/>
    <mergeCell ref="M21:N21"/>
    <mergeCell ref="D24:E24"/>
    <mergeCell ref="F24:G24"/>
    <mergeCell ref="H24:J24"/>
    <mergeCell ref="K24:L24"/>
    <mergeCell ref="M24:N24"/>
    <mergeCell ref="A13:C13"/>
    <mergeCell ref="D13:E13"/>
    <mergeCell ref="F13:G13"/>
    <mergeCell ref="H13:J13"/>
    <mergeCell ref="K13:L13"/>
    <mergeCell ref="M13:N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6:C26"/>
    <mergeCell ref="D28:E28"/>
    <mergeCell ref="F28:G28"/>
    <mergeCell ref="H28:J28"/>
    <mergeCell ref="K28:L28"/>
    <mergeCell ref="M28:N28"/>
    <mergeCell ref="R3:T3"/>
    <mergeCell ref="B5:K5"/>
    <mergeCell ref="L5:N5"/>
    <mergeCell ref="R5:T5"/>
    <mergeCell ref="C8:F8"/>
    <mergeCell ref="K8:N8"/>
    <mergeCell ref="C10:F10"/>
    <mergeCell ref="K10:N10"/>
    <mergeCell ref="A24:C24"/>
    <mergeCell ref="D22:E22"/>
    <mergeCell ref="F22:G22"/>
    <mergeCell ref="H22:J22"/>
    <mergeCell ref="K22:L22"/>
    <mergeCell ref="M22:N22"/>
    <mergeCell ref="D21:E21"/>
    <mergeCell ref="F21:G21"/>
    <mergeCell ref="H21:J21"/>
    <mergeCell ref="K21:L21"/>
    <mergeCell ref="A30:C30"/>
    <mergeCell ref="D32:E32"/>
    <mergeCell ref="F32:G32"/>
    <mergeCell ref="H32:J32"/>
    <mergeCell ref="K32:L32"/>
    <mergeCell ref="M32:N32"/>
    <mergeCell ref="D23:E23"/>
    <mergeCell ref="F23:G23"/>
    <mergeCell ref="H23:J23"/>
    <mergeCell ref="K23:L23"/>
    <mergeCell ref="M23:N23"/>
    <mergeCell ref="A27:C27"/>
    <mergeCell ref="A28:C28"/>
    <mergeCell ref="D26:E26"/>
    <mergeCell ref="F26:G26"/>
    <mergeCell ref="H26:J26"/>
    <mergeCell ref="K26:L26"/>
    <mergeCell ref="M26:N26"/>
    <mergeCell ref="D25:E25"/>
    <mergeCell ref="F25:G25"/>
    <mergeCell ref="H25:J25"/>
    <mergeCell ref="K25:L25"/>
    <mergeCell ref="M25:N25"/>
    <mergeCell ref="A25:C25"/>
    <mergeCell ref="A34:C34"/>
    <mergeCell ref="D36:E36"/>
    <mergeCell ref="F36:G36"/>
    <mergeCell ref="H36:J36"/>
    <mergeCell ref="K36:L36"/>
    <mergeCell ref="M36:N36"/>
    <mergeCell ref="D27:E27"/>
    <mergeCell ref="F27:G27"/>
    <mergeCell ref="H27:J27"/>
    <mergeCell ref="K27:L27"/>
    <mergeCell ref="M27:N27"/>
    <mergeCell ref="A31:C31"/>
    <mergeCell ref="A32:C32"/>
    <mergeCell ref="D30:E30"/>
    <mergeCell ref="F30:G30"/>
    <mergeCell ref="H30:J30"/>
    <mergeCell ref="K30:L30"/>
    <mergeCell ref="M30:N30"/>
    <mergeCell ref="D29:E29"/>
    <mergeCell ref="F29:G29"/>
    <mergeCell ref="H29:J29"/>
    <mergeCell ref="K29:L29"/>
    <mergeCell ref="M29:N29"/>
    <mergeCell ref="A29:C29"/>
    <mergeCell ref="A38:C38"/>
    <mergeCell ref="D39:E39"/>
    <mergeCell ref="F39:G39"/>
    <mergeCell ref="H39:J39"/>
    <mergeCell ref="K39:L39"/>
    <mergeCell ref="M39:N39"/>
    <mergeCell ref="D31:E31"/>
    <mergeCell ref="F31:G31"/>
    <mergeCell ref="H31:J31"/>
    <mergeCell ref="K31:L31"/>
    <mergeCell ref="M31:N31"/>
    <mergeCell ref="A35:C35"/>
    <mergeCell ref="A36:C36"/>
    <mergeCell ref="D34:E34"/>
    <mergeCell ref="F34:G34"/>
    <mergeCell ref="H34:J34"/>
    <mergeCell ref="K34:L34"/>
    <mergeCell ref="M34:N34"/>
    <mergeCell ref="D33:E33"/>
    <mergeCell ref="F33:G33"/>
    <mergeCell ref="H33:J33"/>
    <mergeCell ref="K33:L33"/>
    <mergeCell ref="M33:N33"/>
    <mergeCell ref="A33:C33"/>
    <mergeCell ref="D43:E43"/>
    <mergeCell ref="B47:F52"/>
    <mergeCell ref="J47:N52"/>
    <mergeCell ref="A42:C42"/>
    <mergeCell ref="D42:E42"/>
    <mergeCell ref="F42:G42"/>
    <mergeCell ref="M41:N41"/>
    <mergeCell ref="D35:E35"/>
    <mergeCell ref="F35:G35"/>
    <mergeCell ref="H35:J35"/>
    <mergeCell ref="K35:L35"/>
    <mergeCell ref="M35:N35"/>
    <mergeCell ref="A39:C39"/>
    <mergeCell ref="D38:E38"/>
    <mergeCell ref="F38:G38"/>
    <mergeCell ref="H38:J38"/>
    <mergeCell ref="K38:L38"/>
    <mergeCell ref="M38:N38"/>
    <mergeCell ref="D37:E37"/>
    <mergeCell ref="F37:G37"/>
    <mergeCell ref="H37:J37"/>
    <mergeCell ref="K37:L37"/>
    <mergeCell ref="M37:N37"/>
    <mergeCell ref="A37:C37"/>
    <mergeCell ref="D40:E40"/>
    <mergeCell ref="F40:G40"/>
    <mergeCell ref="H40:J40"/>
    <mergeCell ref="K40:L40"/>
    <mergeCell ref="M40:N40"/>
    <mergeCell ref="M42:N42"/>
    <mergeCell ref="K42:L42"/>
    <mergeCell ref="H42:J42"/>
    <mergeCell ref="A40:C40"/>
    <mergeCell ref="A41:C41"/>
    <mergeCell ref="D41:E41"/>
    <mergeCell ref="F41:G41"/>
    <mergeCell ref="H41:J41"/>
    <mergeCell ref="K41:L41"/>
  </mergeCells>
  <conditionalFormatting sqref="D21:D42">
    <cfRule type="expression" dxfId="23" priority="3">
      <formula>#REF!="Non"</formula>
    </cfRule>
    <cfRule type="expression" dxfId="22" priority="4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7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2F99D89-7331-48BC-BEC1-C18C646758F4}">
            <xm:f>'Niveau 1 Oct'!#REF!="Non"</xm:f>
            <x14:dxf>
              <fill>
                <patternFill>
                  <bgColor theme="1"/>
                </patternFill>
              </fill>
            </x14:dxf>
          </x14:cfRule>
          <x14:cfRule type="expression" priority="2" id="{724D3653-33D2-411A-8890-4B92FE55E0FD}">
            <xm:f>'Niveau 1 Oct'!#REF!="Oui"</xm:f>
            <x14:dxf>
              <fill>
                <patternFill>
                  <bgColor theme="1"/>
                </patternFill>
              </fill>
            </x14:dxf>
          </x14:cfRule>
          <xm:sqref>D14:D20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  <pageSetUpPr fitToPage="1"/>
  </sheetPr>
  <dimension ref="A1:BD244"/>
  <sheetViews>
    <sheetView topLeftCell="A10" zoomScale="80" zoomScaleNormal="80" workbookViewId="0">
      <selection activeCell="T39" sqref="T39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1.7109375" style="6" customWidth="1"/>
    <col min="4" max="4" width="8.42578125" style="6" customWidth="1"/>
    <col min="5" max="5" width="6.42578125" style="6" customWidth="1"/>
    <col min="6" max="6" width="5.42578125" style="6" customWidth="1"/>
    <col min="7" max="7" width="8" style="6" customWidth="1"/>
    <col min="8" max="8" width="5.85546875" style="6" customWidth="1"/>
    <col min="9" max="9" width="9.42578125" style="6" customWidth="1"/>
    <col min="10" max="10" width="14.42578125" style="6" customWidth="1"/>
    <col min="11" max="12" width="8.140625" style="6" customWidth="1"/>
    <col min="13" max="13" width="8" style="6" customWidth="1"/>
    <col min="14" max="14" width="10.42578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67</v>
      </c>
      <c r="E2" s="195"/>
      <c r="F2" s="195"/>
      <c r="G2" s="195"/>
      <c r="H2" s="195"/>
      <c r="I2" s="195"/>
      <c r="J2" s="195"/>
      <c r="K2" s="195"/>
      <c r="L2" s="251">
        <f>'Niveau 1 Nov'!L2:N4</f>
        <v>45597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6"/>
      <c r="Q3" s="4"/>
      <c r="R3" s="220"/>
      <c r="S3" s="220"/>
      <c r="T3" s="220"/>
      <c r="U3" s="36"/>
      <c r="V3" s="36"/>
      <c r="W3" s="36"/>
      <c r="X3" s="36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6"/>
      <c r="Q4" s="4"/>
      <c r="R4" s="36"/>
      <c r="S4" s="36"/>
      <c r="T4" s="36"/>
      <c r="U4" s="36"/>
      <c r="V4" s="36"/>
      <c r="W4" s="36"/>
      <c r="X4" s="36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f>+'Niveau 1 Nov'!L5:N5</f>
        <v>45594</v>
      </c>
      <c r="M5" s="222"/>
      <c r="N5" s="222"/>
      <c r="O5" s="3"/>
      <c r="P5" s="36"/>
      <c r="Q5" s="5"/>
      <c r="R5" s="220"/>
      <c r="S5" s="220"/>
      <c r="T5" s="220"/>
      <c r="U5" s="36"/>
      <c r="V5" s="36"/>
      <c r="W5" s="36"/>
      <c r="X5" s="36"/>
      <c r="Y5" s="5"/>
    </row>
    <row r="6" spans="1:25" ht="19.5" customHeight="1" x14ac:dyDescent="0.35">
      <c r="A6" s="46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36"/>
      <c r="V6" s="36"/>
      <c r="W6" s="36"/>
      <c r="X6" s="36"/>
      <c r="Y6" s="5"/>
    </row>
    <row r="7" spans="1:25" ht="19.5" customHeight="1" thickBot="1" x14ac:dyDescent="0.4">
      <c r="A7" s="48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38"/>
      <c r="V7" s="38"/>
      <c r="W7" s="38"/>
      <c r="X7" s="38"/>
      <c r="Y7" s="5"/>
    </row>
    <row r="8" spans="1:25" ht="18" customHeight="1" thickBot="1" x14ac:dyDescent="0.3">
      <c r="A8" s="8" t="s">
        <v>2</v>
      </c>
      <c r="B8" s="24"/>
      <c r="C8" s="324"/>
      <c r="D8" s="325"/>
      <c r="E8" s="325"/>
      <c r="F8" s="326"/>
      <c r="G8" s="9"/>
      <c r="H8" s="8" t="s">
        <v>26</v>
      </c>
      <c r="I8" s="8"/>
      <c r="J8" s="8"/>
      <c r="K8" s="324"/>
      <c r="L8" s="325"/>
      <c r="M8" s="325"/>
      <c r="N8" s="326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324"/>
      <c r="D10" s="325"/>
      <c r="E10" s="325"/>
      <c r="F10" s="326"/>
      <c r="G10" s="9"/>
      <c r="H10" s="8" t="s">
        <v>25</v>
      </c>
      <c r="I10" s="8"/>
      <c r="J10" s="8"/>
      <c r="K10" s="324"/>
      <c r="L10" s="325"/>
      <c r="M10" s="325"/>
      <c r="N10" s="326"/>
      <c r="O10" s="26"/>
      <c r="P10" s="26"/>
      <c r="Q10" s="26"/>
      <c r="R10" s="26"/>
      <c r="S10" s="26"/>
      <c r="T10" s="26"/>
      <c r="U10" s="11"/>
    </row>
    <row r="11" spans="1:25" ht="18" customHeight="1" thickBot="1" x14ac:dyDescent="0.35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8" customHeight="1" thickBot="1" x14ac:dyDescent="0.35">
      <c r="A12" s="8" t="s">
        <v>49</v>
      </c>
      <c r="B12" s="24"/>
      <c r="C12" s="324"/>
      <c r="D12" s="325"/>
      <c r="E12" s="325"/>
      <c r="F12" s="326"/>
      <c r="G12" s="24"/>
      <c r="H12" s="8" t="s">
        <v>52</v>
      </c>
      <c r="I12" s="8"/>
      <c r="J12" s="24"/>
      <c r="K12" s="346"/>
      <c r="L12" s="347"/>
      <c r="M12" s="8" t="s">
        <v>59</v>
      </c>
      <c r="N12" s="24"/>
      <c r="O12" s="26"/>
      <c r="P12" s="26"/>
      <c r="Q12" s="26"/>
      <c r="R12" s="26"/>
      <c r="S12" s="26"/>
      <c r="T12" s="26"/>
      <c r="U12" s="11"/>
    </row>
    <row r="13" spans="1:25" ht="18" customHeight="1" thickBot="1" x14ac:dyDescent="0.35">
      <c r="A13" s="8"/>
      <c r="B13" s="24"/>
      <c r="C13" s="24"/>
      <c r="D13" s="24"/>
      <c r="E13" s="24"/>
      <c r="F13" s="24"/>
      <c r="G13" s="24"/>
      <c r="H13" s="8" t="s">
        <v>51</v>
      </c>
      <c r="I13" s="8"/>
      <c r="J13" s="24"/>
      <c r="K13" s="344"/>
      <c r="L13" s="345"/>
      <c r="M13" s="32" t="s">
        <v>60</v>
      </c>
      <c r="N13" s="24"/>
      <c r="O13" s="26"/>
      <c r="P13" s="26"/>
      <c r="Q13" s="26"/>
      <c r="R13" s="26"/>
      <c r="S13" s="26"/>
      <c r="T13" s="26"/>
      <c r="U13" s="11"/>
    </row>
    <row r="14" spans="1:25" ht="13.5" customHeight="1" thickBot="1" x14ac:dyDescent="0.35">
      <c r="A14" s="8"/>
      <c r="B14" s="24"/>
      <c r="C14" s="24"/>
      <c r="D14" s="24"/>
      <c r="E14" s="24"/>
      <c r="F14" s="24"/>
      <c r="G14" s="9"/>
      <c r="H14" s="8"/>
      <c r="I14" s="8"/>
      <c r="J14" s="8"/>
      <c r="K14" s="8"/>
      <c r="L14" s="8"/>
      <c r="M14" s="8"/>
      <c r="N14" s="8"/>
      <c r="O14" s="26"/>
      <c r="P14" s="26"/>
      <c r="Q14" s="26"/>
      <c r="R14" s="26"/>
      <c r="S14" s="26"/>
      <c r="T14" s="26"/>
      <c r="U14" s="11"/>
    </row>
    <row r="15" spans="1:25" ht="22.5" customHeight="1" thickBot="1" x14ac:dyDescent="0.35">
      <c r="A15" s="8"/>
      <c r="B15" s="24"/>
      <c r="C15" s="10"/>
      <c r="D15" s="10"/>
      <c r="E15" s="10"/>
      <c r="F15" s="262" t="s">
        <v>28</v>
      </c>
      <c r="G15" s="263"/>
      <c r="H15" s="263"/>
      <c r="I15" s="263"/>
      <c r="J15" s="263"/>
      <c r="K15" s="263"/>
      <c r="L15" s="263"/>
      <c r="M15" s="263"/>
      <c r="N15" s="264"/>
      <c r="O15" s="26"/>
      <c r="P15" s="26"/>
      <c r="Q15" s="26"/>
      <c r="R15" s="26"/>
      <c r="S15" s="26"/>
      <c r="T15" s="26"/>
      <c r="U15" s="11"/>
    </row>
    <row r="16" spans="1:25" s="19" customFormat="1" ht="54.75" customHeight="1" x14ac:dyDescent="0.25">
      <c r="A16" s="200" t="s">
        <v>1</v>
      </c>
      <c r="B16" s="201"/>
      <c r="C16" s="202"/>
      <c r="D16" s="203" t="s">
        <v>58</v>
      </c>
      <c r="E16" s="204"/>
      <c r="F16" s="265" t="s">
        <v>29</v>
      </c>
      <c r="G16" s="265"/>
      <c r="H16" s="266" t="s">
        <v>61</v>
      </c>
      <c r="I16" s="267"/>
      <c r="J16" s="37" t="s">
        <v>63</v>
      </c>
      <c r="K16" s="268" t="s">
        <v>64</v>
      </c>
      <c r="L16" s="269"/>
      <c r="M16" s="266" t="s">
        <v>30</v>
      </c>
      <c r="N16" s="267"/>
      <c r="O16" s="26"/>
      <c r="P16" s="26"/>
      <c r="Q16" s="26"/>
      <c r="R16" s="26"/>
      <c r="S16" s="26"/>
      <c r="T16" s="26"/>
      <c r="U16" s="20"/>
      <c r="V16" s="20"/>
      <c r="W16" s="20"/>
      <c r="X16" s="21"/>
    </row>
    <row r="17" spans="1:24" s="3" customFormat="1" x14ac:dyDescent="0.25">
      <c r="A17" s="191">
        <v>45565</v>
      </c>
      <c r="B17" s="286"/>
      <c r="C17" s="287"/>
      <c r="D17" s="68"/>
      <c r="E17" s="69"/>
      <c r="F17" s="55"/>
      <c r="G17" s="57"/>
      <c r="H17" s="55"/>
      <c r="I17" s="57"/>
      <c r="J17" s="57"/>
      <c r="K17" s="56"/>
      <c r="L17" s="57"/>
      <c r="M17" s="309">
        <f t="shared" ref="M17:M23" si="0">+K17-J17</f>
        <v>0</v>
      </c>
      <c r="N17" s="310"/>
      <c r="P17" s="12"/>
      <c r="Q17" s="15"/>
      <c r="R17" s="15"/>
      <c r="S17" s="15"/>
      <c r="T17" s="13"/>
      <c r="U17" s="13"/>
      <c r="V17" s="13"/>
      <c r="W17" s="13"/>
      <c r="X17" s="1"/>
    </row>
    <row r="18" spans="1:24" s="3" customFormat="1" x14ac:dyDescent="0.25">
      <c r="A18" s="191">
        <v>45566</v>
      </c>
      <c r="B18" s="286"/>
      <c r="C18" s="287"/>
      <c r="D18" s="68"/>
      <c r="E18" s="69"/>
      <c r="F18" s="55"/>
      <c r="G18" s="57"/>
      <c r="H18" s="55"/>
      <c r="I18" s="57"/>
      <c r="J18" s="57"/>
      <c r="K18" s="56"/>
      <c r="L18" s="57"/>
      <c r="M18" s="309">
        <f t="shared" si="0"/>
        <v>0</v>
      </c>
      <c r="N18" s="310"/>
      <c r="P18" s="12"/>
      <c r="Q18" s="15"/>
      <c r="R18" s="15"/>
      <c r="S18" s="15"/>
      <c r="T18" s="13"/>
      <c r="U18" s="13"/>
      <c r="V18" s="13"/>
      <c r="W18" s="13"/>
      <c r="X18" s="1"/>
    </row>
    <row r="19" spans="1:24" s="3" customFormat="1" x14ac:dyDescent="0.25">
      <c r="A19" s="191">
        <v>45567</v>
      </c>
      <c r="B19" s="286"/>
      <c r="C19" s="287"/>
      <c r="D19" s="68"/>
      <c r="E19" s="69"/>
      <c r="F19" s="55"/>
      <c r="G19" s="57"/>
      <c r="H19" s="55"/>
      <c r="I19" s="57"/>
      <c r="J19" s="57"/>
      <c r="K19" s="56"/>
      <c r="L19" s="57"/>
      <c r="M19" s="309">
        <f t="shared" si="0"/>
        <v>0</v>
      </c>
      <c r="N19" s="310"/>
      <c r="P19" s="12"/>
      <c r="Q19" s="15"/>
      <c r="R19" s="15"/>
      <c r="S19" s="15"/>
      <c r="T19" s="13"/>
      <c r="U19" s="13"/>
      <c r="V19" s="13"/>
      <c r="W19" s="13"/>
      <c r="X19" s="1"/>
    </row>
    <row r="20" spans="1:24" s="3" customFormat="1" x14ac:dyDescent="0.25">
      <c r="A20" s="191">
        <v>45568</v>
      </c>
      <c r="B20" s="286"/>
      <c r="C20" s="287"/>
      <c r="D20" s="392"/>
      <c r="E20" s="318"/>
      <c r="F20" s="385"/>
      <c r="G20" s="318"/>
      <c r="H20" s="55"/>
      <c r="I20" s="57"/>
      <c r="J20" s="57"/>
      <c r="K20" s="56"/>
      <c r="L20" s="57"/>
      <c r="M20" s="309">
        <f t="shared" si="0"/>
        <v>0</v>
      </c>
      <c r="N20" s="310"/>
      <c r="P20" s="12"/>
      <c r="Q20" s="15"/>
      <c r="R20" s="15"/>
      <c r="S20" s="15"/>
      <c r="T20" s="13"/>
      <c r="U20" s="13"/>
      <c r="V20" s="13"/>
      <c r="W20" s="13"/>
      <c r="X20" s="1"/>
    </row>
    <row r="21" spans="1:24" s="3" customFormat="1" x14ac:dyDescent="0.25">
      <c r="A21" s="191">
        <v>45569</v>
      </c>
      <c r="B21" s="286"/>
      <c r="C21" s="287"/>
      <c r="D21" s="392"/>
      <c r="E21" s="318"/>
      <c r="F21" s="55"/>
      <c r="G21" s="57"/>
      <c r="H21" s="385"/>
      <c r="I21" s="318"/>
      <c r="J21" s="57"/>
      <c r="K21" s="56"/>
      <c r="L21" s="57"/>
      <c r="M21" s="309">
        <f t="shared" si="0"/>
        <v>0</v>
      </c>
      <c r="N21" s="310"/>
      <c r="P21" s="12"/>
      <c r="Q21" s="15"/>
      <c r="R21" s="15"/>
      <c r="S21" s="15"/>
      <c r="T21" s="13"/>
      <c r="U21" s="13"/>
      <c r="V21" s="13"/>
      <c r="W21" s="13"/>
      <c r="X21" s="1"/>
    </row>
    <row r="22" spans="1:24" s="3" customFormat="1" x14ac:dyDescent="0.25">
      <c r="A22" s="191">
        <v>45570</v>
      </c>
      <c r="B22" s="286"/>
      <c r="C22" s="287"/>
      <c r="D22" s="68"/>
      <c r="E22" s="69"/>
      <c r="F22" s="55"/>
      <c r="G22" s="57"/>
      <c r="H22" s="55"/>
      <c r="I22" s="57"/>
      <c r="J22" s="57"/>
      <c r="K22" s="385"/>
      <c r="L22" s="318"/>
      <c r="M22" s="309">
        <f t="shared" si="0"/>
        <v>0</v>
      </c>
      <c r="N22" s="310"/>
      <c r="P22" s="12"/>
      <c r="Q22" s="15"/>
      <c r="R22" s="15"/>
      <c r="S22" s="15"/>
      <c r="T22" s="13"/>
      <c r="U22" s="13"/>
      <c r="V22" s="13"/>
      <c r="W22" s="13"/>
      <c r="X22" s="1"/>
    </row>
    <row r="23" spans="1:24" s="3" customFormat="1" x14ac:dyDescent="0.25">
      <c r="A23" s="191">
        <v>45571</v>
      </c>
      <c r="B23" s="286"/>
      <c r="C23" s="287"/>
      <c r="D23" s="68"/>
      <c r="E23" s="69"/>
      <c r="F23" s="55"/>
      <c r="G23" s="57"/>
      <c r="H23" s="70"/>
      <c r="I23" s="72"/>
      <c r="J23" s="72"/>
      <c r="K23" s="71"/>
      <c r="L23" s="72"/>
      <c r="M23" s="309">
        <f t="shared" si="0"/>
        <v>0</v>
      </c>
      <c r="N23" s="310"/>
      <c r="P23" s="12"/>
      <c r="Q23" s="15"/>
      <c r="R23" s="15"/>
      <c r="S23" s="15"/>
      <c r="T23" s="13"/>
      <c r="U23" s="13"/>
      <c r="V23" s="13"/>
      <c r="W23" s="13"/>
      <c r="X23" s="1"/>
    </row>
    <row r="24" spans="1:24" s="3" customFormat="1" ht="15.75" x14ac:dyDescent="0.25">
      <c r="A24" s="191">
        <v>45572</v>
      </c>
      <c r="B24" s="286"/>
      <c r="C24" s="287"/>
      <c r="D24" s="336"/>
      <c r="E24" s="336"/>
      <c r="F24" s="337"/>
      <c r="G24" s="338"/>
      <c r="H24" s="339"/>
      <c r="I24" s="340"/>
      <c r="J24" s="49"/>
      <c r="K24" s="341"/>
      <c r="L24" s="341"/>
      <c r="M24" s="309">
        <f t="shared" ref="M24" si="1">+K24-J24</f>
        <v>0</v>
      </c>
      <c r="N24" s="310"/>
      <c r="O24" s="26"/>
      <c r="P24" s="26"/>
      <c r="Q24" s="26"/>
      <c r="R24" s="26"/>
      <c r="S24" s="26"/>
      <c r="T24" s="26"/>
      <c r="U24" s="13"/>
      <c r="V24" s="13"/>
      <c r="W24" s="13"/>
      <c r="X24" s="1"/>
    </row>
    <row r="25" spans="1:24" s="3" customFormat="1" ht="15.75" x14ac:dyDescent="0.25">
      <c r="A25" s="191">
        <v>45573</v>
      </c>
      <c r="B25" s="286"/>
      <c r="C25" s="287"/>
      <c r="D25" s="336"/>
      <c r="E25" s="336"/>
      <c r="F25" s="337"/>
      <c r="G25" s="338"/>
      <c r="H25" s="339"/>
      <c r="I25" s="340"/>
      <c r="J25" s="49"/>
      <c r="K25" s="341"/>
      <c r="L25" s="341"/>
      <c r="M25" s="309">
        <f t="shared" ref="M25:M44" si="2">+K25-J25</f>
        <v>0</v>
      </c>
      <c r="N25" s="310"/>
      <c r="P25" s="26"/>
      <c r="Q25" s="26"/>
      <c r="R25" s="26"/>
      <c r="S25" s="26"/>
      <c r="T25" s="26"/>
      <c r="U25" s="13"/>
      <c r="V25" s="13"/>
      <c r="W25" s="13"/>
      <c r="X25" s="1"/>
    </row>
    <row r="26" spans="1:24" s="3" customFormat="1" ht="15.75" x14ac:dyDescent="0.25">
      <c r="A26" s="191">
        <v>45574</v>
      </c>
      <c r="B26" s="286"/>
      <c r="C26" s="287"/>
      <c r="D26" s="336"/>
      <c r="E26" s="336"/>
      <c r="F26" s="337"/>
      <c r="G26" s="338"/>
      <c r="H26" s="339"/>
      <c r="I26" s="340"/>
      <c r="J26" s="49"/>
      <c r="K26" s="341"/>
      <c r="L26" s="341"/>
      <c r="M26" s="309">
        <f t="shared" si="2"/>
        <v>0</v>
      </c>
      <c r="N26" s="310"/>
      <c r="P26" s="26"/>
      <c r="Q26" s="26"/>
      <c r="R26" s="26"/>
      <c r="S26" s="26"/>
      <c r="T26" s="26"/>
      <c r="U26" s="26"/>
      <c r="V26" s="13"/>
      <c r="W26" s="13"/>
      <c r="X26" s="1"/>
    </row>
    <row r="27" spans="1:24" s="3" customFormat="1" x14ac:dyDescent="0.25">
      <c r="A27" s="191">
        <v>45575</v>
      </c>
      <c r="B27" s="286"/>
      <c r="C27" s="287"/>
      <c r="D27" s="336"/>
      <c r="E27" s="336"/>
      <c r="F27" s="337"/>
      <c r="G27" s="338"/>
      <c r="H27" s="339"/>
      <c r="I27" s="340"/>
      <c r="J27" s="49"/>
      <c r="K27" s="341"/>
      <c r="L27" s="341"/>
      <c r="M27" s="309">
        <f t="shared" si="2"/>
        <v>0</v>
      </c>
      <c r="N27" s="310"/>
      <c r="P27" s="12"/>
      <c r="Q27" s="12"/>
      <c r="R27" s="12"/>
      <c r="S27" s="12"/>
      <c r="T27" s="13"/>
      <c r="U27" s="13"/>
      <c r="V27" s="13"/>
      <c r="W27" s="13"/>
      <c r="X27" s="1"/>
    </row>
    <row r="28" spans="1:24" s="3" customFormat="1" x14ac:dyDescent="0.25">
      <c r="A28" s="191">
        <v>45576</v>
      </c>
      <c r="B28" s="286"/>
      <c r="C28" s="287"/>
      <c r="D28" s="336"/>
      <c r="E28" s="336"/>
      <c r="F28" s="337"/>
      <c r="G28" s="338"/>
      <c r="H28" s="339"/>
      <c r="I28" s="340"/>
      <c r="J28" s="49"/>
      <c r="K28" s="341"/>
      <c r="L28" s="341"/>
      <c r="M28" s="309">
        <f t="shared" si="2"/>
        <v>0</v>
      </c>
      <c r="N28" s="310"/>
      <c r="P28" s="12"/>
      <c r="Q28" s="12"/>
      <c r="R28" s="12"/>
      <c r="S28" s="12"/>
      <c r="T28" s="13"/>
      <c r="U28" s="13"/>
      <c r="V28" s="13"/>
      <c r="W28" s="13"/>
      <c r="X28" s="1"/>
    </row>
    <row r="29" spans="1:24" s="3" customFormat="1" x14ac:dyDescent="0.25">
      <c r="A29" s="191">
        <v>45577</v>
      </c>
      <c r="B29" s="286"/>
      <c r="C29" s="287"/>
      <c r="D29" s="336"/>
      <c r="E29" s="336"/>
      <c r="F29" s="337"/>
      <c r="G29" s="338"/>
      <c r="H29" s="339"/>
      <c r="I29" s="340"/>
      <c r="J29" s="49"/>
      <c r="K29" s="341"/>
      <c r="L29" s="341"/>
      <c r="M29" s="309">
        <f t="shared" si="2"/>
        <v>0</v>
      </c>
      <c r="N29" s="310"/>
      <c r="P29" s="12"/>
      <c r="Q29" s="12"/>
      <c r="R29" s="12"/>
      <c r="S29" s="12"/>
      <c r="T29" s="13"/>
      <c r="U29" s="13"/>
      <c r="V29" s="13"/>
      <c r="W29" s="13"/>
      <c r="X29" s="1"/>
    </row>
    <row r="30" spans="1:24" s="3" customFormat="1" x14ac:dyDescent="0.25">
      <c r="A30" s="191">
        <v>45578</v>
      </c>
      <c r="B30" s="286"/>
      <c r="C30" s="287"/>
      <c r="D30" s="336"/>
      <c r="E30" s="336"/>
      <c r="F30" s="337"/>
      <c r="G30" s="338"/>
      <c r="H30" s="339"/>
      <c r="I30" s="340"/>
      <c r="J30" s="49"/>
      <c r="K30" s="341"/>
      <c r="L30" s="341"/>
      <c r="M30" s="309">
        <f t="shared" si="2"/>
        <v>0</v>
      </c>
      <c r="N30" s="310"/>
      <c r="P30" s="12"/>
      <c r="Q30" s="12"/>
      <c r="R30" s="12"/>
      <c r="S30" s="12"/>
      <c r="T30" s="13"/>
      <c r="U30" s="13"/>
      <c r="V30" s="13"/>
      <c r="W30" s="13"/>
      <c r="X30" s="1"/>
    </row>
    <row r="31" spans="1:24" s="3" customFormat="1" x14ac:dyDescent="0.25">
      <c r="A31" s="191">
        <v>45579</v>
      </c>
      <c r="B31" s="286"/>
      <c r="C31" s="287"/>
      <c r="D31" s="336"/>
      <c r="E31" s="336"/>
      <c r="F31" s="337"/>
      <c r="G31" s="338"/>
      <c r="H31" s="339"/>
      <c r="I31" s="340"/>
      <c r="J31" s="49"/>
      <c r="K31" s="341"/>
      <c r="L31" s="341"/>
      <c r="M31" s="309">
        <f t="shared" si="2"/>
        <v>0</v>
      </c>
      <c r="N31" s="310"/>
      <c r="P31" s="12"/>
      <c r="Q31" s="12"/>
      <c r="R31" s="12"/>
      <c r="S31" s="12"/>
      <c r="T31" s="13"/>
      <c r="U31" s="13"/>
      <c r="V31" s="13"/>
      <c r="W31" s="13"/>
      <c r="X31" s="1"/>
    </row>
    <row r="32" spans="1:24" s="3" customFormat="1" x14ac:dyDescent="0.25">
      <c r="A32" s="191">
        <v>45580</v>
      </c>
      <c r="B32" s="286"/>
      <c r="C32" s="287"/>
      <c r="D32" s="336"/>
      <c r="E32" s="336"/>
      <c r="F32" s="337"/>
      <c r="G32" s="338"/>
      <c r="H32" s="339"/>
      <c r="I32" s="340"/>
      <c r="J32" s="49"/>
      <c r="K32" s="341"/>
      <c r="L32" s="341"/>
      <c r="M32" s="309">
        <f t="shared" si="2"/>
        <v>0</v>
      </c>
      <c r="N32" s="310"/>
      <c r="P32" s="12"/>
      <c r="Q32" s="12"/>
      <c r="R32" s="12"/>
      <c r="S32" s="12"/>
      <c r="T32" s="13"/>
      <c r="U32" s="13"/>
      <c r="V32" s="13"/>
      <c r="W32" s="13"/>
      <c r="X32" s="1"/>
    </row>
    <row r="33" spans="1:25" s="3" customFormat="1" x14ac:dyDescent="0.25">
      <c r="A33" s="191">
        <v>45581</v>
      </c>
      <c r="B33" s="286"/>
      <c r="C33" s="287"/>
      <c r="D33" s="336"/>
      <c r="E33" s="336"/>
      <c r="F33" s="337"/>
      <c r="G33" s="338"/>
      <c r="H33" s="339"/>
      <c r="I33" s="340"/>
      <c r="J33" s="49"/>
      <c r="K33" s="341"/>
      <c r="L33" s="341"/>
      <c r="M33" s="309">
        <f t="shared" si="2"/>
        <v>0</v>
      </c>
      <c r="N33" s="310"/>
      <c r="P33" s="12"/>
      <c r="Q33" s="12"/>
      <c r="R33" s="12"/>
      <c r="S33" s="12"/>
      <c r="T33" s="13"/>
      <c r="U33" s="13"/>
      <c r="V33" s="13"/>
      <c r="W33" s="13"/>
      <c r="X33" s="1"/>
    </row>
    <row r="34" spans="1:25" s="3" customFormat="1" x14ac:dyDescent="0.25">
      <c r="A34" s="191">
        <v>45582</v>
      </c>
      <c r="B34" s="286"/>
      <c r="C34" s="287"/>
      <c r="D34" s="336"/>
      <c r="E34" s="336"/>
      <c r="F34" s="337"/>
      <c r="G34" s="338"/>
      <c r="H34" s="339"/>
      <c r="I34" s="340"/>
      <c r="J34" s="49"/>
      <c r="K34" s="341"/>
      <c r="L34" s="341"/>
      <c r="M34" s="309">
        <f t="shared" si="2"/>
        <v>0</v>
      </c>
      <c r="N34" s="310"/>
      <c r="P34" s="12"/>
      <c r="Q34" s="15"/>
      <c r="R34" s="15"/>
      <c r="S34" s="15"/>
      <c r="T34" s="13"/>
      <c r="U34" s="13"/>
      <c r="V34" s="13"/>
      <c r="W34" s="13"/>
      <c r="X34" s="1"/>
    </row>
    <row r="35" spans="1:25" s="3" customFormat="1" x14ac:dyDescent="0.25">
      <c r="A35" s="191">
        <v>45583</v>
      </c>
      <c r="B35" s="286"/>
      <c r="C35" s="287"/>
      <c r="D35" s="336"/>
      <c r="E35" s="336"/>
      <c r="F35" s="337"/>
      <c r="G35" s="338"/>
      <c r="H35" s="339"/>
      <c r="I35" s="340"/>
      <c r="J35" s="49"/>
      <c r="K35" s="341"/>
      <c r="L35" s="341"/>
      <c r="M35" s="309">
        <f t="shared" si="2"/>
        <v>0</v>
      </c>
      <c r="N35" s="310"/>
      <c r="P35" s="12"/>
      <c r="Q35" s="15"/>
      <c r="R35" s="15"/>
      <c r="S35" s="15"/>
      <c r="T35" s="13"/>
      <c r="U35" s="13"/>
      <c r="V35" s="13"/>
      <c r="W35" s="13"/>
      <c r="X35" s="1"/>
    </row>
    <row r="36" spans="1:25" s="3" customFormat="1" x14ac:dyDescent="0.25">
      <c r="A36" s="191">
        <v>45584</v>
      </c>
      <c r="B36" s="286"/>
      <c r="C36" s="287"/>
      <c r="D36" s="336"/>
      <c r="E36" s="336"/>
      <c r="F36" s="337"/>
      <c r="G36" s="338"/>
      <c r="H36" s="339"/>
      <c r="I36" s="340"/>
      <c r="J36" s="49"/>
      <c r="K36" s="341"/>
      <c r="L36" s="341"/>
      <c r="M36" s="309">
        <f t="shared" si="2"/>
        <v>0</v>
      </c>
      <c r="N36" s="310"/>
      <c r="P36" s="12"/>
      <c r="Q36" s="15"/>
      <c r="R36" s="15"/>
      <c r="S36" s="15"/>
      <c r="T36" s="13"/>
      <c r="U36" s="13"/>
      <c r="V36" s="13"/>
      <c r="W36" s="13"/>
      <c r="X36" s="1"/>
    </row>
    <row r="37" spans="1:25" s="3" customFormat="1" x14ac:dyDescent="0.25">
      <c r="A37" s="191">
        <v>45585</v>
      </c>
      <c r="B37" s="286"/>
      <c r="C37" s="287"/>
      <c r="D37" s="336"/>
      <c r="E37" s="336"/>
      <c r="F37" s="337"/>
      <c r="G37" s="338"/>
      <c r="H37" s="339"/>
      <c r="I37" s="340"/>
      <c r="J37" s="49"/>
      <c r="K37" s="341"/>
      <c r="L37" s="341"/>
      <c r="M37" s="309">
        <f t="shared" si="2"/>
        <v>0</v>
      </c>
      <c r="N37" s="310"/>
      <c r="O37" s="1"/>
      <c r="P37" s="12"/>
      <c r="Q37" s="15"/>
      <c r="R37" s="15"/>
      <c r="S37" s="15"/>
      <c r="T37" s="13"/>
      <c r="U37" s="13"/>
      <c r="V37" s="13"/>
      <c r="W37" s="13"/>
      <c r="X37" s="1"/>
    </row>
    <row r="38" spans="1:25" s="3" customFormat="1" x14ac:dyDescent="0.25">
      <c r="A38" s="191">
        <v>45586</v>
      </c>
      <c r="B38" s="286"/>
      <c r="C38" s="287"/>
      <c r="D38" s="342"/>
      <c r="E38" s="343"/>
      <c r="F38" s="50"/>
      <c r="G38" s="51"/>
      <c r="H38" s="52"/>
      <c r="I38" s="53"/>
      <c r="J38" s="49"/>
      <c r="K38" s="309"/>
      <c r="L38" s="310"/>
      <c r="M38" s="309">
        <f t="shared" si="2"/>
        <v>0</v>
      </c>
      <c r="N38" s="310"/>
      <c r="O38" s="1"/>
      <c r="P38" s="12"/>
      <c r="Q38" s="15"/>
      <c r="R38" s="15"/>
      <c r="S38" s="15"/>
      <c r="T38" s="13"/>
      <c r="U38" s="13"/>
      <c r="V38" s="13"/>
      <c r="W38" s="13"/>
      <c r="X38" s="1"/>
    </row>
    <row r="39" spans="1:25" s="3" customFormat="1" x14ac:dyDescent="0.25">
      <c r="A39" s="191">
        <v>45587</v>
      </c>
      <c r="B39" s="286"/>
      <c r="C39" s="287"/>
      <c r="D39" s="342"/>
      <c r="E39" s="343"/>
      <c r="F39" s="50"/>
      <c r="G39" s="51"/>
      <c r="H39" s="52"/>
      <c r="I39" s="53"/>
      <c r="J39" s="49"/>
      <c r="K39" s="309"/>
      <c r="L39" s="310"/>
      <c r="M39" s="309">
        <f t="shared" si="2"/>
        <v>0</v>
      </c>
      <c r="N39" s="310"/>
      <c r="O39" s="1"/>
      <c r="P39" s="12"/>
      <c r="Q39" s="15"/>
      <c r="R39" s="15"/>
      <c r="S39" s="15"/>
      <c r="T39" s="13"/>
      <c r="U39" s="13"/>
      <c r="V39" s="13"/>
      <c r="W39" s="13"/>
      <c r="X39" s="1"/>
    </row>
    <row r="40" spans="1:25" s="3" customFormat="1" x14ac:dyDescent="0.25">
      <c r="A40" s="191">
        <v>45588</v>
      </c>
      <c r="B40" s="286"/>
      <c r="C40" s="287"/>
      <c r="D40" s="342"/>
      <c r="E40" s="343"/>
      <c r="F40" s="386"/>
      <c r="G40" s="387"/>
      <c r="H40" s="390"/>
      <c r="I40" s="391"/>
      <c r="J40" s="49"/>
      <c r="K40" s="309"/>
      <c r="L40" s="310"/>
      <c r="M40" s="309">
        <f t="shared" si="2"/>
        <v>0</v>
      </c>
      <c r="N40" s="310"/>
      <c r="O40" s="1"/>
      <c r="P40" s="12"/>
      <c r="Q40" s="15"/>
      <c r="R40" s="15"/>
      <c r="S40" s="15"/>
      <c r="T40" s="13"/>
      <c r="U40" s="13"/>
      <c r="V40" s="13"/>
      <c r="W40" s="13"/>
      <c r="X40" s="1"/>
    </row>
    <row r="41" spans="1:25" s="3" customFormat="1" x14ac:dyDescent="0.25">
      <c r="A41" s="191">
        <v>45589</v>
      </c>
      <c r="B41" s="286"/>
      <c r="C41" s="287"/>
      <c r="D41" s="342"/>
      <c r="E41" s="343"/>
      <c r="F41" s="50"/>
      <c r="G41" s="51"/>
      <c r="H41" s="52"/>
      <c r="I41" s="53"/>
      <c r="J41" s="49"/>
      <c r="K41" s="309"/>
      <c r="L41" s="310"/>
      <c r="M41" s="309">
        <f t="shared" si="2"/>
        <v>0</v>
      </c>
      <c r="N41" s="310"/>
      <c r="O41" s="1"/>
      <c r="P41" s="12"/>
      <c r="Q41" s="15"/>
      <c r="R41" s="15"/>
      <c r="S41" s="15"/>
      <c r="T41" s="13"/>
      <c r="U41" s="13"/>
      <c r="V41" s="13"/>
      <c r="W41" s="13"/>
      <c r="X41" s="1"/>
    </row>
    <row r="42" spans="1:25" s="3" customFormat="1" x14ac:dyDescent="0.25">
      <c r="A42" s="191">
        <v>45590</v>
      </c>
      <c r="B42" s="286"/>
      <c r="C42" s="287"/>
      <c r="D42" s="342"/>
      <c r="E42" s="343"/>
      <c r="F42" s="386"/>
      <c r="G42" s="387"/>
      <c r="H42" s="388"/>
      <c r="I42" s="389"/>
      <c r="J42" s="49"/>
      <c r="K42" s="309"/>
      <c r="L42" s="310"/>
      <c r="M42" s="309">
        <f t="shared" si="2"/>
        <v>0</v>
      </c>
      <c r="N42" s="310"/>
      <c r="O42" s="1"/>
      <c r="P42" s="12"/>
      <c r="Q42" s="15"/>
      <c r="R42" s="15"/>
      <c r="S42" s="15"/>
      <c r="T42" s="13"/>
      <c r="U42" s="13"/>
      <c r="V42" s="13"/>
      <c r="W42" s="13"/>
      <c r="X42" s="1"/>
    </row>
    <row r="43" spans="1:25" s="3" customFormat="1" x14ac:dyDescent="0.25">
      <c r="A43" s="191">
        <v>45591</v>
      </c>
      <c r="B43" s="286"/>
      <c r="C43" s="287"/>
      <c r="D43" s="342"/>
      <c r="E43" s="343"/>
      <c r="F43" s="50"/>
      <c r="G43" s="51"/>
      <c r="H43" s="52"/>
      <c r="I43" s="53"/>
      <c r="J43" s="49"/>
      <c r="K43" s="309"/>
      <c r="L43" s="310"/>
      <c r="M43" s="309">
        <f t="shared" si="2"/>
        <v>0</v>
      </c>
      <c r="N43" s="310"/>
      <c r="O43" s="1"/>
      <c r="P43" s="12"/>
      <c r="Q43" s="15"/>
      <c r="R43" s="15"/>
      <c r="S43" s="15"/>
      <c r="T43" s="13"/>
      <c r="U43" s="13"/>
      <c r="V43" s="13"/>
      <c r="W43" s="13"/>
      <c r="X43" s="1"/>
    </row>
    <row r="44" spans="1:25" s="3" customFormat="1" x14ac:dyDescent="0.25">
      <c r="A44" s="191">
        <v>45592</v>
      </c>
      <c r="B44" s="286"/>
      <c r="C44" s="287"/>
      <c r="D44" s="342"/>
      <c r="E44" s="343"/>
      <c r="F44" s="386"/>
      <c r="G44" s="387"/>
      <c r="H44" s="388"/>
      <c r="I44" s="389"/>
      <c r="J44" s="49"/>
      <c r="K44" s="309"/>
      <c r="L44" s="310"/>
      <c r="M44" s="309">
        <f t="shared" si="2"/>
        <v>0</v>
      </c>
      <c r="N44" s="310"/>
      <c r="O44" s="1"/>
      <c r="P44" s="12"/>
      <c r="Q44" s="15"/>
      <c r="R44" s="15"/>
      <c r="S44" s="15"/>
      <c r="T44" s="13"/>
      <c r="U44" s="13"/>
      <c r="V44" s="13"/>
      <c r="W44" s="13"/>
      <c r="X44" s="1"/>
    </row>
    <row r="45" spans="1:25" s="3" customFormat="1" ht="15.75" x14ac:dyDescent="0.25">
      <c r="A45" s="231" t="s">
        <v>21</v>
      </c>
      <c r="B45" s="232"/>
      <c r="C45" s="233"/>
      <c r="D45" s="328">
        <f>+COUNTA(D17:E44)</f>
        <v>0</v>
      </c>
      <c r="E45" s="329"/>
      <c r="F45" s="330">
        <f>+COUNTA(F17:G44)</f>
        <v>0</v>
      </c>
      <c r="G45" s="331"/>
      <c r="H45" s="332">
        <f>SUM(H17:I44)</f>
        <v>0</v>
      </c>
      <c r="I45" s="332"/>
      <c r="J45" s="54"/>
      <c r="K45" s="333"/>
      <c r="L45" s="333"/>
      <c r="M45" s="334">
        <f>+SUM(M17:O44)</f>
        <v>0</v>
      </c>
      <c r="N45" s="335"/>
      <c r="P45" s="12"/>
      <c r="Q45" s="12"/>
      <c r="R45" s="12"/>
      <c r="S45" s="12"/>
      <c r="T45" s="13"/>
      <c r="U45" s="13"/>
      <c r="V45" s="13"/>
      <c r="W45" s="13"/>
      <c r="X45" s="1"/>
    </row>
    <row r="46" spans="1:25" s="3" customFormat="1" x14ac:dyDescent="0.25">
      <c r="A46" s="12"/>
      <c r="B46" s="12"/>
      <c r="C46" s="12"/>
      <c r="D46" s="272" t="s">
        <v>65</v>
      </c>
      <c r="E46" s="273"/>
      <c r="F46" s="274" t="s">
        <v>24</v>
      </c>
      <c r="G46" s="274"/>
      <c r="H46" s="275" t="s">
        <v>62</v>
      </c>
      <c r="I46" s="275"/>
      <c r="K46" s="12"/>
      <c r="L46" s="12"/>
      <c r="M46" s="276" t="s">
        <v>66</v>
      </c>
      <c r="N46" s="277"/>
      <c r="O46" s="12"/>
      <c r="P46" s="12"/>
      <c r="Q46" s="12"/>
      <c r="R46" s="12"/>
      <c r="S46" s="12"/>
      <c r="T46" s="13"/>
      <c r="U46" s="13"/>
      <c r="V46" s="13"/>
      <c r="W46" s="13"/>
      <c r="X46" s="1"/>
    </row>
    <row r="47" spans="1:25" s="3" customFormat="1" x14ac:dyDescent="0.25">
      <c r="K47" s="12"/>
      <c r="L47" s="12"/>
      <c r="M47" s="12"/>
      <c r="N47" s="12"/>
      <c r="O47" s="12"/>
      <c r="P47" s="12"/>
      <c r="U47" s="1"/>
      <c r="V47" s="1"/>
      <c r="W47" s="1"/>
      <c r="X47" s="1"/>
      <c r="Y47" s="1"/>
    </row>
    <row r="48" spans="1:25" s="3" customFormat="1" x14ac:dyDescent="0.25">
      <c r="A48" s="28" t="s">
        <v>23</v>
      </c>
      <c r="J48" s="28" t="s">
        <v>27</v>
      </c>
      <c r="N48" s="47"/>
      <c r="P48" s="12"/>
      <c r="U48" s="1"/>
      <c r="V48" s="1"/>
      <c r="W48" s="1"/>
      <c r="X48" s="1"/>
      <c r="Y48" s="1"/>
    </row>
    <row r="49" spans="1:25" s="3" customFormat="1" x14ac:dyDescent="0.25">
      <c r="J49" s="28" t="s">
        <v>31</v>
      </c>
      <c r="N49" s="47"/>
      <c r="P49" s="12"/>
      <c r="U49" s="1"/>
      <c r="V49" s="1"/>
      <c r="W49" s="1"/>
      <c r="X49" s="1"/>
      <c r="Y49" s="1"/>
    </row>
    <row r="50" spans="1:25" s="3" customFormat="1" x14ac:dyDescent="0.25">
      <c r="A50" s="29" t="s">
        <v>20</v>
      </c>
      <c r="B50" s="30"/>
      <c r="C50" s="29"/>
      <c r="D50" s="29"/>
      <c r="E50" s="16"/>
      <c r="H50" s="18"/>
      <c r="P50" s="12"/>
      <c r="U50" s="1"/>
      <c r="V50" s="1"/>
      <c r="W50" s="1"/>
      <c r="X50" s="1"/>
      <c r="Y50" s="1"/>
    </row>
    <row r="51" spans="1:25" s="3" customFormat="1" x14ac:dyDescent="0.25">
      <c r="A51" s="29" t="s">
        <v>7</v>
      </c>
      <c r="B51" s="30"/>
      <c r="C51" s="31">
        <f ca="1">TODAY()</f>
        <v>45320</v>
      </c>
      <c r="D51" s="29"/>
      <c r="E51" s="16"/>
      <c r="J51" s="28" t="s">
        <v>22</v>
      </c>
      <c r="P51" s="12"/>
      <c r="U51" s="1"/>
      <c r="V51" s="1"/>
      <c r="W51" s="1"/>
      <c r="X51" s="1"/>
      <c r="Y51" s="1"/>
    </row>
    <row r="52" spans="1:25" s="3" customFormat="1" x14ac:dyDescent="0.25">
      <c r="A52" s="28"/>
      <c r="B52" s="315" t="s">
        <v>47</v>
      </c>
      <c r="C52" s="315"/>
      <c r="D52" s="315"/>
      <c r="E52" s="315"/>
      <c r="F52" s="315"/>
      <c r="J52" s="315" t="s">
        <v>48</v>
      </c>
      <c r="K52" s="315"/>
      <c r="L52" s="315"/>
      <c r="M52" s="315"/>
      <c r="N52" s="315"/>
      <c r="U52" s="1"/>
      <c r="V52" s="1"/>
      <c r="W52" s="1"/>
      <c r="X52" s="1"/>
      <c r="Y52" s="1"/>
    </row>
    <row r="53" spans="1:25" s="3" customFormat="1" x14ac:dyDescent="0.25">
      <c r="B53" s="315"/>
      <c r="C53" s="315"/>
      <c r="D53" s="315"/>
      <c r="E53" s="315"/>
      <c r="F53" s="315"/>
      <c r="J53" s="315"/>
      <c r="K53" s="315"/>
      <c r="L53" s="315"/>
      <c r="M53" s="315"/>
      <c r="N53" s="315"/>
      <c r="U53" s="1"/>
      <c r="V53" s="1"/>
      <c r="W53" s="1"/>
      <c r="X53" s="1"/>
      <c r="Y53" s="1"/>
    </row>
    <row r="54" spans="1:25" s="3" customFormat="1" x14ac:dyDescent="0.25">
      <c r="B54" s="315"/>
      <c r="C54" s="315"/>
      <c r="D54" s="315"/>
      <c r="E54" s="315"/>
      <c r="F54" s="315"/>
      <c r="J54" s="315"/>
      <c r="K54" s="315"/>
      <c r="L54" s="315"/>
      <c r="M54" s="315"/>
      <c r="N54" s="315"/>
      <c r="U54" s="1"/>
      <c r="V54" s="1"/>
      <c r="W54" s="1"/>
      <c r="X54" s="1"/>
      <c r="Y54" s="1"/>
    </row>
    <row r="55" spans="1:25" s="3" customFormat="1" x14ac:dyDescent="0.25">
      <c r="B55" s="315"/>
      <c r="C55" s="315"/>
      <c r="D55" s="315"/>
      <c r="E55" s="315"/>
      <c r="F55" s="315"/>
      <c r="J55" s="315"/>
      <c r="K55" s="315"/>
      <c r="L55" s="315"/>
      <c r="M55" s="315"/>
      <c r="N55" s="315"/>
      <c r="U55" s="1"/>
      <c r="V55" s="1"/>
      <c r="W55" s="1"/>
      <c r="X55" s="1"/>
      <c r="Y55" s="1"/>
    </row>
    <row r="56" spans="1:25" s="3" customFormat="1" x14ac:dyDescent="0.25">
      <c r="B56" s="315"/>
      <c r="C56" s="315"/>
      <c r="D56" s="315"/>
      <c r="E56" s="315"/>
      <c r="F56" s="315"/>
      <c r="J56" s="315"/>
      <c r="K56" s="315"/>
      <c r="L56" s="315"/>
      <c r="M56" s="315"/>
      <c r="N56" s="315"/>
      <c r="U56" s="1"/>
      <c r="V56" s="1"/>
      <c r="W56" s="1"/>
      <c r="X56" s="1"/>
      <c r="Y56" s="1"/>
    </row>
    <row r="57" spans="1:25" s="3" customFormat="1" x14ac:dyDescent="0.25">
      <c r="B57" s="315"/>
      <c r="C57" s="315"/>
      <c r="D57" s="315"/>
      <c r="E57" s="315"/>
      <c r="F57" s="315"/>
      <c r="J57" s="315"/>
      <c r="K57" s="315"/>
      <c r="L57" s="315"/>
      <c r="M57" s="315"/>
      <c r="N57" s="315"/>
      <c r="U57" s="1"/>
      <c r="V57" s="1"/>
      <c r="W57" s="1"/>
      <c r="X57" s="1"/>
      <c r="Y57" s="1"/>
    </row>
    <row r="58" spans="1:25" s="3" customFormat="1" x14ac:dyDescent="0.25">
      <c r="A58" s="3" t="s">
        <v>46</v>
      </c>
      <c r="B58" s="23"/>
      <c r="J58" s="3" t="s">
        <v>39</v>
      </c>
      <c r="U58" s="1"/>
      <c r="V58" s="1"/>
      <c r="W58" s="1"/>
      <c r="X58" s="1"/>
      <c r="Y58" s="1"/>
    </row>
    <row r="59" spans="1:25" s="3" customFormat="1" x14ac:dyDescent="0.25">
      <c r="B59" s="23"/>
      <c r="U59" s="1"/>
      <c r="V59" s="1"/>
      <c r="W59" s="1"/>
      <c r="X59" s="1"/>
      <c r="Y59" s="1"/>
    </row>
    <row r="60" spans="1:25" s="3" customFormat="1" x14ac:dyDescent="0.25">
      <c r="B60" s="23"/>
      <c r="U60" s="1"/>
      <c r="V60" s="1"/>
      <c r="W60" s="1"/>
      <c r="X60" s="1"/>
      <c r="Y60" s="1"/>
    </row>
    <row r="61" spans="1:25" s="3" customFormat="1" x14ac:dyDescent="0.25">
      <c r="A61" s="29"/>
      <c r="B61" s="23"/>
      <c r="D61" s="29"/>
      <c r="U61" s="1"/>
      <c r="V61" s="1"/>
      <c r="W61" s="1"/>
      <c r="X61" s="1"/>
      <c r="Y61" s="1"/>
    </row>
    <row r="62" spans="1:25" s="3" customFormat="1" x14ac:dyDescent="0.25">
      <c r="U62" s="1"/>
      <c r="V62" s="1"/>
      <c r="W62" s="1"/>
      <c r="X62" s="1"/>
      <c r="Y62" s="1"/>
    </row>
    <row r="63" spans="1:25" s="3" customFormat="1" x14ac:dyDescent="0.25">
      <c r="B63" s="23"/>
      <c r="U63" s="1"/>
      <c r="V63" s="1"/>
      <c r="W63" s="1"/>
      <c r="X63" s="1"/>
      <c r="Y63" s="1"/>
    </row>
    <row r="64" spans="1:25" s="3" customFormat="1" x14ac:dyDescent="0.25">
      <c r="B64" s="23"/>
      <c r="U64" s="1"/>
      <c r="V64" s="1"/>
      <c r="W64" s="1"/>
      <c r="X64" s="1"/>
      <c r="Y64" s="1"/>
    </row>
    <row r="65" spans="2:25" s="3" customFormat="1" x14ac:dyDescent="0.25">
      <c r="B65" s="23"/>
      <c r="U65" s="1"/>
      <c r="V65" s="1"/>
      <c r="W65" s="1"/>
      <c r="X65" s="1"/>
      <c r="Y65" s="1"/>
    </row>
    <row r="66" spans="2:25" s="3" customFormat="1" x14ac:dyDescent="0.25">
      <c r="B66" s="23"/>
      <c r="U66" s="1"/>
      <c r="V66" s="1"/>
      <c r="W66" s="1"/>
      <c r="X66" s="1"/>
      <c r="Y66" s="1"/>
    </row>
    <row r="67" spans="2:25" s="3" customFormat="1" x14ac:dyDescent="0.25">
      <c r="B67" s="23"/>
      <c r="U67" s="1"/>
      <c r="V67" s="1"/>
      <c r="W67" s="1"/>
      <c r="X67" s="1"/>
      <c r="Y67" s="1"/>
    </row>
    <row r="68" spans="2:25" s="3" customFormat="1" x14ac:dyDescent="0.25">
      <c r="B68" s="23"/>
      <c r="U68" s="1"/>
      <c r="V68" s="1"/>
      <c r="W68" s="1"/>
      <c r="X68" s="1"/>
      <c r="Y68" s="1"/>
    </row>
    <row r="69" spans="2:25" s="3" customFormat="1" x14ac:dyDescent="0.25">
      <c r="B69" s="23"/>
      <c r="U69" s="1"/>
      <c r="V69" s="1"/>
      <c r="W69" s="1"/>
      <c r="X69" s="1"/>
      <c r="Y69" s="1"/>
    </row>
    <row r="70" spans="2:25" s="3" customFormat="1" x14ac:dyDescent="0.25">
      <c r="B70" s="23"/>
      <c r="U70" s="1"/>
      <c r="V70" s="1"/>
      <c r="W70" s="1"/>
      <c r="X70" s="1"/>
      <c r="Y70" s="1"/>
    </row>
    <row r="71" spans="2:25" s="3" customFormat="1" x14ac:dyDescent="0.25">
      <c r="B71" s="23"/>
      <c r="U71" s="1"/>
      <c r="V71" s="1"/>
      <c r="W71" s="1"/>
      <c r="X71" s="1"/>
      <c r="Y71" s="1"/>
    </row>
    <row r="72" spans="2:25" s="3" customFormat="1" x14ac:dyDescent="0.25">
      <c r="B72" s="23"/>
      <c r="U72" s="1"/>
      <c r="V72" s="1"/>
      <c r="W72" s="1"/>
      <c r="X72" s="1"/>
      <c r="Y72" s="1"/>
    </row>
    <row r="73" spans="2:25" s="3" customFormat="1" x14ac:dyDescent="0.25">
      <c r="B73" s="23"/>
      <c r="U73" s="1"/>
      <c r="V73" s="1"/>
      <c r="W73" s="1"/>
      <c r="X73" s="1"/>
      <c r="Y73" s="1"/>
    </row>
    <row r="74" spans="2:25" s="3" customFormat="1" x14ac:dyDescent="0.25">
      <c r="B74" s="23"/>
      <c r="U74" s="1"/>
      <c r="V74" s="1"/>
      <c r="W74" s="1"/>
      <c r="X74" s="1"/>
      <c r="Y74" s="1"/>
    </row>
    <row r="75" spans="2:25" s="3" customFormat="1" x14ac:dyDescent="0.25">
      <c r="B75" s="23"/>
      <c r="U75" s="1"/>
      <c r="V75" s="1"/>
      <c r="W75" s="1"/>
      <c r="X75" s="1"/>
      <c r="Y75" s="1"/>
    </row>
    <row r="76" spans="2:25" s="3" customFormat="1" x14ac:dyDescent="0.25">
      <c r="B76" s="23"/>
      <c r="U76" s="1"/>
      <c r="V76" s="1"/>
      <c r="W76" s="1"/>
      <c r="X76" s="1"/>
      <c r="Y76" s="1"/>
    </row>
    <row r="77" spans="2:25" s="3" customFormat="1" x14ac:dyDescent="0.25">
      <c r="B77" s="23"/>
      <c r="U77" s="1"/>
      <c r="V77" s="1"/>
      <c r="W77" s="1"/>
      <c r="X77" s="1"/>
      <c r="Y77" s="1"/>
    </row>
    <row r="78" spans="2:25" s="3" customFormat="1" x14ac:dyDescent="0.25">
      <c r="B78" s="23"/>
      <c r="U78" s="1"/>
      <c r="V78" s="1"/>
      <c r="W78" s="1"/>
      <c r="X78" s="1"/>
      <c r="Y78" s="1"/>
    </row>
    <row r="79" spans="2:25" s="3" customFormat="1" x14ac:dyDescent="0.25">
      <c r="B79" s="23"/>
      <c r="U79" s="1"/>
      <c r="V79" s="1"/>
      <c r="W79" s="1"/>
      <c r="X79" s="1"/>
      <c r="Y79" s="1"/>
    </row>
    <row r="80" spans="2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2:25" s="3" customFormat="1" x14ac:dyDescent="0.25">
      <c r="B225" s="23"/>
      <c r="U225" s="1"/>
      <c r="V225" s="1"/>
      <c r="W225" s="1"/>
      <c r="X225" s="1"/>
      <c r="Y225" s="1"/>
    </row>
    <row r="226" spans="2:25" s="3" customFormat="1" x14ac:dyDescent="0.25">
      <c r="B226" s="23"/>
      <c r="U226" s="1"/>
      <c r="V226" s="1"/>
      <c r="W226" s="1"/>
      <c r="X226" s="1"/>
      <c r="Y226" s="1"/>
    </row>
    <row r="227" spans="2:25" s="3" customFormat="1" x14ac:dyDescent="0.25">
      <c r="B227" s="23"/>
      <c r="U227" s="1"/>
      <c r="V227" s="1"/>
      <c r="W227" s="1"/>
      <c r="X227" s="1"/>
      <c r="Y227" s="1"/>
    </row>
    <row r="228" spans="2:25" s="3" customFormat="1" x14ac:dyDescent="0.25">
      <c r="B228" s="23"/>
      <c r="U228" s="1"/>
      <c r="V228" s="1"/>
      <c r="W228" s="1"/>
      <c r="X228" s="1"/>
      <c r="Y228" s="1"/>
    </row>
    <row r="229" spans="2:25" s="3" customFormat="1" x14ac:dyDescent="0.25">
      <c r="B229" s="23"/>
      <c r="U229" s="1"/>
      <c r="V229" s="1"/>
      <c r="W229" s="1"/>
      <c r="X229" s="1"/>
      <c r="Y229" s="1"/>
    </row>
    <row r="230" spans="2:25" s="3" customFormat="1" x14ac:dyDescent="0.25">
      <c r="B230" s="23"/>
      <c r="U230" s="1"/>
      <c r="V230" s="1"/>
      <c r="W230" s="1"/>
      <c r="X230" s="1"/>
      <c r="Y230" s="1"/>
    </row>
    <row r="231" spans="2:25" s="3" customFormat="1" x14ac:dyDescent="0.25">
      <c r="B231" s="23"/>
      <c r="U231" s="1"/>
      <c r="V231" s="1"/>
      <c r="W231" s="1"/>
      <c r="X231" s="1"/>
      <c r="Y231" s="1"/>
    </row>
    <row r="232" spans="2:25" s="3" customFormat="1" x14ac:dyDescent="0.25">
      <c r="B232" s="23"/>
      <c r="U232" s="1"/>
      <c r="V232" s="1"/>
      <c r="W232" s="1"/>
      <c r="X232" s="1"/>
      <c r="Y232" s="1"/>
    </row>
    <row r="233" spans="2:25" s="3" customFormat="1" x14ac:dyDescent="0.25">
      <c r="B233" s="23"/>
      <c r="U233" s="1"/>
      <c r="V233" s="1"/>
      <c r="W233" s="1"/>
      <c r="X233" s="1"/>
      <c r="Y233" s="1"/>
    </row>
    <row r="234" spans="2:25" s="3" customFormat="1" x14ac:dyDescent="0.25">
      <c r="B234" s="23"/>
      <c r="U234" s="1"/>
      <c r="V234" s="1"/>
      <c r="W234" s="1"/>
      <c r="X234" s="1"/>
      <c r="Y234" s="1"/>
    </row>
    <row r="235" spans="2:25" s="3" customFormat="1" x14ac:dyDescent="0.25">
      <c r="B235" s="23"/>
      <c r="K235" s="6"/>
      <c r="L235" s="6"/>
      <c r="M235" s="6"/>
      <c r="N235" s="6"/>
      <c r="U235" s="1"/>
      <c r="V235" s="1"/>
      <c r="W235" s="1"/>
      <c r="X235" s="1"/>
      <c r="Y235" s="1"/>
    </row>
    <row r="236" spans="2:25" s="3" customFormat="1" x14ac:dyDescent="0.25">
      <c r="B236" s="23"/>
      <c r="K236" s="6"/>
      <c r="L236" s="6"/>
      <c r="M236" s="6"/>
      <c r="N236" s="6"/>
      <c r="U236" s="1"/>
      <c r="V236" s="1"/>
      <c r="W236" s="1"/>
      <c r="X236" s="1"/>
      <c r="Y236" s="1"/>
    </row>
    <row r="237" spans="2:25" s="3" customFormat="1" x14ac:dyDescent="0.25">
      <c r="B237" s="23"/>
      <c r="K237" s="6"/>
      <c r="L237" s="6"/>
      <c r="M237" s="6"/>
      <c r="N237" s="6"/>
      <c r="U237" s="1"/>
      <c r="V237" s="1"/>
      <c r="W237" s="1"/>
      <c r="X237" s="1"/>
      <c r="Y237" s="1"/>
    </row>
    <row r="238" spans="2:25" s="3" customFormat="1" x14ac:dyDescent="0.25">
      <c r="B238" s="23"/>
      <c r="J238" s="6"/>
      <c r="K238" s="6"/>
      <c r="L238" s="6"/>
      <c r="M238" s="6"/>
      <c r="N238" s="6"/>
      <c r="U238" s="1"/>
      <c r="V238" s="1"/>
      <c r="W238" s="1"/>
      <c r="X238" s="1"/>
      <c r="Y238" s="1"/>
    </row>
    <row r="239" spans="2:25" s="3" customFormat="1" x14ac:dyDescent="0.25">
      <c r="B239" s="23"/>
      <c r="J239" s="6"/>
      <c r="K239" s="6"/>
      <c r="L239" s="6"/>
      <c r="M239" s="6"/>
      <c r="N239" s="6"/>
      <c r="U239" s="1"/>
      <c r="V239" s="1"/>
      <c r="W239" s="1"/>
      <c r="X239" s="1"/>
      <c r="Y239" s="1"/>
    </row>
    <row r="240" spans="2:25" s="3" customFormat="1" x14ac:dyDescent="0.25">
      <c r="B240" s="23"/>
      <c r="J240" s="6"/>
      <c r="K240" s="6"/>
      <c r="L240" s="6"/>
      <c r="M240" s="6"/>
      <c r="N240" s="6"/>
      <c r="U240" s="1"/>
      <c r="V240" s="1"/>
      <c r="W240" s="1"/>
      <c r="X240" s="1"/>
      <c r="Y240" s="1"/>
    </row>
    <row r="241" spans="1:25" s="3" customFormat="1" x14ac:dyDescent="0.25">
      <c r="B241" s="23"/>
      <c r="J241" s="6"/>
      <c r="K241" s="6"/>
      <c r="L241" s="6"/>
      <c r="M241" s="6"/>
      <c r="N241" s="6"/>
      <c r="U241" s="1"/>
      <c r="V241" s="1"/>
      <c r="W241" s="1"/>
      <c r="X241" s="1"/>
      <c r="Y241" s="1"/>
    </row>
    <row r="242" spans="1:25" s="3" customFormat="1" x14ac:dyDescent="0.25">
      <c r="B242" s="23"/>
      <c r="J242" s="6"/>
      <c r="K242" s="6"/>
      <c r="L242" s="6"/>
      <c r="M242" s="6"/>
      <c r="N242" s="6"/>
      <c r="O242" s="6"/>
      <c r="U242" s="1"/>
      <c r="V242" s="1"/>
      <c r="W242" s="1"/>
      <c r="X242" s="1"/>
      <c r="Y242" s="1"/>
    </row>
    <row r="243" spans="1:25" s="3" customFormat="1" x14ac:dyDescent="0.25">
      <c r="B243" s="23"/>
      <c r="J243" s="6"/>
      <c r="K243" s="6"/>
      <c r="L243" s="6"/>
      <c r="M243" s="6"/>
      <c r="N243" s="6"/>
      <c r="O243" s="6"/>
      <c r="U243" s="1"/>
      <c r="V243" s="1"/>
      <c r="W243" s="1"/>
      <c r="X243" s="1"/>
      <c r="Y243" s="1"/>
    </row>
    <row r="244" spans="1:25" s="3" customFormat="1" x14ac:dyDescent="0.25">
      <c r="A244" s="6"/>
      <c r="B244" s="25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Q244" s="6"/>
      <c r="R244" s="6"/>
      <c r="S244" s="6"/>
      <c r="U244" s="1"/>
      <c r="V244" s="1"/>
      <c r="W244" s="1"/>
      <c r="X244" s="1"/>
      <c r="Y244" s="1"/>
    </row>
  </sheetData>
  <sheetProtection sheet="1" objects="1" scenarios="1"/>
  <mergeCells count="169">
    <mergeCell ref="M42:N42"/>
    <mergeCell ref="F44:G44"/>
    <mergeCell ref="H44:I44"/>
    <mergeCell ref="M44:N44"/>
    <mergeCell ref="D27:E27"/>
    <mergeCell ref="F27:G27"/>
    <mergeCell ref="H27:I27"/>
    <mergeCell ref="K27:L27"/>
    <mergeCell ref="M27:N27"/>
    <mergeCell ref="D28:E28"/>
    <mergeCell ref="F28:G28"/>
    <mergeCell ref="H28:I28"/>
    <mergeCell ref="K28:L28"/>
    <mergeCell ref="M28:N28"/>
    <mergeCell ref="D32:E32"/>
    <mergeCell ref="F32:G32"/>
    <mergeCell ref="H32:I32"/>
    <mergeCell ref="K32:L32"/>
    <mergeCell ref="M32:N32"/>
    <mergeCell ref="D31:E31"/>
    <mergeCell ref="F31:G31"/>
    <mergeCell ref="H31:I31"/>
    <mergeCell ref="K31:L31"/>
    <mergeCell ref="M31:N31"/>
    <mergeCell ref="D2:K4"/>
    <mergeCell ref="L2:N4"/>
    <mergeCell ref="H21:I21"/>
    <mergeCell ref="F20:G20"/>
    <mergeCell ref="D20:E20"/>
    <mergeCell ref="D21:E21"/>
    <mergeCell ref="K22:L22"/>
    <mergeCell ref="R3:T3"/>
    <mergeCell ref="B5:K5"/>
    <mergeCell ref="L5:N5"/>
    <mergeCell ref="R5:T5"/>
    <mergeCell ref="K13:L13"/>
    <mergeCell ref="F15:N15"/>
    <mergeCell ref="A16:C16"/>
    <mergeCell ref="D16:E16"/>
    <mergeCell ref="F16:G16"/>
    <mergeCell ref="H16:I16"/>
    <mergeCell ref="K16:L16"/>
    <mergeCell ref="M16:N16"/>
    <mergeCell ref="C8:F8"/>
    <mergeCell ref="K8:N8"/>
    <mergeCell ref="C10:F10"/>
    <mergeCell ref="K10:N10"/>
    <mergeCell ref="C12:F12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K12:L12"/>
    <mergeCell ref="D25:E25"/>
    <mergeCell ref="F25:G25"/>
    <mergeCell ref="H25:I25"/>
    <mergeCell ref="K25:L25"/>
    <mergeCell ref="M25:N25"/>
    <mergeCell ref="D24:E24"/>
    <mergeCell ref="F24:G24"/>
    <mergeCell ref="H24:I24"/>
    <mergeCell ref="K24:L24"/>
    <mergeCell ref="M24:N24"/>
    <mergeCell ref="M17:N17"/>
    <mergeCell ref="M18:N18"/>
    <mergeCell ref="M19:N19"/>
    <mergeCell ref="M20:N20"/>
    <mergeCell ref="M21:N21"/>
    <mergeCell ref="M22:N22"/>
    <mergeCell ref="M23:N23"/>
    <mergeCell ref="D26:E26"/>
    <mergeCell ref="F26:G26"/>
    <mergeCell ref="H26:I26"/>
    <mergeCell ref="K26:L26"/>
    <mergeCell ref="M26:N26"/>
    <mergeCell ref="D30:E30"/>
    <mergeCell ref="F30:G30"/>
    <mergeCell ref="H30:I30"/>
    <mergeCell ref="K30:L30"/>
    <mergeCell ref="M30:N30"/>
    <mergeCell ref="D29:E29"/>
    <mergeCell ref="F29:G29"/>
    <mergeCell ref="H29:I29"/>
    <mergeCell ref="K29:L29"/>
    <mergeCell ref="M29:N29"/>
    <mergeCell ref="D34:E34"/>
    <mergeCell ref="F34:G34"/>
    <mergeCell ref="H34:I34"/>
    <mergeCell ref="K34:L34"/>
    <mergeCell ref="M34:N34"/>
    <mergeCell ref="A35:C35"/>
    <mergeCell ref="D33:E33"/>
    <mergeCell ref="F33:G33"/>
    <mergeCell ref="H33:I33"/>
    <mergeCell ref="K33:L33"/>
    <mergeCell ref="M33:N33"/>
    <mergeCell ref="D36:E36"/>
    <mergeCell ref="F36:G36"/>
    <mergeCell ref="H36:I36"/>
    <mergeCell ref="K36:L36"/>
    <mergeCell ref="M36:N36"/>
    <mergeCell ref="A36:C36"/>
    <mergeCell ref="A37:C37"/>
    <mergeCell ref="D35:E35"/>
    <mergeCell ref="F35:G35"/>
    <mergeCell ref="H35:I35"/>
    <mergeCell ref="K35:L35"/>
    <mergeCell ref="M35:N35"/>
    <mergeCell ref="K38:L38"/>
    <mergeCell ref="D39:E39"/>
    <mergeCell ref="K39:L39"/>
    <mergeCell ref="F40:G40"/>
    <mergeCell ref="H40:I40"/>
    <mergeCell ref="M38:N38"/>
    <mergeCell ref="M39:N39"/>
    <mergeCell ref="M40:N40"/>
    <mergeCell ref="M41:N41"/>
    <mergeCell ref="D44:E44"/>
    <mergeCell ref="K44:L44"/>
    <mergeCell ref="D42:E42"/>
    <mergeCell ref="K42:L42"/>
    <mergeCell ref="D43:E43"/>
    <mergeCell ref="K43:L43"/>
    <mergeCell ref="F42:G42"/>
    <mergeCell ref="H42:I42"/>
    <mergeCell ref="A42:C42"/>
    <mergeCell ref="A43:C43"/>
    <mergeCell ref="A44:C44"/>
    <mergeCell ref="D46:E46"/>
    <mergeCell ref="F46:G46"/>
    <mergeCell ref="H46:I46"/>
    <mergeCell ref="M46:N46"/>
    <mergeCell ref="B52:F57"/>
    <mergeCell ref="J52:N57"/>
    <mergeCell ref="A45:C45"/>
    <mergeCell ref="D45:E45"/>
    <mergeCell ref="F45:G45"/>
    <mergeCell ref="H45:I45"/>
    <mergeCell ref="K45:L45"/>
    <mergeCell ref="M45:N45"/>
    <mergeCell ref="M43:N43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8:C38"/>
    <mergeCell ref="A39:C39"/>
    <mergeCell ref="A40:C40"/>
    <mergeCell ref="A41:C41"/>
    <mergeCell ref="D37:E37"/>
    <mergeCell ref="F37:G37"/>
    <mergeCell ref="H37:I37"/>
    <mergeCell ref="K37:L37"/>
    <mergeCell ref="M37:N37"/>
    <mergeCell ref="D40:E40"/>
    <mergeCell ref="K40:L40"/>
    <mergeCell ref="D41:E41"/>
    <mergeCell ref="K41:L41"/>
    <mergeCell ref="D38:E38"/>
  </mergeCells>
  <conditionalFormatting sqref="D24:D45">
    <cfRule type="expression" dxfId="19" priority="3">
      <formula>#REF!="Non"</formula>
    </cfRule>
    <cfRule type="expression" dxfId="18" priority="4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2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3768890-5D0A-4A63-8FE1-50E0D7523D95}">
            <xm:f>'Niveau 1 Oct'!#REF!="Non"</xm:f>
            <x14:dxf>
              <fill>
                <patternFill>
                  <bgColor theme="1"/>
                </patternFill>
              </fill>
            </x14:dxf>
          </x14:cfRule>
          <x14:cfRule type="expression" priority="2" id="{267ABB9F-FF96-4016-8FE0-B12B7339CC29}">
            <xm:f>'Niveau 1 Oct'!#REF!="Oui"</xm:f>
            <x14:dxf>
              <fill>
                <patternFill>
                  <bgColor theme="1"/>
                </patternFill>
              </fill>
            </x14:dxf>
          </x14:cfRule>
          <xm:sqref>D17:D23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  <pageSetUpPr fitToPage="1"/>
  </sheetPr>
  <dimension ref="A1:BD244"/>
  <sheetViews>
    <sheetView topLeftCell="A4" zoomScale="80" zoomScaleNormal="80" workbookViewId="0">
      <selection activeCell="T39" sqref="T39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1.7109375" style="6" customWidth="1"/>
    <col min="4" max="4" width="8.42578125" style="6" customWidth="1"/>
    <col min="5" max="5" width="6.42578125" style="6" customWidth="1"/>
    <col min="6" max="6" width="5.42578125" style="6" customWidth="1"/>
    <col min="7" max="7" width="8" style="6" customWidth="1"/>
    <col min="8" max="8" width="5.85546875" style="6" customWidth="1"/>
    <col min="9" max="9" width="10" style="6" customWidth="1"/>
    <col min="10" max="10" width="14.42578125" style="6" customWidth="1"/>
    <col min="11" max="12" width="8.140625" style="6" customWidth="1"/>
    <col min="13" max="13" width="8" style="6" customWidth="1"/>
    <col min="14" max="14" width="10.42578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69</v>
      </c>
      <c r="E2" s="195"/>
      <c r="F2" s="195"/>
      <c r="G2" s="195"/>
      <c r="H2" s="195"/>
      <c r="I2" s="195"/>
      <c r="J2" s="195"/>
      <c r="K2" s="195"/>
      <c r="L2" s="251">
        <f>'Niveau 1 Nov'!L2:N4</f>
        <v>45597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6"/>
      <c r="Q3" s="4"/>
      <c r="R3" s="220"/>
      <c r="S3" s="220"/>
      <c r="T3" s="220"/>
      <c r="U3" s="36"/>
      <c r="V3" s="36"/>
      <c r="W3" s="36"/>
      <c r="X3" s="36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6"/>
      <c r="Q4" s="4"/>
      <c r="R4" s="36"/>
      <c r="S4" s="36"/>
      <c r="T4" s="36"/>
      <c r="U4" s="36"/>
      <c r="V4" s="36"/>
      <c r="W4" s="36"/>
      <c r="X4" s="36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f>+'Niveau 1 Nov'!L5:N5</f>
        <v>45594</v>
      </c>
      <c r="M5" s="222"/>
      <c r="N5" s="222"/>
      <c r="O5" s="3"/>
      <c r="P5" s="36"/>
      <c r="Q5" s="5"/>
      <c r="R5" s="220"/>
      <c r="S5" s="220"/>
      <c r="T5" s="220"/>
      <c r="U5" s="36"/>
      <c r="V5" s="36"/>
      <c r="W5" s="36"/>
      <c r="X5" s="36"/>
      <c r="Y5" s="5"/>
    </row>
    <row r="6" spans="1:25" ht="19.5" customHeight="1" x14ac:dyDescent="0.35">
      <c r="A6" s="46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36"/>
      <c r="V6" s="36"/>
      <c r="W6" s="36"/>
      <c r="X6" s="36"/>
      <c r="Y6" s="5"/>
    </row>
    <row r="7" spans="1:25" ht="19.5" customHeight="1" thickBot="1" x14ac:dyDescent="0.4">
      <c r="A7" s="48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38"/>
      <c r="V7" s="38"/>
      <c r="W7" s="38"/>
      <c r="X7" s="38"/>
      <c r="Y7" s="5"/>
    </row>
    <row r="8" spans="1:25" ht="18" customHeight="1" thickBot="1" x14ac:dyDescent="0.3">
      <c r="A8" s="8" t="s">
        <v>2</v>
      </c>
      <c r="B8" s="24"/>
      <c r="C8" s="324"/>
      <c r="D8" s="325"/>
      <c r="E8" s="325"/>
      <c r="F8" s="326"/>
      <c r="G8" s="9"/>
      <c r="H8" s="8" t="s">
        <v>26</v>
      </c>
      <c r="I8" s="8"/>
      <c r="J8" s="8"/>
      <c r="K8" s="324"/>
      <c r="L8" s="325"/>
      <c r="M8" s="325"/>
      <c r="N8" s="326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324"/>
      <c r="D10" s="325"/>
      <c r="E10" s="325"/>
      <c r="F10" s="326"/>
      <c r="G10" s="9"/>
      <c r="H10" s="8" t="s">
        <v>25</v>
      </c>
      <c r="I10" s="8"/>
      <c r="J10" s="8"/>
      <c r="K10" s="324"/>
      <c r="L10" s="325"/>
      <c r="M10" s="325"/>
      <c r="N10" s="326"/>
      <c r="O10" s="26"/>
      <c r="P10" s="26"/>
      <c r="Q10" s="26"/>
      <c r="R10" s="26"/>
      <c r="S10" s="26"/>
      <c r="T10" s="26"/>
      <c r="U10" s="11"/>
    </row>
    <row r="11" spans="1:25" ht="18" customHeight="1" thickBot="1" x14ac:dyDescent="0.35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8" customHeight="1" thickBot="1" x14ac:dyDescent="0.35">
      <c r="A12" s="8" t="s">
        <v>49</v>
      </c>
      <c r="B12" s="24"/>
      <c r="C12" s="324" t="s">
        <v>50</v>
      </c>
      <c r="D12" s="325"/>
      <c r="E12" s="325"/>
      <c r="F12" s="326"/>
      <c r="G12" s="24"/>
      <c r="H12" s="8" t="s">
        <v>52</v>
      </c>
      <c r="I12" s="8"/>
      <c r="J12" s="24"/>
      <c r="K12" s="346"/>
      <c r="L12" s="347"/>
      <c r="M12" s="8" t="s">
        <v>59</v>
      </c>
      <c r="N12" s="24"/>
      <c r="O12" s="26"/>
      <c r="P12" s="26"/>
      <c r="Q12" s="26"/>
      <c r="R12" s="26"/>
      <c r="S12" s="26"/>
      <c r="T12" s="26"/>
      <c r="U12" s="11"/>
    </row>
    <row r="13" spans="1:25" ht="18" customHeight="1" thickBot="1" x14ac:dyDescent="0.35">
      <c r="A13" s="8"/>
      <c r="B13" s="24"/>
      <c r="C13" s="24"/>
      <c r="D13" s="24"/>
      <c r="E13" s="24"/>
      <c r="F13" s="24"/>
      <c r="G13" s="24"/>
      <c r="H13" s="8" t="s">
        <v>51</v>
      </c>
      <c r="I13" s="8"/>
      <c r="J13" s="24"/>
      <c r="K13" s="344"/>
      <c r="L13" s="345"/>
      <c r="M13" s="32" t="s">
        <v>60</v>
      </c>
      <c r="N13" s="24"/>
      <c r="O13" s="26"/>
      <c r="P13" s="26"/>
      <c r="Q13" s="26"/>
      <c r="R13" s="26"/>
      <c r="S13" s="26"/>
      <c r="T13" s="26"/>
      <c r="U13" s="11"/>
    </row>
    <row r="14" spans="1:25" ht="13.5" customHeight="1" thickBot="1" x14ac:dyDescent="0.35">
      <c r="A14" s="8" t="s">
        <v>70</v>
      </c>
      <c r="B14" s="24"/>
      <c r="C14" s="24"/>
      <c r="D14" s="24"/>
      <c r="E14" s="24"/>
      <c r="F14" s="24"/>
      <c r="G14" s="9"/>
      <c r="H14" s="8"/>
      <c r="I14" s="8"/>
      <c r="J14" s="8"/>
      <c r="K14" s="8"/>
      <c r="L14" s="8"/>
      <c r="M14" s="8"/>
      <c r="N14" s="8"/>
      <c r="O14" s="26"/>
      <c r="P14" s="26"/>
      <c r="Q14" s="26"/>
      <c r="R14" s="26"/>
      <c r="S14" s="26"/>
      <c r="T14" s="26"/>
      <c r="U14" s="11"/>
    </row>
    <row r="15" spans="1:25" ht="22.5" customHeight="1" thickBot="1" x14ac:dyDescent="0.35">
      <c r="A15" s="8"/>
      <c r="B15" s="24"/>
      <c r="C15" s="10"/>
      <c r="D15" s="10"/>
      <c r="E15" s="10"/>
      <c r="F15" s="262" t="s">
        <v>28</v>
      </c>
      <c r="G15" s="263"/>
      <c r="H15" s="263"/>
      <c r="I15" s="263"/>
      <c r="J15" s="263"/>
      <c r="K15" s="263"/>
      <c r="L15" s="263"/>
      <c r="M15" s="263"/>
      <c r="N15" s="264"/>
      <c r="O15" s="26"/>
      <c r="P15" s="26"/>
      <c r="Q15" s="26"/>
      <c r="R15" s="26"/>
      <c r="S15" s="26"/>
      <c r="T15" s="26"/>
      <c r="U15" s="11"/>
    </row>
    <row r="16" spans="1:25" s="19" customFormat="1" ht="54.75" customHeight="1" x14ac:dyDescent="0.25">
      <c r="A16" s="200" t="s">
        <v>1</v>
      </c>
      <c r="B16" s="201"/>
      <c r="C16" s="202"/>
      <c r="D16" s="203" t="s">
        <v>58</v>
      </c>
      <c r="E16" s="204"/>
      <c r="F16" s="265" t="s">
        <v>29</v>
      </c>
      <c r="G16" s="265"/>
      <c r="H16" s="266" t="s">
        <v>61</v>
      </c>
      <c r="I16" s="267"/>
      <c r="J16" s="37" t="s">
        <v>63</v>
      </c>
      <c r="K16" s="268" t="s">
        <v>64</v>
      </c>
      <c r="L16" s="269"/>
      <c r="M16" s="266" t="s">
        <v>30</v>
      </c>
      <c r="N16" s="267"/>
      <c r="O16" s="26"/>
      <c r="P16" s="26"/>
      <c r="Q16" s="26"/>
      <c r="R16" s="26"/>
      <c r="S16" s="26"/>
      <c r="T16" s="26"/>
      <c r="U16" s="20"/>
      <c r="V16" s="20"/>
      <c r="W16" s="20"/>
      <c r="X16" s="21"/>
    </row>
    <row r="17" spans="1:24" s="3" customFormat="1" x14ac:dyDescent="0.25">
      <c r="A17" s="191">
        <v>45565</v>
      </c>
      <c r="B17" s="286"/>
      <c r="C17" s="287"/>
      <c r="D17" s="68"/>
      <c r="E17" s="69"/>
      <c r="F17" s="55"/>
      <c r="G17" s="57"/>
      <c r="H17" s="55"/>
      <c r="I17" s="57"/>
      <c r="J17" s="57"/>
      <c r="K17" s="56"/>
      <c r="L17" s="57"/>
      <c r="M17" s="309">
        <f t="shared" ref="M17:M23" si="0">+K17-J17</f>
        <v>0</v>
      </c>
      <c r="N17" s="310"/>
      <c r="P17" s="12"/>
      <c r="Q17" s="15"/>
      <c r="R17" s="15"/>
      <c r="S17" s="15"/>
      <c r="T17" s="13"/>
      <c r="U17" s="13"/>
      <c r="V17" s="13"/>
      <c r="W17" s="13"/>
      <c r="X17" s="1"/>
    </row>
    <row r="18" spans="1:24" s="3" customFormat="1" x14ac:dyDescent="0.25">
      <c r="A18" s="191">
        <v>45566</v>
      </c>
      <c r="B18" s="286"/>
      <c r="C18" s="287"/>
      <c r="D18" s="68"/>
      <c r="E18" s="69"/>
      <c r="F18" s="55"/>
      <c r="G18" s="57"/>
      <c r="H18" s="55"/>
      <c r="I18" s="57"/>
      <c r="J18" s="57"/>
      <c r="K18" s="56"/>
      <c r="L18" s="57"/>
      <c r="M18" s="309">
        <f t="shared" si="0"/>
        <v>0</v>
      </c>
      <c r="N18" s="310"/>
      <c r="P18" s="12"/>
      <c r="Q18" s="15"/>
      <c r="R18" s="15"/>
      <c r="S18" s="15"/>
      <c r="T18" s="13"/>
      <c r="U18" s="13"/>
      <c r="V18" s="13"/>
      <c r="W18" s="13"/>
      <c r="X18" s="1"/>
    </row>
    <row r="19" spans="1:24" s="3" customFormat="1" x14ac:dyDescent="0.25">
      <c r="A19" s="191">
        <v>45567</v>
      </c>
      <c r="B19" s="286"/>
      <c r="C19" s="287"/>
      <c r="D19" s="68"/>
      <c r="E19" s="69"/>
      <c r="F19" s="55"/>
      <c r="G19" s="57"/>
      <c r="H19" s="55"/>
      <c r="I19" s="57"/>
      <c r="J19" s="57"/>
      <c r="K19" s="56"/>
      <c r="L19" s="57"/>
      <c r="M19" s="309">
        <f t="shared" si="0"/>
        <v>0</v>
      </c>
      <c r="N19" s="310"/>
      <c r="P19" s="12"/>
      <c r="Q19" s="15"/>
      <c r="R19" s="15"/>
      <c r="S19" s="15"/>
      <c r="T19" s="13"/>
      <c r="U19" s="13"/>
      <c r="V19" s="13"/>
      <c r="W19" s="13"/>
      <c r="X19" s="1"/>
    </row>
    <row r="20" spans="1:24" s="3" customFormat="1" x14ac:dyDescent="0.25">
      <c r="A20" s="191">
        <v>45568</v>
      </c>
      <c r="B20" s="286"/>
      <c r="C20" s="287"/>
      <c r="D20" s="68"/>
      <c r="E20" s="69"/>
      <c r="F20" s="55"/>
      <c r="G20" s="57"/>
      <c r="H20" s="55"/>
      <c r="I20" s="57"/>
      <c r="J20" s="57"/>
      <c r="K20" s="56"/>
      <c r="L20" s="57"/>
      <c r="M20" s="309">
        <f t="shared" si="0"/>
        <v>0</v>
      </c>
      <c r="N20" s="310"/>
      <c r="P20" s="12"/>
      <c r="Q20" s="15"/>
      <c r="R20" s="15"/>
      <c r="S20" s="15"/>
      <c r="T20" s="13"/>
      <c r="U20" s="13"/>
      <c r="V20" s="13"/>
      <c r="W20" s="13"/>
      <c r="X20" s="1"/>
    </row>
    <row r="21" spans="1:24" s="3" customFormat="1" x14ac:dyDescent="0.25">
      <c r="A21" s="191">
        <v>45569</v>
      </c>
      <c r="B21" s="286"/>
      <c r="C21" s="287"/>
      <c r="D21" s="68"/>
      <c r="E21" s="69"/>
      <c r="F21" s="55"/>
      <c r="G21" s="57"/>
      <c r="H21" s="55"/>
      <c r="I21" s="57"/>
      <c r="J21" s="57"/>
      <c r="K21" s="56"/>
      <c r="L21" s="57"/>
      <c r="M21" s="309">
        <f t="shared" si="0"/>
        <v>0</v>
      </c>
      <c r="N21" s="310"/>
      <c r="P21" s="12"/>
      <c r="Q21" s="15"/>
      <c r="R21" s="15"/>
      <c r="S21" s="15"/>
      <c r="T21" s="13"/>
      <c r="U21" s="13"/>
      <c r="V21" s="13"/>
      <c r="W21" s="13"/>
      <c r="X21" s="1"/>
    </row>
    <row r="22" spans="1:24" s="3" customFormat="1" x14ac:dyDescent="0.25">
      <c r="A22" s="191">
        <v>45570</v>
      </c>
      <c r="B22" s="286"/>
      <c r="C22" s="287"/>
      <c r="D22" s="68"/>
      <c r="E22" s="69"/>
      <c r="F22" s="55"/>
      <c r="G22" s="57"/>
      <c r="H22" s="55"/>
      <c r="I22" s="57"/>
      <c r="J22" s="57"/>
      <c r="K22" s="56"/>
      <c r="L22" s="57"/>
      <c r="M22" s="309">
        <f t="shared" si="0"/>
        <v>0</v>
      </c>
      <c r="N22" s="310"/>
      <c r="P22" s="12"/>
      <c r="Q22" s="15"/>
      <c r="R22" s="15"/>
      <c r="S22" s="15"/>
      <c r="T22" s="13"/>
      <c r="U22" s="13"/>
      <c r="V22" s="13"/>
      <c r="W22" s="13"/>
      <c r="X22" s="1"/>
    </row>
    <row r="23" spans="1:24" s="3" customFormat="1" x14ac:dyDescent="0.25">
      <c r="A23" s="191">
        <v>45571</v>
      </c>
      <c r="B23" s="286"/>
      <c r="C23" s="287"/>
      <c r="D23" s="68"/>
      <c r="E23" s="69"/>
      <c r="F23" s="55"/>
      <c r="G23" s="57"/>
      <c r="H23" s="70"/>
      <c r="I23" s="72"/>
      <c r="J23" s="72"/>
      <c r="K23" s="71"/>
      <c r="L23" s="72"/>
      <c r="M23" s="309">
        <f t="shared" si="0"/>
        <v>0</v>
      </c>
      <c r="N23" s="310"/>
      <c r="P23" s="12"/>
      <c r="Q23" s="15"/>
      <c r="R23" s="15"/>
      <c r="S23" s="15"/>
      <c r="T23" s="13"/>
      <c r="U23" s="13"/>
      <c r="V23" s="13"/>
      <c r="W23" s="13"/>
      <c r="X23" s="1"/>
    </row>
    <row r="24" spans="1:24" s="3" customFormat="1" ht="15.75" x14ac:dyDescent="0.25">
      <c r="A24" s="191">
        <v>45572</v>
      </c>
      <c r="B24" s="286"/>
      <c r="C24" s="287"/>
      <c r="D24" s="336"/>
      <c r="E24" s="336"/>
      <c r="F24" s="337"/>
      <c r="G24" s="338"/>
      <c r="H24" s="339"/>
      <c r="I24" s="340"/>
      <c r="J24" s="49"/>
      <c r="K24" s="341"/>
      <c r="L24" s="341"/>
      <c r="M24" s="309">
        <f t="shared" ref="M24" si="1">+K24-J24</f>
        <v>0</v>
      </c>
      <c r="N24" s="310"/>
      <c r="O24" s="26"/>
      <c r="P24" s="26"/>
      <c r="Q24" s="26"/>
      <c r="R24" s="26"/>
      <c r="S24" s="26"/>
      <c r="T24" s="26"/>
      <c r="U24" s="13"/>
      <c r="V24" s="13"/>
      <c r="W24" s="13"/>
      <c r="X24" s="1"/>
    </row>
    <row r="25" spans="1:24" s="3" customFormat="1" ht="15.75" x14ac:dyDescent="0.25">
      <c r="A25" s="191">
        <v>45573</v>
      </c>
      <c r="B25" s="286"/>
      <c r="C25" s="287"/>
      <c r="D25" s="336"/>
      <c r="E25" s="336"/>
      <c r="F25" s="337"/>
      <c r="G25" s="338"/>
      <c r="H25" s="339"/>
      <c r="I25" s="340"/>
      <c r="J25" s="49"/>
      <c r="K25" s="341"/>
      <c r="L25" s="341"/>
      <c r="M25" s="309">
        <f t="shared" ref="M25:M44" si="2">+K25-J25</f>
        <v>0</v>
      </c>
      <c r="N25" s="310"/>
      <c r="P25" s="26"/>
      <c r="Q25" s="26"/>
      <c r="R25" s="26"/>
      <c r="S25" s="26"/>
      <c r="T25" s="26"/>
      <c r="U25" s="13"/>
      <c r="V25" s="13"/>
      <c r="W25" s="13"/>
      <c r="X25" s="1"/>
    </row>
    <row r="26" spans="1:24" s="3" customFormat="1" ht="15.75" x14ac:dyDescent="0.25">
      <c r="A26" s="191">
        <v>45574</v>
      </c>
      <c r="B26" s="286"/>
      <c r="C26" s="287"/>
      <c r="D26" s="336"/>
      <c r="E26" s="336"/>
      <c r="F26" s="337"/>
      <c r="G26" s="338"/>
      <c r="H26" s="339"/>
      <c r="I26" s="340"/>
      <c r="J26" s="49"/>
      <c r="K26" s="341"/>
      <c r="L26" s="341"/>
      <c r="M26" s="309">
        <f t="shared" si="2"/>
        <v>0</v>
      </c>
      <c r="N26" s="310"/>
      <c r="P26" s="26"/>
      <c r="Q26" s="26"/>
      <c r="R26" s="26"/>
      <c r="S26" s="26"/>
      <c r="T26" s="26"/>
      <c r="U26" s="26"/>
      <c r="V26" s="13"/>
      <c r="W26" s="13"/>
      <c r="X26" s="1"/>
    </row>
    <row r="27" spans="1:24" s="3" customFormat="1" x14ac:dyDescent="0.25">
      <c r="A27" s="191">
        <v>45575</v>
      </c>
      <c r="B27" s="286"/>
      <c r="C27" s="287"/>
      <c r="D27" s="336"/>
      <c r="E27" s="336"/>
      <c r="F27" s="337"/>
      <c r="G27" s="338"/>
      <c r="H27" s="339"/>
      <c r="I27" s="340"/>
      <c r="J27" s="49"/>
      <c r="K27" s="341"/>
      <c r="L27" s="341"/>
      <c r="M27" s="309">
        <f t="shared" si="2"/>
        <v>0</v>
      </c>
      <c r="N27" s="310"/>
      <c r="P27" s="12"/>
      <c r="Q27" s="12"/>
      <c r="R27" s="12"/>
      <c r="S27" s="12"/>
      <c r="T27" s="13"/>
      <c r="U27" s="13"/>
      <c r="V27" s="13"/>
      <c r="W27" s="13"/>
      <c r="X27" s="1"/>
    </row>
    <row r="28" spans="1:24" s="3" customFormat="1" x14ac:dyDescent="0.25">
      <c r="A28" s="191">
        <v>45576</v>
      </c>
      <c r="B28" s="286"/>
      <c r="C28" s="287"/>
      <c r="D28" s="336"/>
      <c r="E28" s="336"/>
      <c r="F28" s="337"/>
      <c r="G28" s="338"/>
      <c r="H28" s="339"/>
      <c r="I28" s="340"/>
      <c r="J28" s="49"/>
      <c r="K28" s="341"/>
      <c r="L28" s="341"/>
      <c r="M28" s="309">
        <f t="shared" si="2"/>
        <v>0</v>
      </c>
      <c r="N28" s="310"/>
      <c r="P28" s="12"/>
      <c r="Q28" s="12"/>
      <c r="R28" s="12"/>
      <c r="S28" s="12"/>
      <c r="T28" s="13"/>
      <c r="U28" s="13"/>
      <c r="V28" s="13"/>
      <c r="W28" s="13"/>
      <c r="X28" s="1"/>
    </row>
    <row r="29" spans="1:24" s="3" customFormat="1" x14ac:dyDescent="0.25">
      <c r="A29" s="191">
        <v>45577</v>
      </c>
      <c r="B29" s="286"/>
      <c r="C29" s="287"/>
      <c r="D29" s="336"/>
      <c r="E29" s="336"/>
      <c r="F29" s="337"/>
      <c r="G29" s="338"/>
      <c r="H29" s="339"/>
      <c r="I29" s="340"/>
      <c r="J29" s="49"/>
      <c r="K29" s="341"/>
      <c r="L29" s="341"/>
      <c r="M29" s="309">
        <f t="shared" si="2"/>
        <v>0</v>
      </c>
      <c r="N29" s="310"/>
      <c r="P29" s="12"/>
      <c r="Q29" s="12"/>
      <c r="R29" s="12"/>
      <c r="S29" s="12"/>
      <c r="T29" s="13"/>
      <c r="U29" s="13"/>
      <c r="V29" s="13"/>
      <c r="W29" s="13"/>
      <c r="X29" s="1"/>
    </row>
    <row r="30" spans="1:24" s="3" customFormat="1" x14ac:dyDescent="0.25">
      <c r="A30" s="191">
        <v>45578</v>
      </c>
      <c r="B30" s="286"/>
      <c r="C30" s="287"/>
      <c r="D30" s="336"/>
      <c r="E30" s="336"/>
      <c r="F30" s="337"/>
      <c r="G30" s="338"/>
      <c r="H30" s="339"/>
      <c r="I30" s="340"/>
      <c r="J30" s="49"/>
      <c r="K30" s="341"/>
      <c r="L30" s="341"/>
      <c r="M30" s="309">
        <f t="shared" si="2"/>
        <v>0</v>
      </c>
      <c r="N30" s="310"/>
      <c r="P30" s="12"/>
      <c r="Q30" s="12"/>
      <c r="R30" s="12"/>
      <c r="S30" s="12"/>
      <c r="T30" s="13"/>
      <c r="U30" s="13"/>
      <c r="V30" s="13"/>
      <c r="W30" s="13"/>
      <c r="X30" s="1"/>
    </row>
    <row r="31" spans="1:24" s="3" customFormat="1" x14ac:dyDescent="0.25">
      <c r="A31" s="191">
        <v>45579</v>
      </c>
      <c r="B31" s="286"/>
      <c r="C31" s="287"/>
      <c r="D31" s="336"/>
      <c r="E31" s="336"/>
      <c r="F31" s="337"/>
      <c r="G31" s="338"/>
      <c r="H31" s="339"/>
      <c r="I31" s="340"/>
      <c r="J31" s="49"/>
      <c r="K31" s="341"/>
      <c r="L31" s="341"/>
      <c r="M31" s="309">
        <f t="shared" si="2"/>
        <v>0</v>
      </c>
      <c r="N31" s="310"/>
      <c r="P31" s="12"/>
      <c r="Q31" s="12"/>
      <c r="R31" s="12"/>
      <c r="S31" s="12"/>
      <c r="T31" s="13"/>
      <c r="U31" s="13"/>
      <c r="V31" s="13"/>
      <c r="W31" s="13"/>
      <c r="X31" s="1"/>
    </row>
    <row r="32" spans="1:24" s="3" customFormat="1" x14ac:dyDescent="0.25">
      <c r="A32" s="191">
        <v>45580</v>
      </c>
      <c r="B32" s="286"/>
      <c r="C32" s="287"/>
      <c r="D32" s="336"/>
      <c r="E32" s="336"/>
      <c r="F32" s="337"/>
      <c r="G32" s="338"/>
      <c r="H32" s="339"/>
      <c r="I32" s="340"/>
      <c r="J32" s="49"/>
      <c r="K32" s="341"/>
      <c r="L32" s="341"/>
      <c r="M32" s="309">
        <f t="shared" si="2"/>
        <v>0</v>
      </c>
      <c r="N32" s="310"/>
      <c r="P32" s="12"/>
      <c r="Q32" s="12"/>
      <c r="R32" s="12"/>
      <c r="S32" s="12"/>
      <c r="T32" s="13"/>
      <c r="U32" s="13"/>
      <c r="V32" s="13"/>
      <c r="W32" s="13"/>
      <c r="X32" s="1"/>
    </row>
    <row r="33" spans="1:25" s="3" customFormat="1" x14ac:dyDescent="0.25">
      <c r="A33" s="191">
        <v>45581</v>
      </c>
      <c r="B33" s="286"/>
      <c r="C33" s="287"/>
      <c r="D33" s="336"/>
      <c r="E33" s="336"/>
      <c r="F33" s="337"/>
      <c r="G33" s="338"/>
      <c r="H33" s="339"/>
      <c r="I33" s="340"/>
      <c r="J33" s="49"/>
      <c r="K33" s="341"/>
      <c r="L33" s="341"/>
      <c r="M33" s="309">
        <f t="shared" si="2"/>
        <v>0</v>
      </c>
      <c r="N33" s="310"/>
      <c r="P33" s="12"/>
      <c r="Q33" s="12"/>
      <c r="R33" s="12"/>
      <c r="S33" s="12"/>
      <c r="T33" s="13"/>
      <c r="U33" s="13"/>
      <c r="V33" s="13"/>
      <c r="W33" s="13"/>
      <c r="X33" s="1"/>
    </row>
    <row r="34" spans="1:25" s="3" customFormat="1" x14ac:dyDescent="0.25">
      <c r="A34" s="191">
        <v>45582</v>
      </c>
      <c r="B34" s="286"/>
      <c r="C34" s="287"/>
      <c r="D34" s="336"/>
      <c r="E34" s="336"/>
      <c r="F34" s="337"/>
      <c r="G34" s="338"/>
      <c r="H34" s="339"/>
      <c r="I34" s="340"/>
      <c r="J34" s="49"/>
      <c r="K34" s="341"/>
      <c r="L34" s="341"/>
      <c r="M34" s="309">
        <f t="shared" si="2"/>
        <v>0</v>
      </c>
      <c r="N34" s="310"/>
      <c r="P34" s="12"/>
      <c r="Q34" s="15"/>
      <c r="R34" s="15"/>
      <c r="S34" s="15"/>
      <c r="T34" s="13"/>
      <c r="U34" s="13"/>
      <c r="V34" s="13"/>
      <c r="W34" s="13"/>
      <c r="X34" s="1"/>
    </row>
    <row r="35" spans="1:25" s="3" customFormat="1" x14ac:dyDescent="0.25">
      <c r="A35" s="191">
        <v>45583</v>
      </c>
      <c r="B35" s="286"/>
      <c r="C35" s="287"/>
      <c r="D35" s="336"/>
      <c r="E35" s="336"/>
      <c r="F35" s="337"/>
      <c r="G35" s="338"/>
      <c r="H35" s="339"/>
      <c r="I35" s="340"/>
      <c r="J35" s="49"/>
      <c r="K35" s="341"/>
      <c r="L35" s="341"/>
      <c r="M35" s="309">
        <f t="shared" si="2"/>
        <v>0</v>
      </c>
      <c r="N35" s="310"/>
      <c r="P35" s="12"/>
      <c r="Q35" s="15"/>
      <c r="R35" s="15"/>
      <c r="S35" s="15"/>
      <c r="T35" s="13"/>
      <c r="U35" s="13"/>
      <c r="V35" s="13"/>
      <c r="W35" s="13"/>
      <c r="X35" s="1"/>
    </row>
    <row r="36" spans="1:25" s="3" customFormat="1" x14ac:dyDescent="0.25">
      <c r="A36" s="191">
        <v>45584</v>
      </c>
      <c r="B36" s="286"/>
      <c r="C36" s="287"/>
      <c r="D36" s="336"/>
      <c r="E36" s="336"/>
      <c r="F36" s="337"/>
      <c r="G36" s="338"/>
      <c r="H36" s="339"/>
      <c r="I36" s="340"/>
      <c r="J36" s="49"/>
      <c r="K36" s="341"/>
      <c r="L36" s="341"/>
      <c r="M36" s="309">
        <f t="shared" si="2"/>
        <v>0</v>
      </c>
      <c r="N36" s="310"/>
      <c r="P36" s="12"/>
      <c r="Q36" s="15"/>
      <c r="R36" s="15"/>
      <c r="S36" s="15"/>
      <c r="T36" s="13"/>
      <c r="U36" s="13"/>
      <c r="V36" s="13"/>
      <c r="W36" s="13"/>
      <c r="X36" s="1"/>
    </row>
    <row r="37" spans="1:25" s="3" customFormat="1" x14ac:dyDescent="0.25">
      <c r="A37" s="191">
        <v>45585</v>
      </c>
      <c r="B37" s="286"/>
      <c r="C37" s="287"/>
      <c r="D37" s="336"/>
      <c r="E37" s="336"/>
      <c r="F37" s="337"/>
      <c r="G37" s="338"/>
      <c r="H37" s="339"/>
      <c r="I37" s="340"/>
      <c r="J37" s="49"/>
      <c r="K37" s="341"/>
      <c r="L37" s="341"/>
      <c r="M37" s="309">
        <f t="shared" si="2"/>
        <v>0</v>
      </c>
      <c r="N37" s="310"/>
      <c r="O37" s="1"/>
      <c r="P37" s="12"/>
      <c r="Q37" s="15"/>
      <c r="R37" s="15"/>
      <c r="S37" s="15"/>
      <c r="T37" s="13"/>
      <c r="U37" s="13"/>
      <c r="V37" s="13"/>
      <c r="W37" s="13"/>
      <c r="X37" s="1"/>
    </row>
    <row r="38" spans="1:25" s="3" customFormat="1" x14ac:dyDescent="0.25">
      <c r="A38" s="191">
        <v>45586</v>
      </c>
      <c r="B38" s="286"/>
      <c r="C38" s="287"/>
      <c r="D38" s="342"/>
      <c r="E38" s="343"/>
      <c r="F38" s="50"/>
      <c r="G38" s="51"/>
      <c r="H38" s="52"/>
      <c r="I38" s="53"/>
      <c r="J38" s="49"/>
      <c r="K38" s="309"/>
      <c r="L38" s="310"/>
      <c r="M38" s="309">
        <f t="shared" si="2"/>
        <v>0</v>
      </c>
      <c r="N38" s="310"/>
      <c r="O38" s="1"/>
      <c r="P38" s="12"/>
      <c r="Q38" s="15"/>
      <c r="R38" s="15"/>
      <c r="S38" s="15"/>
      <c r="T38" s="13"/>
      <c r="U38" s="13"/>
      <c r="V38" s="13"/>
      <c r="W38" s="13"/>
      <c r="X38" s="1"/>
    </row>
    <row r="39" spans="1:25" s="3" customFormat="1" x14ac:dyDescent="0.25">
      <c r="A39" s="191">
        <v>45587</v>
      </c>
      <c r="B39" s="286"/>
      <c r="C39" s="287"/>
      <c r="D39" s="342"/>
      <c r="E39" s="343"/>
      <c r="F39" s="50"/>
      <c r="G39" s="51"/>
      <c r="H39" s="52"/>
      <c r="I39" s="53"/>
      <c r="J39" s="49"/>
      <c r="K39" s="309"/>
      <c r="L39" s="310"/>
      <c r="M39" s="309">
        <f t="shared" si="2"/>
        <v>0</v>
      </c>
      <c r="N39" s="310"/>
      <c r="O39" s="1"/>
      <c r="P39" s="12"/>
      <c r="Q39" s="15"/>
      <c r="R39" s="15"/>
      <c r="S39" s="15"/>
      <c r="T39" s="13"/>
      <c r="U39" s="13"/>
      <c r="V39" s="13"/>
      <c r="W39" s="13"/>
      <c r="X39" s="1"/>
    </row>
    <row r="40" spans="1:25" s="3" customFormat="1" x14ac:dyDescent="0.25">
      <c r="A40" s="191">
        <v>45588</v>
      </c>
      <c r="B40" s="286"/>
      <c r="C40" s="287"/>
      <c r="D40" s="342"/>
      <c r="E40" s="343"/>
      <c r="F40" s="50"/>
      <c r="G40" s="51"/>
      <c r="H40" s="52"/>
      <c r="I40" s="53"/>
      <c r="J40" s="49"/>
      <c r="K40" s="309"/>
      <c r="L40" s="310"/>
      <c r="M40" s="309">
        <f t="shared" si="2"/>
        <v>0</v>
      </c>
      <c r="N40" s="310"/>
      <c r="O40" s="1"/>
      <c r="P40" s="12"/>
      <c r="Q40" s="15"/>
      <c r="R40" s="15"/>
      <c r="S40" s="15"/>
      <c r="T40" s="13"/>
      <c r="U40" s="13"/>
      <c r="V40" s="13"/>
      <c r="W40" s="13"/>
      <c r="X40" s="1"/>
    </row>
    <row r="41" spans="1:25" s="3" customFormat="1" x14ac:dyDescent="0.25">
      <c r="A41" s="191">
        <v>45589</v>
      </c>
      <c r="B41" s="286"/>
      <c r="C41" s="287"/>
      <c r="D41" s="342"/>
      <c r="E41" s="343"/>
      <c r="F41" s="50"/>
      <c r="G41" s="51"/>
      <c r="H41" s="52"/>
      <c r="I41" s="53"/>
      <c r="J41" s="49"/>
      <c r="K41" s="309"/>
      <c r="L41" s="310"/>
      <c r="M41" s="309">
        <f t="shared" si="2"/>
        <v>0</v>
      </c>
      <c r="N41" s="310"/>
      <c r="O41" s="1"/>
      <c r="P41" s="12"/>
      <c r="Q41" s="15"/>
      <c r="R41" s="15"/>
      <c r="S41" s="15"/>
      <c r="T41" s="13"/>
      <c r="U41" s="13"/>
      <c r="V41" s="13"/>
      <c r="W41" s="13"/>
      <c r="X41" s="1"/>
    </row>
    <row r="42" spans="1:25" s="3" customFormat="1" x14ac:dyDescent="0.25">
      <c r="A42" s="191">
        <v>45590</v>
      </c>
      <c r="B42" s="286"/>
      <c r="C42" s="287"/>
      <c r="D42" s="342"/>
      <c r="E42" s="343"/>
      <c r="F42" s="50"/>
      <c r="G42" s="51"/>
      <c r="H42" s="52"/>
      <c r="I42" s="53"/>
      <c r="J42" s="49"/>
      <c r="K42" s="309"/>
      <c r="L42" s="310"/>
      <c r="M42" s="309">
        <f t="shared" si="2"/>
        <v>0</v>
      </c>
      <c r="N42" s="310"/>
      <c r="O42" s="1"/>
      <c r="P42" s="12"/>
      <c r="Q42" s="15"/>
      <c r="R42" s="15"/>
      <c r="S42" s="15"/>
      <c r="T42" s="13"/>
      <c r="U42" s="13"/>
      <c r="V42" s="13"/>
      <c r="W42" s="13"/>
      <c r="X42" s="1"/>
    </row>
    <row r="43" spans="1:25" s="3" customFormat="1" x14ac:dyDescent="0.25">
      <c r="A43" s="191">
        <v>45591</v>
      </c>
      <c r="B43" s="286"/>
      <c r="C43" s="287"/>
      <c r="D43" s="342"/>
      <c r="E43" s="343"/>
      <c r="F43" s="50"/>
      <c r="G43" s="51"/>
      <c r="H43" s="52"/>
      <c r="I43" s="53"/>
      <c r="J43" s="49"/>
      <c r="K43" s="309"/>
      <c r="L43" s="310"/>
      <c r="M43" s="309">
        <f t="shared" si="2"/>
        <v>0</v>
      </c>
      <c r="N43" s="310"/>
      <c r="O43" s="1"/>
      <c r="P43" s="12"/>
      <c r="Q43" s="15"/>
      <c r="R43" s="15"/>
      <c r="S43" s="15"/>
      <c r="T43" s="13"/>
      <c r="U43" s="13"/>
      <c r="V43" s="13"/>
      <c r="W43" s="13"/>
      <c r="X43" s="1"/>
    </row>
    <row r="44" spans="1:25" s="3" customFormat="1" x14ac:dyDescent="0.25">
      <c r="A44" s="191">
        <v>45592</v>
      </c>
      <c r="B44" s="286"/>
      <c r="C44" s="287"/>
      <c r="D44" s="342"/>
      <c r="E44" s="343"/>
      <c r="F44" s="50"/>
      <c r="G44" s="51"/>
      <c r="H44" s="52"/>
      <c r="I44" s="53"/>
      <c r="J44" s="49"/>
      <c r="K44" s="309"/>
      <c r="L44" s="310"/>
      <c r="M44" s="309">
        <f t="shared" si="2"/>
        <v>0</v>
      </c>
      <c r="N44" s="310"/>
      <c r="O44" s="1"/>
      <c r="P44" s="12"/>
      <c r="Q44" s="15"/>
      <c r="R44" s="15"/>
      <c r="S44" s="15"/>
      <c r="T44" s="13"/>
      <c r="U44" s="13"/>
      <c r="V44" s="13"/>
      <c r="W44" s="13"/>
      <c r="X44" s="1"/>
    </row>
    <row r="45" spans="1:25" s="3" customFormat="1" ht="15.75" x14ac:dyDescent="0.25">
      <c r="A45" s="231" t="s">
        <v>21</v>
      </c>
      <c r="B45" s="232"/>
      <c r="C45" s="233"/>
      <c r="D45" s="328">
        <f>+COUNTA(D17:E44)</f>
        <v>0</v>
      </c>
      <c r="E45" s="329"/>
      <c r="F45" s="330">
        <f>+COUNTA(F17:G44)</f>
        <v>0</v>
      </c>
      <c r="G45" s="331"/>
      <c r="H45" s="332">
        <f>SUM(H17:I44)</f>
        <v>0</v>
      </c>
      <c r="I45" s="332"/>
      <c r="J45" s="54"/>
      <c r="K45" s="333"/>
      <c r="L45" s="333"/>
      <c r="M45" s="334">
        <f>+SUM(M17:O44)</f>
        <v>0</v>
      </c>
      <c r="N45" s="335"/>
      <c r="P45" s="12"/>
      <c r="Q45" s="12"/>
      <c r="R45" s="12"/>
      <c r="S45" s="12"/>
      <c r="T45" s="13"/>
      <c r="U45" s="13"/>
      <c r="V45" s="13"/>
      <c r="W45" s="13"/>
      <c r="X45" s="1"/>
    </row>
    <row r="46" spans="1:25" s="3" customFormat="1" x14ac:dyDescent="0.25">
      <c r="A46" s="12"/>
      <c r="B46" s="12"/>
      <c r="C46" s="12"/>
      <c r="D46" s="272" t="s">
        <v>65</v>
      </c>
      <c r="E46" s="273"/>
      <c r="F46" s="274" t="s">
        <v>24</v>
      </c>
      <c r="G46" s="274"/>
      <c r="H46" s="275" t="s">
        <v>62</v>
      </c>
      <c r="I46" s="275"/>
      <c r="K46" s="12"/>
      <c r="L46" s="12"/>
      <c r="M46" s="276" t="s">
        <v>66</v>
      </c>
      <c r="N46" s="277"/>
      <c r="O46" s="12"/>
      <c r="P46" s="12"/>
      <c r="Q46" s="12"/>
      <c r="R46" s="12"/>
      <c r="S46" s="12"/>
      <c r="T46" s="13"/>
      <c r="U46" s="13"/>
      <c r="V46" s="13"/>
      <c r="W46" s="13"/>
      <c r="X46" s="1"/>
    </row>
    <row r="47" spans="1:25" s="3" customFormat="1" x14ac:dyDescent="0.25">
      <c r="K47" s="12"/>
      <c r="L47" s="12"/>
      <c r="M47" s="12"/>
      <c r="N47" s="12"/>
      <c r="O47" s="12"/>
      <c r="P47" s="12"/>
      <c r="U47" s="1"/>
      <c r="V47" s="1"/>
      <c r="W47" s="1"/>
      <c r="X47" s="1"/>
      <c r="Y47" s="1"/>
    </row>
    <row r="48" spans="1:25" s="3" customFormat="1" x14ac:dyDescent="0.25">
      <c r="A48" s="28" t="s">
        <v>23</v>
      </c>
      <c r="J48" s="28" t="s">
        <v>27</v>
      </c>
      <c r="N48" s="47"/>
      <c r="P48" s="12"/>
      <c r="U48" s="1"/>
      <c r="V48" s="1"/>
      <c r="W48" s="1"/>
      <c r="X48" s="1"/>
      <c r="Y48" s="1"/>
    </row>
    <row r="49" spans="1:25" s="3" customFormat="1" x14ac:dyDescent="0.25">
      <c r="J49" s="28" t="s">
        <v>31</v>
      </c>
      <c r="N49" s="47"/>
      <c r="P49" s="12"/>
      <c r="U49" s="1"/>
      <c r="V49" s="1"/>
      <c r="W49" s="1"/>
      <c r="X49" s="1"/>
      <c r="Y49" s="1"/>
    </row>
    <row r="50" spans="1:25" s="3" customFormat="1" x14ac:dyDescent="0.25">
      <c r="A50" s="29" t="s">
        <v>20</v>
      </c>
      <c r="B50" s="30"/>
      <c r="C50" s="29"/>
      <c r="D50" s="29"/>
      <c r="E50" s="16"/>
      <c r="H50" s="18"/>
      <c r="P50" s="12"/>
      <c r="U50" s="1"/>
      <c r="V50" s="1"/>
      <c r="W50" s="1"/>
      <c r="X50" s="1"/>
      <c r="Y50" s="1"/>
    </row>
    <row r="51" spans="1:25" s="3" customFormat="1" x14ac:dyDescent="0.25">
      <c r="A51" s="29" t="s">
        <v>7</v>
      </c>
      <c r="B51" s="30"/>
      <c r="C51" s="31">
        <f ca="1">TODAY()</f>
        <v>45320</v>
      </c>
      <c r="D51" s="29"/>
      <c r="E51" s="16"/>
      <c r="J51" s="28" t="s">
        <v>22</v>
      </c>
      <c r="P51" s="12"/>
      <c r="U51" s="1"/>
      <c r="V51" s="1"/>
      <c r="W51" s="1"/>
      <c r="X51" s="1"/>
      <c r="Y51" s="1"/>
    </row>
    <row r="52" spans="1:25" s="3" customFormat="1" x14ac:dyDescent="0.25">
      <c r="A52" s="28"/>
      <c r="B52" s="315" t="s">
        <v>47</v>
      </c>
      <c r="C52" s="315"/>
      <c r="D52" s="315"/>
      <c r="E52" s="315"/>
      <c r="F52" s="315"/>
      <c r="J52" s="315" t="s">
        <v>48</v>
      </c>
      <c r="K52" s="315"/>
      <c r="L52" s="315"/>
      <c r="M52" s="315"/>
      <c r="N52" s="315"/>
      <c r="U52" s="1"/>
      <c r="V52" s="1"/>
      <c r="W52" s="1"/>
      <c r="X52" s="1"/>
      <c r="Y52" s="1"/>
    </row>
    <row r="53" spans="1:25" s="3" customFormat="1" x14ac:dyDescent="0.25">
      <c r="B53" s="315"/>
      <c r="C53" s="315"/>
      <c r="D53" s="315"/>
      <c r="E53" s="315"/>
      <c r="F53" s="315"/>
      <c r="J53" s="315"/>
      <c r="K53" s="315"/>
      <c r="L53" s="315"/>
      <c r="M53" s="315"/>
      <c r="N53" s="315"/>
      <c r="U53" s="1"/>
      <c r="V53" s="1"/>
      <c r="W53" s="1"/>
      <c r="X53" s="1"/>
      <c r="Y53" s="1"/>
    </row>
    <row r="54" spans="1:25" s="3" customFormat="1" x14ac:dyDescent="0.25">
      <c r="B54" s="315"/>
      <c r="C54" s="315"/>
      <c r="D54" s="315"/>
      <c r="E54" s="315"/>
      <c r="F54" s="315"/>
      <c r="J54" s="315"/>
      <c r="K54" s="315"/>
      <c r="L54" s="315"/>
      <c r="M54" s="315"/>
      <c r="N54" s="315"/>
      <c r="U54" s="1"/>
      <c r="V54" s="1"/>
      <c r="W54" s="1"/>
      <c r="X54" s="1"/>
      <c r="Y54" s="1"/>
    </row>
    <row r="55" spans="1:25" s="3" customFormat="1" x14ac:dyDescent="0.25">
      <c r="B55" s="315"/>
      <c r="C55" s="315"/>
      <c r="D55" s="315"/>
      <c r="E55" s="315"/>
      <c r="F55" s="315"/>
      <c r="J55" s="315"/>
      <c r="K55" s="315"/>
      <c r="L55" s="315"/>
      <c r="M55" s="315"/>
      <c r="N55" s="315"/>
      <c r="U55" s="1"/>
      <c r="V55" s="1"/>
      <c r="W55" s="1"/>
      <c r="X55" s="1"/>
      <c r="Y55" s="1"/>
    </row>
    <row r="56" spans="1:25" s="3" customFormat="1" x14ac:dyDescent="0.25">
      <c r="B56" s="315"/>
      <c r="C56" s="315"/>
      <c r="D56" s="315"/>
      <c r="E56" s="315"/>
      <c r="F56" s="315"/>
      <c r="J56" s="315"/>
      <c r="K56" s="315"/>
      <c r="L56" s="315"/>
      <c r="M56" s="315"/>
      <c r="N56" s="315"/>
      <c r="U56" s="1"/>
      <c r="V56" s="1"/>
      <c r="W56" s="1"/>
      <c r="X56" s="1"/>
      <c r="Y56" s="1"/>
    </row>
    <row r="57" spans="1:25" s="3" customFormat="1" x14ac:dyDescent="0.25">
      <c r="B57" s="315"/>
      <c r="C57" s="315"/>
      <c r="D57" s="315"/>
      <c r="E57" s="315"/>
      <c r="F57" s="315"/>
      <c r="J57" s="315"/>
      <c r="K57" s="315"/>
      <c r="L57" s="315"/>
      <c r="M57" s="315"/>
      <c r="N57" s="315"/>
      <c r="U57" s="1"/>
      <c r="V57" s="1"/>
      <c r="W57" s="1"/>
      <c r="X57" s="1"/>
      <c r="Y57" s="1"/>
    </row>
    <row r="58" spans="1:25" s="3" customFormat="1" x14ac:dyDescent="0.25">
      <c r="A58" s="3" t="s">
        <v>46</v>
      </c>
      <c r="B58" s="23"/>
      <c r="J58" s="3" t="s">
        <v>39</v>
      </c>
      <c r="U58" s="1"/>
      <c r="V58" s="1"/>
      <c r="W58" s="1"/>
      <c r="X58" s="1"/>
      <c r="Y58" s="1"/>
    </row>
    <row r="59" spans="1:25" s="3" customFormat="1" x14ac:dyDescent="0.25">
      <c r="B59" s="23"/>
      <c r="U59" s="1"/>
      <c r="V59" s="1"/>
      <c r="W59" s="1"/>
      <c r="X59" s="1"/>
      <c r="Y59" s="1"/>
    </row>
    <row r="60" spans="1:25" s="3" customFormat="1" x14ac:dyDescent="0.25">
      <c r="B60" s="23"/>
      <c r="U60" s="1"/>
      <c r="V60" s="1"/>
      <c r="W60" s="1"/>
      <c r="X60" s="1"/>
      <c r="Y60" s="1"/>
    </row>
    <row r="61" spans="1:25" s="3" customFormat="1" x14ac:dyDescent="0.25">
      <c r="A61" s="29"/>
      <c r="B61" s="23"/>
      <c r="D61" s="29"/>
      <c r="U61" s="1"/>
      <c r="V61" s="1"/>
      <c r="W61" s="1"/>
      <c r="X61" s="1"/>
      <c r="Y61" s="1"/>
    </row>
    <row r="62" spans="1:25" s="3" customFormat="1" x14ac:dyDescent="0.25">
      <c r="U62" s="1"/>
      <c r="V62" s="1"/>
      <c r="W62" s="1"/>
      <c r="X62" s="1"/>
      <c r="Y62" s="1"/>
    </row>
    <row r="63" spans="1:25" s="3" customFormat="1" x14ac:dyDescent="0.25">
      <c r="B63" s="23"/>
      <c r="U63" s="1"/>
      <c r="V63" s="1"/>
      <c r="W63" s="1"/>
      <c r="X63" s="1"/>
      <c r="Y63" s="1"/>
    </row>
    <row r="64" spans="1:25" s="3" customFormat="1" x14ac:dyDescent="0.25">
      <c r="B64" s="23"/>
      <c r="U64" s="1"/>
      <c r="V64" s="1"/>
      <c r="W64" s="1"/>
      <c r="X64" s="1"/>
      <c r="Y64" s="1"/>
    </row>
    <row r="65" spans="2:25" s="3" customFormat="1" x14ac:dyDescent="0.25">
      <c r="B65" s="23"/>
      <c r="U65" s="1"/>
      <c r="V65" s="1"/>
      <c r="W65" s="1"/>
      <c r="X65" s="1"/>
      <c r="Y65" s="1"/>
    </row>
    <row r="66" spans="2:25" s="3" customFormat="1" x14ac:dyDescent="0.25">
      <c r="B66" s="23"/>
      <c r="U66" s="1"/>
      <c r="V66" s="1"/>
      <c r="W66" s="1"/>
      <c r="X66" s="1"/>
      <c r="Y66" s="1"/>
    </row>
    <row r="67" spans="2:25" s="3" customFormat="1" x14ac:dyDescent="0.25">
      <c r="B67" s="23"/>
      <c r="U67" s="1"/>
      <c r="V67" s="1"/>
      <c r="W67" s="1"/>
      <c r="X67" s="1"/>
      <c r="Y67" s="1"/>
    </row>
    <row r="68" spans="2:25" s="3" customFormat="1" x14ac:dyDescent="0.25">
      <c r="B68" s="23"/>
      <c r="U68" s="1"/>
      <c r="V68" s="1"/>
      <c r="W68" s="1"/>
      <c r="X68" s="1"/>
      <c r="Y68" s="1"/>
    </row>
    <row r="69" spans="2:25" s="3" customFormat="1" x14ac:dyDescent="0.25">
      <c r="B69" s="23"/>
      <c r="U69" s="1"/>
      <c r="V69" s="1"/>
      <c r="W69" s="1"/>
      <c r="X69" s="1"/>
      <c r="Y69" s="1"/>
    </row>
    <row r="70" spans="2:25" s="3" customFormat="1" x14ac:dyDescent="0.25">
      <c r="B70" s="23"/>
      <c r="U70" s="1"/>
      <c r="V70" s="1"/>
      <c r="W70" s="1"/>
      <c r="X70" s="1"/>
      <c r="Y70" s="1"/>
    </row>
    <row r="71" spans="2:25" s="3" customFormat="1" x14ac:dyDescent="0.25">
      <c r="B71" s="23"/>
      <c r="U71" s="1"/>
      <c r="V71" s="1"/>
      <c r="W71" s="1"/>
      <c r="X71" s="1"/>
      <c r="Y71" s="1"/>
    </row>
    <row r="72" spans="2:25" s="3" customFormat="1" x14ac:dyDescent="0.25">
      <c r="B72" s="23"/>
      <c r="U72" s="1"/>
      <c r="V72" s="1"/>
      <c r="W72" s="1"/>
      <c r="X72" s="1"/>
      <c r="Y72" s="1"/>
    </row>
    <row r="73" spans="2:25" s="3" customFormat="1" x14ac:dyDescent="0.25">
      <c r="B73" s="23"/>
      <c r="U73" s="1"/>
      <c r="V73" s="1"/>
      <c r="W73" s="1"/>
      <c r="X73" s="1"/>
      <c r="Y73" s="1"/>
    </row>
    <row r="74" spans="2:25" s="3" customFormat="1" x14ac:dyDescent="0.25">
      <c r="B74" s="23"/>
      <c r="U74" s="1"/>
      <c r="V74" s="1"/>
      <c r="W74" s="1"/>
      <c r="X74" s="1"/>
      <c r="Y74" s="1"/>
    </row>
    <row r="75" spans="2:25" s="3" customFormat="1" x14ac:dyDescent="0.25">
      <c r="B75" s="23"/>
      <c r="U75" s="1"/>
      <c r="V75" s="1"/>
      <c r="W75" s="1"/>
      <c r="X75" s="1"/>
      <c r="Y75" s="1"/>
    </row>
    <row r="76" spans="2:25" s="3" customFormat="1" x14ac:dyDescent="0.25">
      <c r="B76" s="23"/>
      <c r="U76" s="1"/>
      <c r="V76" s="1"/>
      <c r="W76" s="1"/>
      <c r="X76" s="1"/>
      <c r="Y76" s="1"/>
    </row>
    <row r="77" spans="2:25" s="3" customFormat="1" x14ac:dyDescent="0.25">
      <c r="B77" s="23"/>
      <c r="U77" s="1"/>
      <c r="V77" s="1"/>
      <c r="W77" s="1"/>
      <c r="X77" s="1"/>
      <c r="Y77" s="1"/>
    </row>
    <row r="78" spans="2:25" s="3" customFormat="1" x14ac:dyDescent="0.25">
      <c r="B78" s="23"/>
      <c r="U78" s="1"/>
      <c r="V78" s="1"/>
      <c r="W78" s="1"/>
      <c r="X78" s="1"/>
      <c r="Y78" s="1"/>
    </row>
    <row r="79" spans="2:25" s="3" customFormat="1" x14ac:dyDescent="0.25">
      <c r="B79" s="23"/>
      <c r="U79" s="1"/>
      <c r="V79" s="1"/>
      <c r="W79" s="1"/>
      <c r="X79" s="1"/>
      <c r="Y79" s="1"/>
    </row>
    <row r="80" spans="2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2:25" s="3" customFormat="1" x14ac:dyDescent="0.25">
      <c r="B225" s="23"/>
      <c r="U225" s="1"/>
      <c r="V225" s="1"/>
      <c r="W225" s="1"/>
      <c r="X225" s="1"/>
      <c r="Y225" s="1"/>
    </row>
    <row r="226" spans="2:25" s="3" customFormat="1" x14ac:dyDescent="0.25">
      <c r="B226" s="23"/>
      <c r="U226" s="1"/>
      <c r="V226" s="1"/>
      <c r="W226" s="1"/>
      <c r="X226" s="1"/>
      <c r="Y226" s="1"/>
    </row>
    <row r="227" spans="2:25" s="3" customFormat="1" x14ac:dyDescent="0.25">
      <c r="B227" s="23"/>
      <c r="U227" s="1"/>
      <c r="V227" s="1"/>
      <c r="W227" s="1"/>
      <c r="X227" s="1"/>
      <c r="Y227" s="1"/>
    </row>
    <row r="228" spans="2:25" s="3" customFormat="1" x14ac:dyDescent="0.25">
      <c r="B228" s="23"/>
      <c r="U228" s="1"/>
      <c r="V228" s="1"/>
      <c r="W228" s="1"/>
      <c r="X228" s="1"/>
      <c r="Y228" s="1"/>
    </row>
    <row r="229" spans="2:25" s="3" customFormat="1" x14ac:dyDescent="0.25">
      <c r="B229" s="23"/>
      <c r="U229" s="1"/>
      <c r="V229" s="1"/>
      <c r="W229" s="1"/>
      <c r="X229" s="1"/>
      <c r="Y229" s="1"/>
    </row>
    <row r="230" spans="2:25" s="3" customFormat="1" x14ac:dyDescent="0.25">
      <c r="B230" s="23"/>
      <c r="U230" s="1"/>
      <c r="V230" s="1"/>
      <c r="W230" s="1"/>
      <c r="X230" s="1"/>
      <c r="Y230" s="1"/>
    </row>
    <row r="231" spans="2:25" s="3" customFormat="1" x14ac:dyDescent="0.25">
      <c r="B231" s="23"/>
      <c r="U231" s="1"/>
      <c r="V231" s="1"/>
      <c r="W231" s="1"/>
      <c r="X231" s="1"/>
      <c r="Y231" s="1"/>
    </row>
    <row r="232" spans="2:25" s="3" customFormat="1" x14ac:dyDescent="0.25">
      <c r="B232" s="23"/>
      <c r="U232" s="1"/>
      <c r="V232" s="1"/>
      <c r="W232" s="1"/>
      <c r="X232" s="1"/>
      <c r="Y232" s="1"/>
    </row>
    <row r="233" spans="2:25" s="3" customFormat="1" x14ac:dyDescent="0.25">
      <c r="B233" s="23"/>
      <c r="U233" s="1"/>
      <c r="V233" s="1"/>
      <c r="W233" s="1"/>
      <c r="X233" s="1"/>
      <c r="Y233" s="1"/>
    </row>
    <row r="234" spans="2:25" s="3" customFormat="1" x14ac:dyDescent="0.25">
      <c r="B234" s="23"/>
      <c r="U234" s="1"/>
      <c r="V234" s="1"/>
      <c r="W234" s="1"/>
      <c r="X234" s="1"/>
      <c r="Y234" s="1"/>
    </row>
    <row r="235" spans="2:25" s="3" customFormat="1" x14ac:dyDescent="0.25">
      <c r="B235" s="23"/>
      <c r="K235" s="6"/>
      <c r="L235" s="6"/>
      <c r="M235" s="6"/>
      <c r="N235" s="6"/>
      <c r="U235" s="1"/>
      <c r="V235" s="1"/>
      <c r="W235" s="1"/>
      <c r="X235" s="1"/>
      <c r="Y235" s="1"/>
    </row>
    <row r="236" spans="2:25" s="3" customFormat="1" x14ac:dyDescent="0.25">
      <c r="B236" s="23"/>
      <c r="K236" s="6"/>
      <c r="L236" s="6"/>
      <c r="M236" s="6"/>
      <c r="N236" s="6"/>
      <c r="U236" s="1"/>
      <c r="V236" s="1"/>
      <c r="W236" s="1"/>
      <c r="X236" s="1"/>
      <c r="Y236" s="1"/>
    </row>
    <row r="237" spans="2:25" s="3" customFormat="1" x14ac:dyDescent="0.25">
      <c r="B237" s="23"/>
      <c r="K237" s="6"/>
      <c r="L237" s="6"/>
      <c r="M237" s="6"/>
      <c r="N237" s="6"/>
      <c r="U237" s="1"/>
      <c r="V237" s="1"/>
      <c r="W237" s="1"/>
      <c r="X237" s="1"/>
      <c r="Y237" s="1"/>
    </row>
    <row r="238" spans="2:25" s="3" customFormat="1" x14ac:dyDescent="0.25">
      <c r="B238" s="23"/>
      <c r="J238" s="6"/>
      <c r="K238" s="6"/>
      <c r="L238" s="6"/>
      <c r="M238" s="6"/>
      <c r="N238" s="6"/>
      <c r="U238" s="1"/>
      <c r="V238" s="1"/>
      <c r="W238" s="1"/>
      <c r="X238" s="1"/>
      <c r="Y238" s="1"/>
    </row>
    <row r="239" spans="2:25" s="3" customFormat="1" x14ac:dyDescent="0.25">
      <c r="B239" s="23"/>
      <c r="J239" s="6"/>
      <c r="K239" s="6"/>
      <c r="L239" s="6"/>
      <c r="M239" s="6"/>
      <c r="N239" s="6"/>
      <c r="U239" s="1"/>
      <c r="V239" s="1"/>
      <c r="W239" s="1"/>
      <c r="X239" s="1"/>
      <c r="Y239" s="1"/>
    </row>
    <row r="240" spans="2:25" s="3" customFormat="1" x14ac:dyDescent="0.25">
      <c r="B240" s="23"/>
      <c r="J240" s="6"/>
      <c r="K240" s="6"/>
      <c r="L240" s="6"/>
      <c r="M240" s="6"/>
      <c r="N240" s="6"/>
      <c r="U240" s="1"/>
      <c r="V240" s="1"/>
      <c r="W240" s="1"/>
      <c r="X240" s="1"/>
      <c r="Y240" s="1"/>
    </row>
    <row r="241" spans="1:25" s="3" customFormat="1" x14ac:dyDescent="0.25">
      <c r="B241" s="23"/>
      <c r="J241" s="6"/>
      <c r="K241" s="6"/>
      <c r="L241" s="6"/>
      <c r="M241" s="6"/>
      <c r="N241" s="6"/>
      <c r="U241" s="1"/>
      <c r="V241" s="1"/>
      <c r="W241" s="1"/>
      <c r="X241" s="1"/>
      <c r="Y241" s="1"/>
    </row>
    <row r="242" spans="1:25" s="3" customFormat="1" x14ac:dyDescent="0.25">
      <c r="B242" s="23"/>
      <c r="J242" s="6"/>
      <c r="K242" s="6"/>
      <c r="L242" s="6"/>
      <c r="M242" s="6"/>
      <c r="N242" s="6"/>
      <c r="O242" s="6"/>
      <c r="U242" s="1"/>
      <c r="V242" s="1"/>
      <c r="W242" s="1"/>
      <c r="X242" s="1"/>
      <c r="Y242" s="1"/>
    </row>
    <row r="243" spans="1:25" s="3" customFormat="1" x14ac:dyDescent="0.25">
      <c r="B243" s="23"/>
      <c r="J243" s="6"/>
      <c r="K243" s="6"/>
      <c r="L243" s="6"/>
      <c r="M243" s="6"/>
      <c r="N243" s="6"/>
      <c r="O243" s="6"/>
      <c r="U243" s="1"/>
      <c r="V243" s="1"/>
      <c r="W243" s="1"/>
      <c r="X243" s="1"/>
      <c r="Y243" s="1"/>
    </row>
    <row r="244" spans="1:25" s="3" customFormat="1" x14ac:dyDescent="0.25">
      <c r="A244" s="6"/>
      <c r="B244" s="25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Q244" s="6"/>
      <c r="R244" s="6"/>
      <c r="S244" s="6"/>
      <c r="U244" s="1"/>
      <c r="V244" s="1"/>
      <c r="W244" s="1"/>
      <c r="X244" s="1"/>
      <c r="Y244" s="1"/>
    </row>
  </sheetData>
  <sheetProtection sheet="1" objects="1" scenarios="1"/>
  <mergeCells count="158">
    <mergeCell ref="M41:N41"/>
    <mergeCell ref="M44:N44"/>
    <mergeCell ref="D25:E25"/>
    <mergeCell ref="F25:G25"/>
    <mergeCell ref="H25:I25"/>
    <mergeCell ref="K25:L25"/>
    <mergeCell ref="M25:N25"/>
    <mergeCell ref="D24:E24"/>
    <mergeCell ref="F24:G24"/>
    <mergeCell ref="H24:I24"/>
    <mergeCell ref="K24:L24"/>
    <mergeCell ref="M24:N24"/>
    <mergeCell ref="D27:E27"/>
    <mergeCell ref="D40:E40"/>
    <mergeCell ref="K40:L40"/>
    <mergeCell ref="D41:E41"/>
    <mergeCell ref="K41:L41"/>
    <mergeCell ref="D38:E38"/>
    <mergeCell ref="K38:L38"/>
    <mergeCell ref="D39:E39"/>
    <mergeCell ref="K39:L39"/>
    <mergeCell ref="M42:N42"/>
    <mergeCell ref="M43:N43"/>
    <mergeCell ref="D2:K4"/>
    <mergeCell ref="L2:N4"/>
    <mergeCell ref="R3:T3"/>
    <mergeCell ref="B5:K5"/>
    <mergeCell ref="L5:N5"/>
    <mergeCell ref="R5:T5"/>
    <mergeCell ref="K13:L13"/>
    <mergeCell ref="F15:N15"/>
    <mergeCell ref="A16:C16"/>
    <mergeCell ref="D16:E16"/>
    <mergeCell ref="F16:G16"/>
    <mergeCell ref="H16:I16"/>
    <mergeCell ref="K16:L16"/>
    <mergeCell ref="M16:N16"/>
    <mergeCell ref="C8:F8"/>
    <mergeCell ref="K8:N8"/>
    <mergeCell ref="C10:F10"/>
    <mergeCell ref="K10:N10"/>
    <mergeCell ref="C12:F12"/>
    <mergeCell ref="K12:L12"/>
    <mergeCell ref="A28:C28"/>
    <mergeCell ref="A29:C29"/>
    <mergeCell ref="F27:G27"/>
    <mergeCell ref="H27:I27"/>
    <mergeCell ref="K27:L27"/>
    <mergeCell ref="M27:N27"/>
    <mergeCell ref="D26:E26"/>
    <mergeCell ref="F26:G26"/>
    <mergeCell ref="H26:I26"/>
    <mergeCell ref="K26:L26"/>
    <mergeCell ref="M26:N26"/>
    <mergeCell ref="A26:C26"/>
    <mergeCell ref="A27:C27"/>
    <mergeCell ref="D29:E29"/>
    <mergeCell ref="F29:G29"/>
    <mergeCell ref="H29:I29"/>
    <mergeCell ref="K29:L29"/>
    <mergeCell ref="M29:N29"/>
    <mergeCell ref="D28:E28"/>
    <mergeCell ref="F28:G28"/>
    <mergeCell ref="H28:I28"/>
    <mergeCell ref="K28:L28"/>
    <mergeCell ref="M28:N28"/>
    <mergeCell ref="A32:C32"/>
    <mergeCell ref="A33:C33"/>
    <mergeCell ref="D31:E31"/>
    <mergeCell ref="F31:G31"/>
    <mergeCell ref="H31:I31"/>
    <mergeCell ref="K31:L31"/>
    <mergeCell ref="M31:N31"/>
    <mergeCell ref="D30:E30"/>
    <mergeCell ref="F30:G30"/>
    <mergeCell ref="H30:I30"/>
    <mergeCell ref="K30:L30"/>
    <mergeCell ref="M30:N30"/>
    <mergeCell ref="A30:C30"/>
    <mergeCell ref="A31:C31"/>
    <mergeCell ref="D33:E33"/>
    <mergeCell ref="F33:G33"/>
    <mergeCell ref="H33:I33"/>
    <mergeCell ref="K33:L33"/>
    <mergeCell ref="M33:N33"/>
    <mergeCell ref="D32:E32"/>
    <mergeCell ref="F32:G32"/>
    <mergeCell ref="H32:I32"/>
    <mergeCell ref="K32:L32"/>
    <mergeCell ref="M32:N32"/>
    <mergeCell ref="A36:C36"/>
    <mergeCell ref="A37:C37"/>
    <mergeCell ref="D35:E35"/>
    <mergeCell ref="F35:G35"/>
    <mergeCell ref="H35:I35"/>
    <mergeCell ref="K35:L35"/>
    <mergeCell ref="M35:N35"/>
    <mergeCell ref="D34:E34"/>
    <mergeCell ref="F34:G34"/>
    <mergeCell ref="H34:I34"/>
    <mergeCell ref="K34:L34"/>
    <mergeCell ref="M34:N34"/>
    <mergeCell ref="A34:C34"/>
    <mergeCell ref="A35:C35"/>
    <mergeCell ref="D37:E37"/>
    <mergeCell ref="F37:G37"/>
    <mergeCell ref="H37:I37"/>
    <mergeCell ref="K37:L37"/>
    <mergeCell ref="M37:N37"/>
    <mergeCell ref="D36:E36"/>
    <mergeCell ref="F36:G36"/>
    <mergeCell ref="H36:I36"/>
    <mergeCell ref="K36:L36"/>
    <mergeCell ref="M36:N36"/>
    <mergeCell ref="A38:C38"/>
    <mergeCell ref="A39:C39"/>
    <mergeCell ref="A40:C40"/>
    <mergeCell ref="A41:C41"/>
    <mergeCell ref="D44:E44"/>
    <mergeCell ref="K44:L44"/>
    <mergeCell ref="D42:E42"/>
    <mergeCell ref="K42:L42"/>
    <mergeCell ref="D43:E43"/>
    <mergeCell ref="K43:L43"/>
    <mergeCell ref="A42:C42"/>
    <mergeCell ref="A43:C43"/>
    <mergeCell ref="A44:C44"/>
    <mergeCell ref="D46:E46"/>
    <mergeCell ref="F46:G46"/>
    <mergeCell ref="H46:I46"/>
    <mergeCell ref="M46:N46"/>
    <mergeCell ref="B52:F57"/>
    <mergeCell ref="J52:N57"/>
    <mergeCell ref="A45:C45"/>
    <mergeCell ref="D45:E45"/>
    <mergeCell ref="F45:G45"/>
    <mergeCell ref="H45:I45"/>
    <mergeCell ref="K45:L45"/>
    <mergeCell ref="M45:N45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M17:N17"/>
    <mergeCell ref="M18:N18"/>
    <mergeCell ref="M19:N19"/>
    <mergeCell ref="M20:N20"/>
    <mergeCell ref="M21:N21"/>
    <mergeCell ref="M22:N22"/>
    <mergeCell ref="M23:N23"/>
    <mergeCell ref="M39:N39"/>
    <mergeCell ref="M40:N40"/>
    <mergeCell ref="M38:N38"/>
  </mergeCells>
  <conditionalFormatting sqref="D24:D45">
    <cfRule type="expression" dxfId="15" priority="3">
      <formula>#REF!="Non"</formula>
    </cfRule>
    <cfRule type="expression" dxfId="14" priority="4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2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D904C23-6E22-461B-93C3-4B591ADAF580}">
            <xm:f>'Niveau 1 Oct'!#REF!="Non"</xm:f>
            <x14:dxf>
              <fill>
                <patternFill>
                  <bgColor theme="1"/>
                </patternFill>
              </fill>
            </x14:dxf>
          </x14:cfRule>
          <x14:cfRule type="expression" priority="2" id="{C9A3164A-6A0A-4C4A-B958-5A99A3DAE927}">
            <xm:f>'Niveau 1 Oct'!#REF!="Oui"</xm:f>
            <x14:dxf>
              <fill>
                <patternFill>
                  <bgColor theme="1"/>
                </patternFill>
              </fill>
            </x14:dxf>
          </x14:cfRule>
          <xm:sqref>D17:D23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D239"/>
  <sheetViews>
    <sheetView topLeftCell="A16" zoomScale="90" zoomScaleNormal="90" workbookViewId="0">
      <selection activeCell="T39" sqref="T39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1.5703125" style="6" customWidth="1"/>
    <col min="4" max="4" width="8.42578125" style="6" customWidth="1"/>
    <col min="5" max="5" width="10.42578125" style="6" customWidth="1"/>
    <col min="6" max="6" width="5.42578125" style="6" customWidth="1"/>
    <col min="7" max="7" width="9.85546875" style="6" customWidth="1"/>
    <col min="8" max="8" width="5.85546875" style="6" customWidth="1"/>
    <col min="9" max="9" width="1.85546875" style="6" customWidth="1"/>
    <col min="10" max="10" width="11.85546875" style="6" customWidth="1"/>
    <col min="11" max="11" width="8.140625" style="6" customWidth="1"/>
    <col min="12" max="12" width="9.5703125" style="6" customWidth="1"/>
    <col min="13" max="13" width="6.5703125" style="6" customWidth="1"/>
    <col min="14" max="14" width="9.5703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68</v>
      </c>
      <c r="E2" s="195"/>
      <c r="F2" s="195"/>
      <c r="G2" s="195"/>
      <c r="H2" s="195"/>
      <c r="I2" s="195"/>
      <c r="J2" s="195"/>
      <c r="K2" s="195"/>
      <c r="L2" s="251">
        <v>45627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6"/>
      <c r="Q3" s="4"/>
      <c r="R3" s="220"/>
      <c r="S3" s="220"/>
      <c r="T3" s="220"/>
      <c r="U3" s="36"/>
      <c r="V3" s="36"/>
      <c r="W3" s="36"/>
      <c r="X3" s="36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6"/>
      <c r="Q4" s="4"/>
      <c r="R4" s="36"/>
      <c r="S4" s="36"/>
      <c r="T4" s="36"/>
      <c r="U4" s="36"/>
      <c r="V4" s="36"/>
      <c r="W4" s="36"/>
      <c r="X4" s="36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v>45622</v>
      </c>
      <c r="M5" s="222"/>
      <c r="N5" s="222"/>
      <c r="O5" s="3"/>
      <c r="P5" s="36"/>
      <c r="Q5" s="5"/>
      <c r="R5" s="220"/>
      <c r="S5" s="220"/>
      <c r="T5" s="220"/>
      <c r="U5" s="36"/>
      <c r="V5" s="36"/>
      <c r="W5" s="36"/>
      <c r="X5" s="36"/>
      <c r="Y5" s="5"/>
    </row>
    <row r="6" spans="1:25" ht="19.5" customHeight="1" x14ac:dyDescent="0.35">
      <c r="A6" s="46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36"/>
      <c r="V6" s="36"/>
      <c r="W6" s="36"/>
      <c r="X6" s="36"/>
      <c r="Y6" s="5"/>
    </row>
    <row r="7" spans="1:25" ht="19.5" customHeight="1" thickBot="1" x14ac:dyDescent="0.4">
      <c r="A7" s="73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38"/>
      <c r="V7" s="38"/>
      <c r="W7" s="38"/>
      <c r="X7" s="38"/>
      <c r="Y7" s="5"/>
    </row>
    <row r="8" spans="1:25" ht="18" customHeight="1" thickBot="1" x14ac:dyDescent="0.3">
      <c r="A8" s="8" t="s">
        <v>2</v>
      </c>
      <c r="B8" s="24"/>
      <c r="C8" s="324"/>
      <c r="D8" s="325"/>
      <c r="E8" s="325"/>
      <c r="F8" s="326"/>
      <c r="G8" s="9"/>
      <c r="H8" s="8" t="s">
        <v>26</v>
      </c>
      <c r="I8" s="8"/>
      <c r="J8" s="8"/>
      <c r="K8" s="324"/>
      <c r="L8" s="325"/>
      <c r="M8" s="325"/>
      <c r="N8" s="326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324"/>
      <c r="D10" s="325"/>
      <c r="E10" s="325"/>
      <c r="F10" s="326"/>
      <c r="G10" s="9"/>
      <c r="H10" s="8" t="s">
        <v>25</v>
      </c>
      <c r="I10" s="8"/>
      <c r="J10" s="8"/>
      <c r="K10" s="324"/>
      <c r="L10" s="325"/>
      <c r="M10" s="325"/>
      <c r="N10" s="326"/>
      <c r="O10" s="26"/>
      <c r="P10" s="26"/>
      <c r="Q10" s="26"/>
      <c r="R10" s="26"/>
      <c r="S10" s="26"/>
      <c r="T10" s="26"/>
      <c r="U10" s="11"/>
    </row>
    <row r="11" spans="1:25" ht="13.5" customHeight="1" x14ac:dyDescent="0.3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3.5" customHeight="1" x14ac:dyDescent="0.3">
      <c r="A12" s="8"/>
      <c r="B12" s="24"/>
      <c r="C12" s="24"/>
      <c r="D12" s="24"/>
      <c r="E12" s="24"/>
      <c r="F12" s="24"/>
      <c r="G12" s="9"/>
      <c r="H12" s="8"/>
      <c r="I12" s="8"/>
      <c r="J12" s="8"/>
      <c r="K12" s="8"/>
      <c r="L12" s="8"/>
      <c r="M12" s="8"/>
      <c r="N12" s="8"/>
      <c r="O12" s="26"/>
      <c r="P12" s="26"/>
      <c r="Q12" s="26"/>
      <c r="R12" s="26"/>
      <c r="S12" s="26"/>
      <c r="T12" s="26"/>
      <c r="U12" s="11"/>
    </row>
    <row r="13" spans="1:25" s="19" customFormat="1" ht="54.75" customHeight="1" x14ac:dyDescent="0.25">
      <c r="A13" s="200" t="s">
        <v>1</v>
      </c>
      <c r="B13" s="201"/>
      <c r="C13" s="202"/>
      <c r="D13" s="203" t="s">
        <v>55</v>
      </c>
      <c r="E13" s="204"/>
      <c r="F13" s="205" t="s">
        <v>54</v>
      </c>
      <c r="G13" s="205"/>
      <c r="H13" s="203" t="s">
        <v>56</v>
      </c>
      <c r="I13" s="206"/>
      <c r="J13" s="207"/>
      <c r="K13" s="203" t="s">
        <v>57</v>
      </c>
      <c r="L13" s="208"/>
      <c r="M13" s="205" t="s">
        <v>53</v>
      </c>
      <c r="N13" s="205"/>
      <c r="O13" s="26"/>
      <c r="P13" s="26"/>
      <c r="Q13" s="26"/>
      <c r="R13" s="26"/>
      <c r="S13" s="26"/>
      <c r="T13" s="26"/>
      <c r="U13" s="20"/>
      <c r="V13" s="20"/>
      <c r="W13" s="20"/>
      <c r="X13" s="21"/>
    </row>
    <row r="14" spans="1:25" s="3" customFormat="1" x14ac:dyDescent="0.25">
      <c r="A14" s="191">
        <v>45593</v>
      </c>
      <c r="B14" s="286"/>
      <c r="C14" s="287"/>
      <c r="D14" s="348"/>
      <c r="E14" s="349"/>
      <c r="F14" s="350"/>
      <c r="G14" s="351"/>
      <c r="H14" s="55"/>
      <c r="I14" s="56"/>
      <c r="J14" s="57"/>
      <c r="K14" s="350"/>
      <c r="L14" s="351"/>
      <c r="M14" s="55"/>
      <c r="N14" s="57"/>
      <c r="P14" s="12"/>
      <c r="Q14" s="15"/>
      <c r="R14" s="15"/>
      <c r="S14" s="15"/>
      <c r="T14" s="13"/>
      <c r="U14" s="13"/>
      <c r="V14" s="13"/>
      <c r="W14" s="13"/>
      <c r="X14" s="1"/>
    </row>
    <row r="15" spans="1:25" s="3" customFormat="1" x14ac:dyDescent="0.25">
      <c r="A15" s="191">
        <v>45594</v>
      </c>
      <c r="B15" s="286"/>
      <c r="C15" s="287"/>
      <c r="D15" s="348"/>
      <c r="E15" s="349"/>
      <c r="F15" s="350"/>
      <c r="G15" s="351"/>
      <c r="H15" s="55"/>
      <c r="I15" s="56"/>
      <c r="J15" s="57"/>
      <c r="K15" s="350"/>
      <c r="L15" s="351"/>
      <c r="M15" s="55"/>
      <c r="N15" s="57"/>
      <c r="P15" s="12"/>
      <c r="Q15" s="15"/>
      <c r="R15" s="15"/>
      <c r="S15" s="15"/>
      <c r="T15" s="13"/>
      <c r="U15" s="13"/>
      <c r="V15" s="13"/>
      <c r="W15" s="13"/>
      <c r="X15" s="1"/>
    </row>
    <row r="16" spans="1:25" s="3" customFormat="1" x14ac:dyDescent="0.25">
      <c r="A16" s="191">
        <v>45595</v>
      </c>
      <c r="B16" s="286"/>
      <c r="C16" s="287"/>
      <c r="D16" s="348"/>
      <c r="E16" s="349"/>
      <c r="F16" s="350"/>
      <c r="G16" s="351"/>
      <c r="H16" s="55"/>
      <c r="I16" s="56"/>
      <c r="J16" s="57"/>
      <c r="K16" s="350"/>
      <c r="L16" s="351"/>
      <c r="M16" s="55"/>
      <c r="N16" s="57"/>
      <c r="P16" s="12"/>
      <c r="Q16" s="15"/>
      <c r="R16" s="15"/>
      <c r="S16" s="15"/>
      <c r="T16" s="13"/>
      <c r="U16" s="13"/>
      <c r="V16" s="13"/>
      <c r="W16" s="13"/>
      <c r="X16" s="1"/>
    </row>
    <row r="17" spans="1:24" s="3" customFormat="1" x14ac:dyDescent="0.25">
      <c r="A17" s="191">
        <v>45596</v>
      </c>
      <c r="B17" s="286"/>
      <c r="C17" s="287"/>
      <c r="D17" s="348"/>
      <c r="E17" s="349"/>
      <c r="F17" s="350"/>
      <c r="G17" s="351"/>
      <c r="H17" s="55"/>
      <c r="I17" s="56"/>
      <c r="J17" s="57"/>
      <c r="K17" s="350"/>
      <c r="L17" s="351"/>
      <c r="M17" s="55"/>
      <c r="N17" s="57"/>
      <c r="P17" s="12"/>
      <c r="Q17" s="15"/>
      <c r="R17" s="15"/>
      <c r="S17" s="15"/>
      <c r="T17" s="13"/>
      <c r="U17" s="13"/>
      <c r="V17" s="13"/>
      <c r="W17" s="13"/>
      <c r="X17" s="1"/>
    </row>
    <row r="18" spans="1:24" s="3" customFormat="1" x14ac:dyDescent="0.25">
      <c r="A18" s="191">
        <v>45597</v>
      </c>
      <c r="B18" s="286"/>
      <c r="C18" s="287"/>
      <c r="D18" s="348"/>
      <c r="E18" s="349"/>
      <c r="F18" s="350"/>
      <c r="G18" s="351"/>
      <c r="H18" s="55"/>
      <c r="I18" s="56"/>
      <c r="J18" s="57"/>
      <c r="K18" s="350"/>
      <c r="L18" s="351"/>
      <c r="M18" s="55"/>
      <c r="N18" s="57"/>
      <c r="P18" s="12"/>
      <c r="Q18" s="15"/>
      <c r="R18" s="15"/>
      <c r="S18" s="15"/>
      <c r="T18" s="13"/>
      <c r="U18" s="13"/>
      <c r="V18" s="13"/>
      <c r="W18" s="13"/>
      <c r="X18" s="1"/>
    </row>
    <row r="19" spans="1:24" s="3" customFormat="1" x14ac:dyDescent="0.25">
      <c r="A19" s="191">
        <v>45598</v>
      </c>
      <c r="B19" s="286"/>
      <c r="C19" s="287"/>
      <c r="D19" s="348"/>
      <c r="E19" s="349"/>
      <c r="F19" s="350"/>
      <c r="G19" s="351"/>
      <c r="H19" s="55"/>
      <c r="I19" s="56"/>
      <c r="J19" s="57"/>
      <c r="K19" s="350"/>
      <c r="L19" s="351"/>
      <c r="M19" s="55"/>
      <c r="N19" s="57"/>
      <c r="P19" s="12"/>
      <c r="Q19" s="15"/>
      <c r="R19" s="15"/>
      <c r="S19" s="15"/>
      <c r="T19" s="13"/>
      <c r="U19" s="13"/>
      <c r="V19" s="13"/>
      <c r="W19" s="13"/>
      <c r="X19" s="1"/>
    </row>
    <row r="20" spans="1:24" s="3" customFormat="1" x14ac:dyDescent="0.25">
      <c r="A20" s="191">
        <v>45599</v>
      </c>
      <c r="B20" s="286"/>
      <c r="C20" s="287"/>
      <c r="D20" s="348"/>
      <c r="E20" s="349"/>
      <c r="F20" s="350"/>
      <c r="G20" s="351"/>
      <c r="H20" s="55"/>
      <c r="I20" s="56"/>
      <c r="J20" s="57"/>
      <c r="K20" s="350"/>
      <c r="L20" s="351"/>
      <c r="M20" s="55"/>
      <c r="N20" s="57"/>
      <c r="P20" s="12"/>
      <c r="Q20" s="15"/>
      <c r="R20" s="15"/>
      <c r="S20" s="15"/>
      <c r="T20" s="13"/>
      <c r="U20" s="13"/>
      <c r="V20" s="13"/>
      <c r="W20" s="13"/>
      <c r="X20" s="1"/>
    </row>
    <row r="21" spans="1:24" s="3" customFormat="1" ht="15.75" x14ac:dyDescent="0.25">
      <c r="A21" s="191">
        <v>45600</v>
      </c>
      <c r="B21" s="286"/>
      <c r="C21" s="287"/>
      <c r="D21" s="322"/>
      <c r="E21" s="322"/>
      <c r="F21" s="323"/>
      <c r="G21" s="323"/>
      <c r="H21" s="323"/>
      <c r="I21" s="323"/>
      <c r="J21" s="323"/>
      <c r="K21" s="323"/>
      <c r="L21" s="323"/>
      <c r="M21" s="309"/>
      <c r="N21" s="310"/>
      <c r="O21" s="26"/>
      <c r="P21" s="26"/>
      <c r="Q21" s="26"/>
      <c r="R21" s="26"/>
      <c r="S21" s="26"/>
      <c r="T21" s="26"/>
      <c r="U21" s="13"/>
      <c r="V21" s="13"/>
      <c r="W21" s="13"/>
      <c r="X21" s="1"/>
    </row>
    <row r="22" spans="1:24" s="3" customFormat="1" ht="15.75" x14ac:dyDescent="0.25">
      <c r="A22" s="191">
        <v>45601</v>
      </c>
      <c r="B22" s="286"/>
      <c r="C22" s="287"/>
      <c r="D22" s="322"/>
      <c r="E22" s="322"/>
      <c r="F22" s="323"/>
      <c r="G22" s="323"/>
      <c r="H22" s="323"/>
      <c r="I22" s="323"/>
      <c r="J22" s="323"/>
      <c r="K22" s="323"/>
      <c r="L22" s="323"/>
      <c r="M22" s="309"/>
      <c r="N22" s="310"/>
      <c r="P22" s="26"/>
      <c r="Q22" s="26"/>
      <c r="R22" s="26"/>
      <c r="S22" s="26"/>
      <c r="T22" s="26"/>
      <c r="U22" s="13"/>
      <c r="V22" s="13"/>
      <c r="W22" s="13"/>
      <c r="X22" s="1"/>
    </row>
    <row r="23" spans="1:24" s="3" customFormat="1" ht="15.75" x14ac:dyDescent="0.25">
      <c r="A23" s="191">
        <v>45602</v>
      </c>
      <c r="B23" s="286"/>
      <c r="C23" s="287"/>
      <c r="D23" s="322"/>
      <c r="E23" s="322"/>
      <c r="F23" s="323"/>
      <c r="G23" s="323"/>
      <c r="H23" s="323"/>
      <c r="I23" s="323"/>
      <c r="J23" s="323"/>
      <c r="K23" s="323"/>
      <c r="L23" s="323"/>
      <c r="M23" s="309"/>
      <c r="N23" s="310"/>
      <c r="P23" s="26"/>
      <c r="Q23" s="26"/>
      <c r="R23" s="26"/>
      <c r="S23" s="26"/>
      <c r="T23" s="26"/>
      <c r="U23" s="26"/>
      <c r="V23" s="13"/>
      <c r="W23" s="13"/>
      <c r="X23" s="1"/>
    </row>
    <row r="24" spans="1:24" s="3" customFormat="1" x14ac:dyDescent="0.25">
      <c r="A24" s="191">
        <v>45603</v>
      </c>
      <c r="B24" s="286"/>
      <c r="C24" s="287"/>
      <c r="D24" s="322"/>
      <c r="E24" s="322"/>
      <c r="F24" s="323"/>
      <c r="G24" s="323"/>
      <c r="H24" s="323"/>
      <c r="I24" s="323"/>
      <c r="J24" s="323"/>
      <c r="K24" s="323"/>
      <c r="L24" s="323"/>
      <c r="M24" s="309"/>
      <c r="N24" s="310"/>
      <c r="P24" s="12"/>
      <c r="Q24" s="12"/>
      <c r="R24" s="12"/>
      <c r="S24" s="12"/>
      <c r="T24" s="13"/>
      <c r="U24" s="13"/>
      <c r="V24" s="13"/>
      <c r="W24" s="13"/>
      <c r="X24" s="1"/>
    </row>
    <row r="25" spans="1:24" s="3" customFormat="1" x14ac:dyDescent="0.25">
      <c r="A25" s="191">
        <v>45604</v>
      </c>
      <c r="B25" s="286"/>
      <c r="C25" s="287"/>
      <c r="D25" s="322"/>
      <c r="E25" s="322"/>
      <c r="F25" s="323"/>
      <c r="G25" s="323"/>
      <c r="H25" s="309"/>
      <c r="I25" s="327"/>
      <c r="J25" s="310"/>
      <c r="K25" s="323"/>
      <c r="L25" s="323"/>
      <c r="M25" s="309"/>
      <c r="N25" s="310"/>
      <c r="P25" s="12"/>
      <c r="Q25" s="12"/>
      <c r="R25" s="12"/>
      <c r="S25" s="12"/>
      <c r="T25" s="13"/>
      <c r="U25" s="13"/>
      <c r="V25" s="13"/>
      <c r="W25" s="13"/>
      <c r="X25" s="1"/>
    </row>
    <row r="26" spans="1:24" s="3" customFormat="1" x14ac:dyDescent="0.25">
      <c r="A26" s="191">
        <v>45605</v>
      </c>
      <c r="B26" s="286"/>
      <c r="C26" s="287"/>
      <c r="D26" s="322"/>
      <c r="E26" s="322"/>
      <c r="F26" s="323"/>
      <c r="G26" s="323"/>
      <c r="H26" s="323"/>
      <c r="I26" s="323"/>
      <c r="J26" s="323"/>
      <c r="K26" s="323"/>
      <c r="L26" s="323"/>
      <c r="M26" s="309"/>
      <c r="N26" s="310"/>
      <c r="P26" s="12"/>
      <c r="Q26" s="12"/>
      <c r="R26" s="12"/>
      <c r="S26" s="12"/>
      <c r="T26" s="13"/>
      <c r="U26" s="13"/>
      <c r="V26" s="13"/>
      <c r="W26" s="13"/>
      <c r="X26" s="1"/>
    </row>
    <row r="27" spans="1:24" s="3" customFormat="1" x14ac:dyDescent="0.25">
      <c r="A27" s="191">
        <v>45606</v>
      </c>
      <c r="B27" s="286"/>
      <c r="C27" s="287"/>
      <c r="D27" s="322"/>
      <c r="E27" s="322"/>
      <c r="F27" s="323"/>
      <c r="G27" s="323"/>
      <c r="H27" s="323"/>
      <c r="I27" s="323"/>
      <c r="J27" s="323"/>
      <c r="K27" s="323"/>
      <c r="L27" s="323"/>
      <c r="M27" s="309"/>
      <c r="N27" s="310"/>
      <c r="P27" s="12"/>
      <c r="Q27" s="12"/>
      <c r="R27" s="12"/>
      <c r="S27" s="12"/>
      <c r="T27" s="13"/>
      <c r="U27" s="13"/>
      <c r="V27" s="13"/>
      <c r="W27" s="13"/>
      <c r="X27" s="1"/>
    </row>
    <row r="28" spans="1:24" s="3" customFormat="1" x14ac:dyDescent="0.25">
      <c r="A28" s="191">
        <v>45607</v>
      </c>
      <c r="B28" s="286"/>
      <c r="C28" s="287"/>
      <c r="D28" s="322"/>
      <c r="E28" s="322"/>
      <c r="F28" s="323"/>
      <c r="G28" s="323"/>
      <c r="H28" s="323"/>
      <c r="I28" s="323"/>
      <c r="J28" s="323"/>
      <c r="K28" s="323"/>
      <c r="L28" s="323"/>
      <c r="M28" s="309"/>
      <c r="N28" s="310"/>
      <c r="P28" s="12"/>
      <c r="Q28" s="12"/>
      <c r="R28" s="12"/>
      <c r="S28" s="12"/>
      <c r="T28" s="13"/>
      <c r="U28" s="13"/>
      <c r="V28" s="13"/>
      <c r="W28" s="13"/>
      <c r="X28" s="1"/>
    </row>
    <row r="29" spans="1:24" s="3" customFormat="1" x14ac:dyDescent="0.25">
      <c r="A29" s="191">
        <v>45608</v>
      </c>
      <c r="B29" s="286"/>
      <c r="C29" s="287"/>
      <c r="D29" s="322"/>
      <c r="E29" s="322"/>
      <c r="F29" s="323"/>
      <c r="G29" s="323"/>
      <c r="H29" s="323"/>
      <c r="I29" s="323"/>
      <c r="J29" s="323"/>
      <c r="K29" s="323"/>
      <c r="L29" s="323"/>
      <c r="M29" s="309"/>
      <c r="N29" s="310"/>
      <c r="P29" s="12"/>
      <c r="Q29" s="12"/>
      <c r="R29" s="12"/>
      <c r="S29" s="12"/>
      <c r="T29" s="13"/>
      <c r="U29" s="13"/>
      <c r="V29" s="13"/>
      <c r="W29" s="13"/>
      <c r="X29" s="1"/>
    </row>
    <row r="30" spans="1:24" s="3" customFormat="1" x14ac:dyDescent="0.25">
      <c r="A30" s="191">
        <v>45609</v>
      </c>
      <c r="B30" s="286"/>
      <c r="C30" s="287"/>
      <c r="D30" s="322"/>
      <c r="E30" s="322"/>
      <c r="F30" s="323"/>
      <c r="G30" s="323"/>
      <c r="H30" s="323"/>
      <c r="I30" s="323"/>
      <c r="J30" s="323"/>
      <c r="K30" s="323"/>
      <c r="L30" s="323"/>
      <c r="M30" s="309"/>
      <c r="N30" s="310"/>
      <c r="P30" s="12"/>
      <c r="Q30" s="12"/>
      <c r="R30" s="12"/>
      <c r="S30" s="12"/>
      <c r="T30" s="13"/>
      <c r="U30" s="13"/>
      <c r="V30" s="13"/>
      <c r="W30" s="13"/>
      <c r="X30" s="1"/>
    </row>
    <row r="31" spans="1:24" s="3" customFormat="1" x14ac:dyDescent="0.25">
      <c r="A31" s="191">
        <v>45610</v>
      </c>
      <c r="B31" s="286"/>
      <c r="C31" s="287"/>
      <c r="D31" s="322"/>
      <c r="E31" s="322"/>
      <c r="F31" s="323"/>
      <c r="G31" s="323"/>
      <c r="H31" s="323"/>
      <c r="I31" s="323"/>
      <c r="J31" s="323"/>
      <c r="K31" s="323"/>
      <c r="L31" s="323"/>
      <c r="M31" s="309"/>
      <c r="N31" s="310"/>
      <c r="P31" s="12"/>
      <c r="Q31" s="15"/>
      <c r="R31" s="15"/>
      <c r="S31" s="15"/>
      <c r="T31" s="13"/>
      <c r="U31" s="13"/>
      <c r="V31" s="13"/>
      <c r="W31" s="13"/>
      <c r="X31" s="1"/>
    </row>
    <row r="32" spans="1:24" s="3" customFormat="1" x14ac:dyDescent="0.25">
      <c r="A32" s="191">
        <v>45611</v>
      </c>
      <c r="B32" s="286"/>
      <c r="C32" s="287"/>
      <c r="D32" s="322"/>
      <c r="E32" s="322"/>
      <c r="F32" s="323"/>
      <c r="G32" s="323"/>
      <c r="H32" s="323"/>
      <c r="I32" s="323"/>
      <c r="J32" s="323"/>
      <c r="K32" s="323"/>
      <c r="L32" s="323"/>
      <c r="M32" s="309"/>
      <c r="N32" s="310"/>
      <c r="P32" s="12"/>
      <c r="Q32" s="15"/>
      <c r="R32" s="15"/>
      <c r="S32" s="15"/>
      <c r="T32" s="13"/>
      <c r="U32" s="13"/>
      <c r="V32" s="13"/>
      <c r="W32" s="13"/>
      <c r="X32" s="1"/>
    </row>
    <row r="33" spans="1:25" s="3" customFormat="1" x14ac:dyDescent="0.25">
      <c r="A33" s="191">
        <v>45612</v>
      </c>
      <c r="B33" s="286"/>
      <c r="C33" s="287"/>
      <c r="D33" s="322"/>
      <c r="E33" s="322"/>
      <c r="F33" s="323"/>
      <c r="G33" s="323"/>
      <c r="H33" s="323"/>
      <c r="I33" s="323"/>
      <c r="J33" s="323"/>
      <c r="K33" s="323"/>
      <c r="L33" s="323"/>
      <c r="M33" s="309"/>
      <c r="N33" s="310"/>
      <c r="P33" s="12"/>
      <c r="Q33" s="15"/>
      <c r="R33" s="15"/>
      <c r="S33" s="15"/>
      <c r="T33" s="13"/>
      <c r="U33" s="13"/>
      <c r="V33" s="13"/>
      <c r="W33" s="13"/>
      <c r="X33" s="1"/>
    </row>
    <row r="34" spans="1:25" s="3" customFormat="1" x14ac:dyDescent="0.25">
      <c r="A34" s="191">
        <v>45613</v>
      </c>
      <c r="B34" s="286"/>
      <c r="C34" s="287"/>
      <c r="D34" s="322"/>
      <c r="E34" s="322"/>
      <c r="F34" s="323"/>
      <c r="G34" s="323"/>
      <c r="H34" s="323"/>
      <c r="I34" s="323"/>
      <c r="J34" s="323"/>
      <c r="K34" s="323"/>
      <c r="L34" s="323"/>
      <c r="M34" s="309"/>
      <c r="N34" s="310"/>
      <c r="O34" s="1"/>
      <c r="P34" s="12"/>
      <c r="Q34" s="15"/>
      <c r="R34" s="15"/>
      <c r="S34" s="15"/>
      <c r="T34" s="13"/>
      <c r="U34" s="13"/>
      <c r="V34" s="13"/>
      <c r="W34" s="13"/>
      <c r="X34" s="1"/>
    </row>
    <row r="35" spans="1:25" s="3" customFormat="1" x14ac:dyDescent="0.25">
      <c r="A35" s="191">
        <v>45614</v>
      </c>
      <c r="B35" s="286"/>
      <c r="C35" s="287"/>
      <c r="D35" s="322"/>
      <c r="E35" s="322"/>
      <c r="F35" s="323"/>
      <c r="G35" s="323"/>
      <c r="H35" s="323"/>
      <c r="I35" s="323"/>
      <c r="J35" s="323"/>
      <c r="K35" s="323"/>
      <c r="L35" s="323"/>
      <c r="M35" s="309"/>
      <c r="N35" s="310"/>
      <c r="P35" s="12"/>
      <c r="Q35" s="15"/>
      <c r="R35" s="15"/>
      <c r="S35" s="15"/>
      <c r="T35" s="13"/>
      <c r="U35" s="13"/>
      <c r="V35" s="13"/>
      <c r="W35" s="13"/>
      <c r="X35" s="1"/>
    </row>
    <row r="36" spans="1:25" s="3" customFormat="1" x14ac:dyDescent="0.25">
      <c r="A36" s="191">
        <v>45615</v>
      </c>
      <c r="B36" s="286"/>
      <c r="C36" s="287"/>
      <c r="D36" s="322"/>
      <c r="E36" s="322"/>
      <c r="F36" s="323"/>
      <c r="G36" s="323"/>
      <c r="H36" s="323"/>
      <c r="I36" s="323"/>
      <c r="J36" s="323"/>
      <c r="K36" s="323"/>
      <c r="L36" s="323"/>
      <c r="M36" s="309"/>
      <c r="N36" s="310"/>
      <c r="P36" s="12"/>
      <c r="Q36" s="15"/>
      <c r="R36" s="15"/>
      <c r="S36" s="15"/>
      <c r="T36" s="13"/>
      <c r="U36" s="13"/>
      <c r="V36" s="13"/>
      <c r="W36" s="13"/>
      <c r="X36" s="1"/>
    </row>
    <row r="37" spans="1:25" s="3" customFormat="1" x14ac:dyDescent="0.25">
      <c r="A37" s="191">
        <v>45616</v>
      </c>
      <c r="B37" s="286"/>
      <c r="C37" s="287"/>
      <c r="D37" s="322"/>
      <c r="E37" s="322"/>
      <c r="F37" s="323"/>
      <c r="G37" s="323"/>
      <c r="H37" s="323"/>
      <c r="I37" s="323"/>
      <c r="J37" s="323"/>
      <c r="K37" s="323"/>
      <c r="L37" s="323"/>
      <c r="M37" s="309"/>
      <c r="N37" s="310"/>
      <c r="P37" s="12"/>
      <c r="Q37" s="15"/>
      <c r="R37" s="15"/>
      <c r="S37" s="15"/>
      <c r="T37" s="13"/>
      <c r="U37" s="13"/>
      <c r="V37" s="13"/>
      <c r="W37" s="13"/>
      <c r="X37" s="1"/>
    </row>
    <row r="38" spans="1:25" s="3" customFormat="1" x14ac:dyDescent="0.25">
      <c r="A38" s="191">
        <v>45617</v>
      </c>
      <c r="B38" s="286"/>
      <c r="C38" s="287"/>
      <c r="D38" s="322"/>
      <c r="E38" s="322"/>
      <c r="F38" s="323"/>
      <c r="G38" s="323"/>
      <c r="H38" s="323"/>
      <c r="I38" s="323"/>
      <c r="J38" s="323"/>
      <c r="K38" s="323"/>
      <c r="L38" s="323"/>
      <c r="M38" s="309"/>
      <c r="N38" s="310"/>
      <c r="P38" s="12"/>
      <c r="Q38" s="15"/>
      <c r="R38" s="15"/>
      <c r="S38" s="15"/>
      <c r="T38" s="13"/>
      <c r="U38" s="13"/>
      <c r="V38" s="13"/>
      <c r="W38" s="13"/>
      <c r="X38" s="1"/>
    </row>
    <row r="39" spans="1:25" s="3" customFormat="1" x14ac:dyDescent="0.25">
      <c r="A39" s="191">
        <v>45618</v>
      </c>
      <c r="B39" s="286"/>
      <c r="C39" s="287"/>
      <c r="D39" s="322"/>
      <c r="E39" s="322"/>
      <c r="F39" s="323"/>
      <c r="G39" s="323"/>
      <c r="H39" s="323"/>
      <c r="I39" s="323"/>
      <c r="J39" s="323"/>
      <c r="K39" s="323"/>
      <c r="L39" s="323"/>
      <c r="M39" s="309"/>
      <c r="N39" s="310"/>
      <c r="P39" s="12"/>
      <c r="Q39" s="15"/>
      <c r="R39" s="15"/>
      <c r="S39" s="15"/>
      <c r="T39" s="13"/>
      <c r="U39" s="13"/>
      <c r="V39" s="13"/>
      <c r="W39" s="13"/>
      <c r="X39" s="1"/>
    </row>
    <row r="40" spans="1:25" s="3" customFormat="1" x14ac:dyDescent="0.25">
      <c r="A40" s="191">
        <v>45619</v>
      </c>
      <c r="B40" s="286"/>
      <c r="C40" s="287"/>
      <c r="D40" s="322"/>
      <c r="E40" s="322"/>
      <c r="F40" s="323"/>
      <c r="G40" s="323"/>
      <c r="H40" s="323"/>
      <c r="I40" s="323"/>
      <c r="J40" s="323"/>
      <c r="K40" s="323"/>
      <c r="L40" s="323"/>
      <c r="M40" s="309"/>
      <c r="N40" s="310"/>
      <c r="P40" s="12"/>
      <c r="Q40" s="15"/>
      <c r="R40" s="15"/>
      <c r="S40" s="15"/>
      <c r="T40" s="13"/>
      <c r="U40" s="13"/>
      <c r="V40" s="13"/>
      <c r="W40" s="13"/>
      <c r="X40" s="1"/>
    </row>
    <row r="41" spans="1:25" s="3" customFormat="1" x14ac:dyDescent="0.25">
      <c r="A41" s="191">
        <v>45620</v>
      </c>
      <c r="B41" s="286"/>
      <c r="C41" s="287"/>
      <c r="D41" s="322"/>
      <c r="E41" s="322"/>
      <c r="F41" s="323"/>
      <c r="G41" s="323"/>
      <c r="H41" s="323"/>
      <c r="I41" s="323"/>
      <c r="J41" s="323"/>
      <c r="K41" s="323"/>
      <c r="L41" s="323"/>
      <c r="M41" s="309"/>
      <c r="N41" s="310"/>
      <c r="P41" s="12"/>
      <c r="Q41" s="15"/>
      <c r="R41" s="15"/>
      <c r="S41" s="15"/>
      <c r="T41" s="13"/>
      <c r="U41" s="13"/>
      <c r="V41" s="13"/>
      <c r="W41" s="13"/>
      <c r="X41" s="1"/>
    </row>
    <row r="42" spans="1:25" s="3" customFormat="1" ht="15.75" x14ac:dyDescent="0.25">
      <c r="A42" s="231" t="s">
        <v>21</v>
      </c>
      <c r="B42" s="232"/>
      <c r="C42" s="233"/>
      <c r="D42" s="393">
        <f>+COUNTA(D14:E41)</f>
        <v>0</v>
      </c>
      <c r="E42" s="394"/>
      <c r="F42" s="313">
        <f>+COUNTA(F14:G41)</f>
        <v>0</v>
      </c>
      <c r="G42" s="314"/>
      <c r="H42" s="323"/>
      <c r="I42" s="323"/>
      <c r="J42" s="323"/>
      <c r="K42" s="323"/>
      <c r="L42" s="323"/>
      <c r="M42" s="309"/>
      <c r="N42" s="310"/>
      <c r="O42" s="12"/>
      <c r="P42" s="12"/>
      <c r="Q42" s="12"/>
      <c r="R42" s="12"/>
      <c r="S42" s="12"/>
      <c r="T42" s="13"/>
      <c r="U42" s="13"/>
      <c r="V42" s="13"/>
      <c r="W42" s="13"/>
      <c r="X42" s="1"/>
    </row>
    <row r="43" spans="1:25" s="3" customFormat="1" x14ac:dyDescent="0.25">
      <c r="A43" s="12"/>
      <c r="B43" s="12"/>
      <c r="C43" s="12"/>
      <c r="D43" s="238" t="s">
        <v>38</v>
      </c>
      <c r="E43" s="239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3"/>
      <c r="U43" s="13"/>
      <c r="V43" s="13"/>
      <c r="W43" s="13"/>
      <c r="X43" s="1"/>
    </row>
    <row r="44" spans="1:25" s="3" customFormat="1" x14ac:dyDescent="0.25">
      <c r="K44" s="12"/>
      <c r="L44" s="12"/>
      <c r="M44" s="12"/>
      <c r="N44" s="12"/>
      <c r="O44" s="12"/>
      <c r="P44" s="12"/>
      <c r="U44" s="1"/>
      <c r="V44" s="1"/>
      <c r="W44" s="1"/>
      <c r="X44" s="1"/>
      <c r="Y44" s="1"/>
    </row>
    <row r="45" spans="1:25" s="3" customFormat="1" x14ac:dyDescent="0.25">
      <c r="A45" s="29" t="s">
        <v>20</v>
      </c>
      <c r="B45" s="30"/>
      <c r="C45" s="29"/>
      <c r="D45" s="29"/>
      <c r="E45" s="16"/>
      <c r="H45" s="18"/>
      <c r="P45" s="12"/>
      <c r="U45" s="1"/>
      <c r="V45" s="1"/>
      <c r="W45" s="1"/>
      <c r="X45" s="1"/>
      <c r="Y45" s="1"/>
    </row>
    <row r="46" spans="1:25" s="3" customFormat="1" x14ac:dyDescent="0.25">
      <c r="A46" s="29" t="s">
        <v>7</v>
      </c>
      <c r="B46" s="30"/>
      <c r="C46" s="31">
        <f ca="1">TODAY()</f>
        <v>45320</v>
      </c>
      <c r="D46" s="29"/>
      <c r="E46" s="16"/>
      <c r="J46" s="28" t="s">
        <v>22</v>
      </c>
      <c r="P46" s="12"/>
      <c r="U46" s="1"/>
      <c r="V46" s="1"/>
      <c r="W46" s="1"/>
      <c r="X46" s="1"/>
      <c r="Y46" s="1"/>
    </row>
    <row r="47" spans="1:25" s="3" customFormat="1" x14ac:dyDescent="0.25">
      <c r="A47" s="28"/>
      <c r="B47" s="315" t="s">
        <v>47</v>
      </c>
      <c r="C47" s="315"/>
      <c r="D47" s="315"/>
      <c r="E47" s="315"/>
      <c r="F47" s="315"/>
      <c r="J47" s="315" t="s">
        <v>48</v>
      </c>
      <c r="K47" s="315"/>
      <c r="L47" s="315"/>
      <c r="M47" s="315"/>
      <c r="N47" s="315"/>
      <c r="U47" s="1"/>
      <c r="V47" s="1"/>
      <c r="W47" s="1"/>
      <c r="X47" s="1"/>
      <c r="Y47" s="1"/>
    </row>
    <row r="48" spans="1:25" s="3" customFormat="1" x14ac:dyDescent="0.25">
      <c r="B48" s="315"/>
      <c r="C48" s="315"/>
      <c r="D48" s="315"/>
      <c r="E48" s="315"/>
      <c r="F48" s="315"/>
      <c r="J48" s="315"/>
      <c r="K48" s="315"/>
      <c r="L48" s="315"/>
      <c r="M48" s="315"/>
      <c r="N48" s="315"/>
      <c r="U48" s="1"/>
      <c r="V48" s="1"/>
      <c r="W48" s="1"/>
      <c r="X48" s="1"/>
      <c r="Y48" s="1"/>
    </row>
    <row r="49" spans="1:25" s="3" customFormat="1" x14ac:dyDescent="0.25">
      <c r="B49" s="315"/>
      <c r="C49" s="315"/>
      <c r="D49" s="315"/>
      <c r="E49" s="315"/>
      <c r="F49" s="315"/>
      <c r="J49" s="315"/>
      <c r="K49" s="315"/>
      <c r="L49" s="315"/>
      <c r="M49" s="315"/>
      <c r="N49" s="315"/>
      <c r="U49" s="1"/>
      <c r="V49" s="1"/>
      <c r="W49" s="1"/>
      <c r="X49" s="1"/>
      <c r="Y49" s="1"/>
    </row>
    <row r="50" spans="1:25" s="3" customFormat="1" x14ac:dyDescent="0.25">
      <c r="B50" s="315"/>
      <c r="C50" s="315"/>
      <c r="D50" s="315"/>
      <c r="E50" s="315"/>
      <c r="F50" s="315"/>
      <c r="J50" s="315"/>
      <c r="K50" s="315"/>
      <c r="L50" s="315"/>
      <c r="M50" s="315"/>
      <c r="N50" s="315"/>
      <c r="U50" s="1"/>
      <c r="V50" s="1"/>
      <c r="W50" s="1"/>
      <c r="X50" s="1"/>
      <c r="Y50" s="1"/>
    </row>
    <row r="51" spans="1:25" s="3" customFormat="1" x14ac:dyDescent="0.25">
      <c r="B51" s="315"/>
      <c r="C51" s="315"/>
      <c r="D51" s="315"/>
      <c r="E51" s="315"/>
      <c r="F51" s="315"/>
      <c r="J51" s="315"/>
      <c r="K51" s="315"/>
      <c r="L51" s="315"/>
      <c r="M51" s="315"/>
      <c r="N51" s="315"/>
      <c r="U51" s="1"/>
      <c r="V51" s="1"/>
      <c r="W51" s="1"/>
      <c r="X51" s="1"/>
      <c r="Y51" s="1"/>
    </row>
    <row r="52" spans="1:25" s="3" customFormat="1" x14ac:dyDescent="0.25">
      <c r="B52" s="315"/>
      <c r="C52" s="315"/>
      <c r="D52" s="315"/>
      <c r="E52" s="315"/>
      <c r="F52" s="315"/>
      <c r="J52" s="315"/>
      <c r="K52" s="315"/>
      <c r="L52" s="315"/>
      <c r="M52" s="315"/>
      <c r="N52" s="315"/>
      <c r="U52" s="1"/>
      <c r="V52" s="1"/>
      <c r="W52" s="1"/>
      <c r="X52" s="1"/>
      <c r="Y52" s="1"/>
    </row>
    <row r="53" spans="1:25" s="3" customFormat="1" x14ac:dyDescent="0.25">
      <c r="A53" s="3" t="s">
        <v>46</v>
      </c>
      <c r="B53" s="23"/>
      <c r="J53" s="3" t="s">
        <v>39</v>
      </c>
      <c r="U53" s="1"/>
      <c r="V53" s="1"/>
      <c r="W53" s="1"/>
      <c r="X53" s="1"/>
      <c r="Y53" s="1"/>
    </row>
    <row r="54" spans="1:25" s="3" customFormat="1" x14ac:dyDescent="0.25">
      <c r="B54" s="23"/>
      <c r="U54" s="1"/>
      <c r="V54" s="1"/>
      <c r="W54" s="1"/>
      <c r="X54" s="1"/>
      <c r="Y54" s="1"/>
    </row>
    <row r="55" spans="1:25" s="3" customFormat="1" x14ac:dyDescent="0.25">
      <c r="B55" s="23"/>
      <c r="U55" s="1"/>
      <c r="V55" s="1"/>
      <c r="W55" s="1"/>
      <c r="X55" s="1"/>
      <c r="Y55" s="1"/>
    </row>
    <row r="56" spans="1:25" s="3" customFormat="1" x14ac:dyDescent="0.25">
      <c r="A56" s="29"/>
      <c r="B56" s="23"/>
      <c r="D56" s="29"/>
      <c r="U56" s="1"/>
      <c r="V56" s="1"/>
      <c r="W56" s="1"/>
      <c r="X56" s="1"/>
      <c r="Y56" s="1"/>
    </row>
    <row r="57" spans="1:25" s="3" customFormat="1" x14ac:dyDescent="0.25">
      <c r="U57" s="1"/>
      <c r="V57" s="1"/>
      <c r="W57" s="1"/>
      <c r="X57" s="1"/>
      <c r="Y57" s="1"/>
    </row>
    <row r="58" spans="1:25" s="3" customFormat="1" x14ac:dyDescent="0.25">
      <c r="B58" s="23"/>
      <c r="U58" s="1"/>
      <c r="V58" s="1"/>
      <c r="W58" s="1"/>
      <c r="X58" s="1"/>
      <c r="Y58" s="1"/>
    </row>
    <row r="59" spans="1:25" s="3" customFormat="1" x14ac:dyDescent="0.25">
      <c r="B59" s="23"/>
      <c r="U59" s="1"/>
      <c r="V59" s="1"/>
      <c r="W59" s="1"/>
      <c r="X59" s="1"/>
      <c r="Y59" s="1"/>
    </row>
    <row r="60" spans="1:25" s="3" customFormat="1" x14ac:dyDescent="0.25">
      <c r="B60" s="23"/>
      <c r="U60" s="1"/>
      <c r="V60" s="1"/>
      <c r="W60" s="1"/>
      <c r="X60" s="1"/>
      <c r="Y60" s="1"/>
    </row>
    <row r="61" spans="1:25" s="3" customFormat="1" x14ac:dyDescent="0.25">
      <c r="B61" s="23"/>
      <c r="U61" s="1"/>
      <c r="V61" s="1"/>
      <c r="W61" s="1"/>
      <c r="X61" s="1"/>
      <c r="Y61" s="1"/>
    </row>
    <row r="62" spans="1:25" s="3" customFormat="1" x14ac:dyDescent="0.25">
      <c r="B62" s="23"/>
      <c r="U62" s="1"/>
      <c r="V62" s="1"/>
      <c r="W62" s="1"/>
      <c r="X62" s="1"/>
      <c r="Y62" s="1"/>
    </row>
    <row r="63" spans="1:25" s="3" customFormat="1" x14ac:dyDescent="0.25">
      <c r="B63" s="23"/>
      <c r="U63" s="1"/>
      <c r="V63" s="1"/>
      <c r="W63" s="1"/>
      <c r="X63" s="1"/>
      <c r="Y63" s="1"/>
    </row>
    <row r="64" spans="1:25" s="3" customFormat="1" x14ac:dyDescent="0.25">
      <c r="B64" s="23"/>
      <c r="U64" s="1"/>
      <c r="V64" s="1"/>
      <c r="W64" s="1"/>
      <c r="X64" s="1"/>
      <c r="Y64" s="1"/>
    </row>
    <row r="65" spans="2:25" s="3" customFormat="1" x14ac:dyDescent="0.25">
      <c r="B65" s="23"/>
      <c r="U65" s="1"/>
      <c r="V65" s="1"/>
      <c r="W65" s="1"/>
      <c r="X65" s="1"/>
      <c r="Y65" s="1"/>
    </row>
    <row r="66" spans="2:25" s="3" customFormat="1" x14ac:dyDescent="0.25">
      <c r="B66" s="23"/>
      <c r="U66" s="1"/>
      <c r="V66" s="1"/>
      <c r="W66" s="1"/>
      <c r="X66" s="1"/>
      <c r="Y66" s="1"/>
    </row>
    <row r="67" spans="2:25" s="3" customFormat="1" x14ac:dyDescent="0.25">
      <c r="B67" s="23"/>
      <c r="U67" s="1"/>
      <c r="V67" s="1"/>
      <c r="W67" s="1"/>
      <c r="X67" s="1"/>
      <c r="Y67" s="1"/>
    </row>
    <row r="68" spans="2:25" s="3" customFormat="1" x14ac:dyDescent="0.25">
      <c r="B68" s="23"/>
      <c r="U68" s="1"/>
      <c r="V68" s="1"/>
      <c r="W68" s="1"/>
      <c r="X68" s="1"/>
      <c r="Y68" s="1"/>
    </row>
    <row r="69" spans="2:25" s="3" customFormat="1" x14ac:dyDescent="0.25">
      <c r="B69" s="23"/>
      <c r="U69" s="1"/>
      <c r="V69" s="1"/>
      <c r="W69" s="1"/>
      <c r="X69" s="1"/>
      <c r="Y69" s="1"/>
    </row>
    <row r="70" spans="2:25" s="3" customFormat="1" x14ac:dyDescent="0.25">
      <c r="B70" s="23"/>
      <c r="U70" s="1"/>
      <c r="V70" s="1"/>
      <c r="W70" s="1"/>
      <c r="X70" s="1"/>
      <c r="Y70" s="1"/>
    </row>
    <row r="71" spans="2:25" s="3" customFormat="1" x14ac:dyDescent="0.25">
      <c r="B71" s="23"/>
      <c r="U71" s="1"/>
      <c r="V71" s="1"/>
      <c r="W71" s="1"/>
      <c r="X71" s="1"/>
      <c r="Y71" s="1"/>
    </row>
    <row r="72" spans="2:25" s="3" customFormat="1" x14ac:dyDescent="0.25">
      <c r="B72" s="23"/>
      <c r="U72" s="1"/>
      <c r="V72" s="1"/>
      <c r="W72" s="1"/>
      <c r="X72" s="1"/>
      <c r="Y72" s="1"/>
    </row>
    <row r="73" spans="2:25" s="3" customFormat="1" x14ac:dyDescent="0.25">
      <c r="B73" s="23"/>
      <c r="U73" s="1"/>
      <c r="V73" s="1"/>
      <c r="W73" s="1"/>
      <c r="X73" s="1"/>
      <c r="Y73" s="1"/>
    </row>
    <row r="74" spans="2:25" s="3" customFormat="1" x14ac:dyDescent="0.25">
      <c r="B74" s="23"/>
      <c r="U74" s="1"/>
      <c r="V74" s="1"/>
      <c r="W74" s="1"/>
      <c r="X74" s="1"/>
      <c r="Y74" s="1"/>
    </row>
    <row r="75" spans="2:25" s="3" customFormat="1" x14ac:dyDescent="0.25">
      <c r="B75" s="23"/>
      <c r="U75" s="1"/>
      <c r="V75" s="1"/>
      <c r="W75" s="1"/>
      <c r="X75" s="1"/>
      <c r="Y75" s="1"/>
    </row>
    <row r="76" spans="2:25" s="3" customFormat="1" x14ac:dyDescent="0.25">
      <c r="B76" s="23"/>
      <c r="U76" s="1"/>
      <c r="V76" s="1"/>
      <c r="W76" s="1"/>
      <c r="X76" s="1"/>
      <c r="Y76" s="1"/>
    </row>
    <row r="77" spans="2:25" s="3" customFormat="1" x14ac:dyDescent="0.25">
      <c r="B77" s="23"/>
      <c r="U77" s="1"/>
      <c r="V77" s="1"/>
      <c r="W77" s="1"/>
      <c r="X77" s="1"/>
      <c r="Y77" s="1"/>
    </row>
    <row r="78" spans="2:25" s="3" customFormat="1" x14ac:dyDescent="0.25">
      <c r="B78" s="23"/>
      <c r="U78" s="1"/>
      <c r="V78" s="1"/>
      <c r="W78" s="1"/>
      <c r="X78" s="1"/>
      <c r="Y78" s="1"/>
    </row>
    <row r="79" spans="2:25" s="3" customFormat="1" x14ac:dyDescent="0.25">
      <c r="B79" s="23"/>
      <c r="U79" s="1"/>
      <c r="V79" s="1"/>
      <c r="W79" s="1"/>
      <c r="X79" s="1"/>
      <c r="Y79" s="1"/>
    </row>
    <row r="80" spans="2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1:25" s="3" customFormat="1" x14ac:dyDescent="0.25">
      <c r="B225" s="23"/>
      <c r="U225" s="1"/>
      <c r="V225" s="1"/>
      <c r="W225" s="1"/>
      <c r="X225" s="1"/>
      <c r="Y225" s="1"/>
    </row>
    <row r="226" spans="1:25" s="3" customFormat="1" x14ac:dyDescent="0.25">
      <c r="B226" s="23"/>
      <c r="U226" s="1"/>
      <c r="V226" s="1"/>
      <c r="W226" s="1"/>
      <c r="X226" s="1"/>
      <c r="Y226" s="1"/>
    </row>
    <row r="227" spans="1:25" s="3" customFormat="1" x14ac:dyDescent="0.25">
      <c r="B227" s="23"/>
      <c r="U227" s="1"/>
      <c r="V227" s="1"/>
      <c r="W227" s="1"/>
      <c r="X227" s="1"/>
      <c r="Y227" s="1"/>
    </row>
    <row r="228" spans="1:25" s="3" customFormat="1" x14ac:dyDescent="0.25">
      <c r="B228" s="23"/>
      <c r="U228" s="1"/>
      <c r="V228" s="1"/>
      <c r="W228" s="1"/>
      <c r="X228" s="1"/>
      <c r="Y228" s="1"/>
    </row>
    <row r="229" spans="1:25" s="3" customFormat="1" x14ac:dyDescent="0.25">
      <c r="B229" s="23"/>
      <c r="U229" s="1"/>
      <c r="V229" s="1"/>
      <c r="W229" s="1"/>
      <c r="X229" s="1"/>
      <c r="Y229" s="1"/>
    </row>
    <row r="230" spans="1:25" s="3" customFormat="1" x14ac:dyDescent="0.25">
      <c r="B230" s="23"/>
      <c r="K230" s="6"/>
      <c r="L230" s="6"/>
      <c r="M230" s="6"/>
      <c r="N230" s="6"/>
      <c r="U230" s="1"/>
      <c r="V230" s="1"/>
      <c r="W230" s="1"/>
      <c r="X230" s="1"/>
      <c r="Y230" s="1"/>
    </row>
    <row r="231" spans="1:25" s="3" customFormat="1" x14ac:dyDescent="0.25">
      <c r="B231" s="23"/>
      <c r="K231" s="6"/>
      <c r="L231" s="6"/>
      <c r="M231" s="6"/>
      <c r="N231" s="6"/>
      <c r="U231" s="1"/>
      <c r="V231" s="1"/>
      <c r="W231" s="1"/>
      <c r="X231" s="1"/>
      <c r="Y231" s="1"/>
    </row>
    <row r="232" spans="1:25" s="3" customFormat="1" x14ac:dyDescent="0.25">
      <c r="B232" s="23"/>
      <c r="K232" s="6"/>
      <c r="L232" s="6"/>
      <c r="M232" s="6"/>
      <c r="N232" s="6"/>
      <c r="U232" s="1"/>
      <c r="V232" s="1"/>
      <c r="W232" s="1"/>
      <c r="X232" s="1"/>
      <c r="Y232" s="1"/>
    </row>
    <row r="233" spans="1:25" s="3" customFormat="1" x14ac:dyDescent="0.25">
      <c r="B233" s="23"/>
      <c r="J233" s="6"/>
      <c r="K233" s="6"/>
      <c r="L233" s="6"/>
      <c r="M233" s="6"/>
      <c r="N233" s="6"/>
      <c r="U233" s="1"/>
      <c r="V233" s="1"/>
      <c r="W233" s="1"/>
      <c r="X233" s="1"/>
      <c r="Y233" s="1"/>
    </row>
    <row r="234" spans="1:25" s="3" customFormat="1" x14ac:dyDescent="0.25">
      <c r="B234" s="23"/>
      <c r="J234" s="6"/>
      <c r="K234" s="6"/>
      <c r="L234" s="6"/>
      <c r="M234" s="6"/>
      <c r="N234" s="6"/>
      <c r="U234" s="1"/>
      <c r="V234" s="1"/>
      <c r="W234" s="1"/>
      <c r="X234" s="1"/>
      <c r="Y234" s="1"/>
    </row>
    <row r="235" spans="1:25" s="3" customFormat="1" x14ac:dyDescent="0.25">
      <c r="B235" s="23"/>
      <c r="J235" s="6"/>
      <c r="K235" s="6"/>
      <c r="L235" s="6"/>
      <c r="M235" s="6"/>
      <c r="N235" s="6"/>
      <c r="U235" s="1"/>
      <c r="V235" s="1"/>
      <c r="W235" s="1"/>
      <c r="X235" s="1"/>
      <c r="Y235" s="1"/>
    </row>
    <row r="236" spans="1:25" s="3" customFormat="1" x14ac:dyDescent="0.25">
      <c r="B236" s="23"/>
      <c r="J236" s="6"/>
      <c r="K236" s="6"/>
      <c r="L236" s="6"/>
      <c r="M236" s="6"/>
      <c r="N236" s="6"/>
      <c r="U236" s="1"/>
      <c r="V236" s="1"/>
      <c r="W236" s="1"/>
      <c r="X236" s="1"/>
      <c r="Y236" s="1"/>
    </row>
    <row r="237" spans="1:25" s="3" customFormat="1" x14ac:dyDescent="0.25">
      <c r="B237" s="23"/>
      <c r="J237" s="6"/>
      <c r="K237" s="6"/>
      <c r="L237" s="6"/>
      <c r="M237" s="6"/>
      <c r="N237" s="6"/>
      <c r="O237" s="6"/>
      <c r="U237" s="1"/>
      <c r="V237" s="1"/>
      <c r="W237" s="1"/>
      <c r="X237" s="1"/>
      <c r="Y237" s="1"/>
    </row>
    <row r="238" spans="1:25" s="3" customFormat="1" x14ac:dyDescent="0.25">
      <c r="B238" s="23"/>
      <c r="J238" s="6"/>
      <c r="K238" s="6"/>
      <c r="L238" s="6"/>
      <c r="M238" s="6"/>
      <c r="N238" s="6"/>
      <c r="O238" s="6"/>
      <c r="U238" s="1"/>
      <c r="V238" s="1"/>
      <c r="W238" s="1"/>
      <c r="X238" s="1"/>
      <c r="Y238" s="1"/>
    </row>
    <row r="239" spans="1:25" s="3" customFormat="1" x14ac:dyDescent="0.25">
      <c r="A239" s="6"/>
      <c r="B239" s="25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Q239" s="6"/>
      <c r="R239" s="6"/>
      <c r="S239" s="6"/>
      <c r="U239" s="1"/>
      <c r="V239" s="1"/>
      <c r="W239" s="1"/>
      <c r="X239" s="1"/>
      <c r="Y239" s="1"/>
    </row>
  </sheetData>
  <sheetProtection sheet="1" objects="1" scenarios="1"/>
  <mergeCells count="179">
    <mergeCell ref="K20:L20"/>
    <mergeCell ref="F15:G15"/>
    <mergeCell ref="K15:L15"/>
    <mergeCell ref="D18:E18"/>
    <mergeCell ref="F18:G18"/>
    <mergeCell ref="K18:L18"/>
    <mergeCell ref="D19:E19"/>
    <mergeCell ref="F19:G19"/>
    <mergeCell ref="K19:L19"/>
    <mergeCell ref="D16:E16"/>
    <mergeCell ref="F16:G16"/>
    <mergeCell ref="K16:L16"/>
    <mergeCell ref="D17:E17"/>
    <mergeCell ref="F17:G17"/>
    <mergeCell ref="K17:L17"/>
    <mergeCell ref="D2:K4"/>
    <mergeCell ref="L2:N4"/>
    <mergeCell ref="R3:T3"/>
    <mergeCell ref="B5:K5"/>
    <mergeCell ref="L5:N5"/>
    <mergeCell ref="R5:T5"/>
    <mergeCell ref="C8:F8"/>
    <mergeCell ref="K8:N8"/>
    <mergeCell ref="C10:F10"/>
    <mergeCell ref="K10:N10"/>
    <mergeCell ref="A23:C23"/>
    <mergeCell ref="A24:C24"/>
    <mergeCell ref="A13:C13"/>
    <mergeCell ref="D13:E13"/>
    <mergeCell ref="F13:G13"/>
    <mergeCell ref="H13:J13"/>
    <mergeCell ref="K13:L13"/>
    <mergeCell ref="M13:N13"/>
    <mergeCell ref="D22:E22"/>
    <mergeCell ref="F22:G22"/>
    <mergeCell ref="H22:J22"/>
    <mergeCell ref="K22:L22"/>
    <mergeCell ref="M22:N22"/>
    <mergeCell ref="D21:E21"/>
    <mergeCell ref="F21:G21"/>
    <mergeCell ref="H21:J21"/>
    <mergeCell ref="K21:L21"/>
    <mergeCell ref="M21:N21"/>
    <mergeCell ref="D14:E14"/>
    <mergeCell ref="F14:G14"/>
    <mergeCell ref="K14:L14"/>
    <mergeCell ref="D15:E15"/>
    <mergeCell ref="D20:E20"/>
    <mergeCell ref="F20:G20"/>
    <mergeCell ref="D24:E24"/>
    <mergeCell ref="F24:G24"/>
    <mergeCell ref="H24:J24"/>
    <mergeCell ref="K24:L24"/>
    <mergeCell ref="M24:N24"/>
    <mergeCell ref="D23:E23"/>
    <mergeCell ref="F23:G23"/>
    <mergeCell ref="H23:J23"/>
    <mergeCell ref="K23:L23"/>
    <mergeCell ref="M23:N23"/>
    <mergeCell ref="A27:C27"/>
    <mergeCell ref="A28:C28"/>
    <mergeCell ref="D26:E26"/>
    <mergeCell ref="F26:G26"/>
    <mergeCell ref="H26:J26"/>
    <mergeCell ref="K26:L26"/>
    <mergeCell ref="M26:N26"/>
    <mergeCell ref="D25:E25"/>
    <mergeCell ref="F25:G25"/>
    <mergeCell ref="H25:J25"/>
    <mergeCell ref="K25:L25"/>
    <mergeCell ref="M25:N25"/>
    <mergeCell ref="A25:C25"/>
    <mergeCell ref="A26:C26"/>
    <mergeCell ref="D28:E28"/>
    <mergeCell ref="F28:G28"/>
    <mergeCell ref="H28:J28"/>
    <mergeCell ref="K28:L28"/>
    <mergeCell ref="M28:N28"/>
    <mergeCell ref="D27:E27"/>
    <mergeCell ref="F27:G27"/>
    <mergeCell ref="H27:J27"/>
    <mergeCell ref="K27:L27"/>
    <mergeCell ref="M27:N27"/>
    <mergeCell ref="A31:C31"/>
    <mergeCell ref="A32:C32"/>
    <mergeCell ref="D30:E30"/>
    <mergeCell ref="F30:G30"/>
    <mergeCell ref="H30:J30"/>
    <mergeCell ref="K30:L30"/>
    <mergeCell ref="M30:N30"/>
    <mergeCell ref="D29:E29"/>
    <mergeCell ref="F29:G29"/>
    <mergeCell ref="H29:J29"/>
    <mergeCell ref="K29:L29"/>
    <mergeCell ref="M29:N29"/>
    <mergeCell ref="A29:C29"/>
    <mergeCell ref="A30:C30"/>
    <mergeCell ref="D32:E32"/>
    <mergeCell ref="F32:G32"/>
    <mergeCell ref="H32:J32"/>
    <mergeCell ref="K32:L32"/>
    <mergeCell ref="M32:N32"/>
    <mergeCell ref="D31:E31"/>
    <mergeCell ref="F31:G31"/>
    <mergeCell ref="H31:J31"/>
    <mergeCell ref="K31:L31"/>
    <mergeCell ref="M31:N31"/>
    <mergeCell ref="H37:J37"/>
    <mergeCell ref="K37:L37"/>
    <mergeCell ref="A33:C33"/>
    <mergeCell ref="A34:C34"/>
    <mergeCell ref="D36:E36"/>
    <mergeCell ref="F36:G36"/>
    <mergeCell ref="H36:J36"/>
    <mergeCell ref="K36:L36"/>
    <mergeCell ref="M36:N36"/>
    <mergeCell ref="D35:E35"/>
    <mergeCell ref="F35:G35"/>
    <mergeCell ref="H35:J35"/>
    <mergeCell ref="K35:L35"/>
    <mergeCell ref="M35:N35"/>
    <mergeCell ref="D34:E34"/>
    <mergeCell ref="F34:G34"/>
    <mergeCell ref="H34:J34"/>
    <mergeCell ref="K34:L34"/>
    <mergeCell ref="M34:N34"/>
    <mergeCell ref="D33:E33"/>
    <mergeCell ref="F33:G33"/>
    <mergeCell ref="H33:J33"/>
    <mergeCell ref="K33:L33"/>
    <mergeCell ref="M33:N33"/>
    <mergeCell ref="D43:E43"/>
    <mergeCell ref="B47:F52"/>
    <mergeCell ref="J47:N52"/>
    <mergeCell ref="A42:C42"/>
    <mergeCell ref="D42:E42"/>
    <mergeCell ref="F42:G42"/>
    <mergeCell ref="M41:N41"/>
    <mergeCell ref="A39:C39"/>
    <mergeCell ref="D38:E38"/>
    <mergeCell ref="F38:G38"/>
    <mergeCell ref="H38:J38"/>
    <mergeCell ref="K38:L38"/>
    <mergeCell ref="M38:N38"/>
    <mergeCell ref="D40:E40"/>
    <mergeCell ref="F40:G40"/>
    <mergeCell ref="H40:J40"/>
    <mergeCell ref="K40:L40"/>
    <mergeCell ref="M40:N40"/>
    <mergeCell ref="A40:C40"/>
    <mergeCell ref="A41:C41"/>
    <mergeCell ref="D41:E41"/>
    <mergeCell ref="F41:G41"/>
    <mergeCell ref="H41:J41"/>
    <mergeCell ref="K41:L41"/>
    <mergeCell ref="H42:J42"/>
    <mergeCell ref="K42:L42"/>
    <mergeCell ref="M42:N42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M37:N37"/>
    <mergeCell ref="A37:C37"/>
    <mergeCell ref="A38:C38"/>
    <mergeCell ref="D39:E39"/>
    <mergeCell ref="F39:G39"/>
    <mergeCell ref="H39:J39"/>
    <mergeCell ref="K39:L39"/>
    <mergeCell ref="M39:N39"/>
    <mergeCell ref="A35:C35"/>
    <mergeCell ref="A36:C36"/>
    <mergeCell ref="D37:E37"/>
    <mergeCell ref="F37:G37"/>
  </mergeCells>
  <conditionalFormatting sqref="D21:D42">
    <cfRule type="expression" dxfId="11" priority="3">
      <formula>#REF!="Non"</formula>
    </cfRule>
    <cfRule type="expression" dxfId="10" priority="4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7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DFB327E-11F2-4EDE-9CCD-B37AB8BE61C7}">
            <xm:f>'Niveau 1 Nov'!#REF!="Non"</xm:f>
            <x14:dxf>
              <fill>
                <patternFill>
                  <bgColor theme="1"/>
                </patternFill>
              </fill>
            </x14:dxf>
          </x14:cfRule>
          <x14:cfRule type="expression" priority="2" id="{1340A983-DC9F-4B04-A351-91A29D69C381}">
            <xm:f>'Niveau 1 Nov'!#REF!="Oui"</xm:f>
            <x14:dxf>
              <fill>
                <patternFill>
                  <bgColor theme="1"/>
                </patternFill>
              </fill>
            </x14:dxf>
          </x14:cfRule>
          <xm:sqref>D14:D20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D244"/>
  <sheetViews>
    <sheetView topLeftCell="A12" zoomScale="90" zoomScaleNormal="90" workbookViewId="0">
      <selection activeCell="T39" sqref="T39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2" style="6" customWidth="1"/>
    <col min="4" max="4" width="8.42578125" style="6" customWidth="1"/>
    <col min="5" max="5" width="6.42578125" style="6" customWidth="1"/>
    <col min="6" max="6" width="5.42578125" style="6" customWidth="1"/>
    <col min="7" max="7" width="8" style="6" customWidth="1"/>
    <col min="8" max="8" width="5.85546875" style="6" customWidth="1"/>
    <col min="9" max="9" width="9.42578125" style="6" customWidth="1"/>
    <col min="10" max="10" width="14.42578125" style="6" customWidth="1"/>
    <col min="11" max="12" width="8.140625" style="6" customWidth="1"/>
    <col min="13" max="13" width="8" style="6" customWidth="1"/>
    <col min="14" max="14" width="10.42578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67</v>
      </c>
      <c r="E2" s="195"/>
      <c r="F2" s="195"/>
      <c r="G2" s="195"/>
      <c r="H2" s="195"/>
      <c r="I2" s="195"/>
      <c r="J2" s="195"/>
      <c r="K2" s="195"/>
      <c r="L2" s="251">
        <f>'Niveau 1 Déc'!L2:N4</f>
        <v>45627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6"/>
      <c r="Q3" s="4"/>
      <c r="R3" s="220"/>
      <c r="S3" s="220"/>
      <c r="T3" s="220"/>
      <c r="U3" s="36"/>
      <c r="V3" s="36"/>
      <c r="W3" s="36"/>
      <c r="X3" s="36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6"/>
      <c r="Q4" s="4"/>
      <c r="R4" s="36"/>
      <c r="S4" s="36"/>
      <c r="T4" s="36"/>
      <c r="U4" s="36"/>
      <c r="V4" s="36"/>
      <c r="W4" s="36"/>
      <c r="X4" s="36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f>+'Niveau 1 Déc'!L5:N5</f>
        <v>45622</v>
      </c>
      <c r="M5" s="222"/>
      <c r="N5" s="222"/>
      <c r="O5" s="3"/>
      <c r="P5" s="36"/>
      <c r="Q5" s="5"/>
      <c r="R5" s="220"/>
      <c r="S5" s="220"/>
      <c r="T5" s="220"/>
      <c r="U5" s="36"/>
      <c r="V5" s="36"/>
      <c r="W5" s="36"/>
      <c r="X5" s="36"/>
      <c r="Y5" s="5"/>
    </row>
    <row r="6" spans="1:25" ht="19.5" customHeight="1" x14ac:dyDescent="0.35">
      <c r="A6" s="46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36"/>
      <c r="V6" s="36"/>
      <c r="W6" s="36"/>
      <c r="X6" s="36"/>
      <c r="Y6" s="5"/>
    </row>
    <row r="7" spans="1:25" ht="19.5" customHeight="1" thickBot="1" x14ac:dyDescent="0.4">
      <c r="A7" s="48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38"/>
      <c r="V7" s="38"/>
      <c r="W7" s="38"/>
      <c r="X7" s="38"/>
      <c r="Y7" s="5"/>
    </row>
    <row r="8" spans="1:25" ht="18" customHeight="1" thickBot="1" x14ac:dyDescent="0.3">
      <c r="A8" s="8" t="s">
        <v>2</v>
      </c>
      <c r="B8" s="24"/>
      <c r="C8" s="324"/>
      <c r="D8" s="325"/>
      <c r="E8" s="325"/>
      <c r="F8" s="326"/>
      <c r="G8" s="9"/>
      <c r="H8" s="8" t="s">
        <v>26</v>
      </c>
      <c r="I8" s="8"/>
      <c r="J8" s="8"/>
      <c r="K8" s="324"/>
      <c r="L8" s="325"/>
      <c r="M8" s="325"/>
      <c r="N8" s="326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324"/>
      <c r="D10" s="325"/>
      <c r="E10" s="325"/>
      <c r="F10" s="326"/>
      <c r="G10" s="9"/>
      <c r="H10" s="8" t="s">
        <v>25</v>
      </c>
      <c r="I10" s="8"/>
      <c r="J10" s="8"/>
      <c r="K10" s="324"/>
      <c r="L10" s="325"/>
      <c r="M10" s="325"/>
      <c r="N10" s="326"/>
      <c r="O10" s="26"/>
      <c r="P10" s="26"/>
      <c r="Q10" s="26"/>
      <c r="R10" s="26"/>
      <c r="S10" s="26"/>
      <c r="T10" s="26"/>
      <c r="U10" s="11"/>
    </row>
    <row r="11" spans="1:25" ht="18" customHeight="1" thickBot="1" x14ac:dyDescent="0.35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8" customHeight="1" thickBot="1" x14ac:dyDescent="0.35">
      <c r="A12" s="8" t="s">
        <v>49</v>
      </c>
      <c r="B12" s="24"/>
      <c r="C12" s="324"/>
      <c r="D12" s="325"/>
      <c r="E12" s="325"/>
      <c r="F12" s="326"/>
      <c r="G12" s="24"/>
      <c r="H12" s="8" t="s">
        <v>52</v>
      </c>
      <c r="I12" s="8"/>
      <c r="J12" s="24"/>
      <c r="K12" s="346"/>
      <c r="L12" s="347"/>
      <c r="M12" s="8" t="s">
        <v>59</v>
      </c>
      <c r="N12" s="24"/>
      <c r="O12" s="26"/>
      <c r="P12" s="26"/>
      <c r="Q12" s="26"/>
      <c r="R12" s="26"/>
      <c r="S12" s="26"/>
      <c r="T12" s="26"/>
      <c r="U12" s="11"/>
    </row>
    <row r="13" spans="1:25" ht="18" customHeight="1" thickBot="1" x14ac:dyDescent="0.35">
      <c r="A13" s="8"/>
      <c r="B13" s="24"/>
      <c r="C13" s="24"/>
      <c r="D13" s="24"/>
      <c r="E13" s="24"/>
      <c r="F13" s="24"/>
      <c r="G13" s="24"/>
      <c r="H13" s="8" t="s">
        <v>51</v>
      </c>
      <c r="I13" s="8"/>
      <c r="J13" s="24"/>
      <c r="K13" s="344"/>
      <c r="L13" s="345"/>
      <c r="M13" s="32" t="s">
        <v>60</v>
      </c>
      <c r="N13" s="24"/>
      <c r="O13" s="26"/>
      <c r="P13" s="26"/>
      <c r="Q13" s="26"/>
      <c r="R13" s="26"/>
      <c r="S13" s="26"/>
      <c r="T13" s="26"/>
      <c r="U13" s="11"/>
    </row>
    <row r="14" spans="1:25" ht="13.5" customHeight="1" thickBot="1" x14ac:dyDescent="0.35">
      <c r="A14" s="8"/>
      <c r="B14" s="24"/>
      <c r="C14" s="24"/>
      <c r="D14" s="24"/>
      <c r="E14" s="24"/>
      <c r="F14" s="24"/>
      <c r="G14" s="9"/>
      <c r="H14" s="8"/>
      <c r="I14" s="8"/>
      <c r="J14" s="8"/>
      <c r="K14" s="8"/>
      <c r="L14" s="8"/>
      <c r="M14" s="8"/>
      <c r="N14" s="8"/>
      <c r="O14" s="26"/>
      <c r="P14" s="26"/>
      <c r="Q14" s="26"/>
      <c r="R14" s="26"/>
      <c r="S14" s="26"/>
      <c r="T14" s="26"/>
      <c r="U14" s="11"/>
    </row>
    <row r="15" spans="1:25" ht="22.5" customHeight="1" thickBot="1" x14ac:dyDescent="0.35">
      <c r="A15" s="8"/>
      <c r="B15" s="24"/>
      <c r="C15" s="10"/>
      <c r="D15" s="10"/>
      <c r="E15" s="10"/>
      <c r="F15" s="262" t="s">
        <v>28</v>
      </c>
      <c r="G15" s="263"/>
      <c r="H15" s="263"/>
      <c r="I15" s="263"/>
      <c r="J15" s="263"/>
      <c r="K15" s="263"/>
      <c r="L15" s="263"/>
      <c r="M15" s="263"/>
      <c r="N15" s="264"/>
      <c r="O15" s="26"/>
      <c r="P15" s="26"/>
      <c r="Q15" s="26"/>
      <c r="R15" s="26"/>
      <c r="S15" s="26"/>
      <c r="T15" s="26"/>
      <c r="U15" s="11"/>
    </row>
    <row r="16" spans="1:25" s="19" customFormat="1" ht="54.75" customHeight="1" x14ac:dyDescent="0.25">
      <c r="A16" s="200" t="s">
        <v>1</v>
      </c>
      <c r="B16" s="201"/>
      <c r="C16" s="202"/>
      <c r="D16" s="203" t="s">
        <v>58</v>
      </c>
      <c r="E16" s="204"/>
      <c r="F16" s="265" t="s">
        <v>29</v>
      </c>
      <c r="G16" s="265"/>
      <c r="H16" s="266" t="s">
        <v>61</v>
      </c>
      <c r="I16" s="267"/>
      <c r="J16" s="37" t="s">
        <v>63</v>
      </c>
      <c r="K16" s="268" t="s">
        <v>64</v>
      </c>
      <c r="L16" s="269"/>
      <c r="M16" s="266" t="s">
        <v>30</v>
      </c>
      <c r="N16" s="267"/>
      <c r="O16" s="26"/>
      <c r="P16" s="26"/>
      <c r="Q16" s="26"/>
      <c r="R16" s="26"/>
      <c r="S16" s="26"/>
      <c r="T16" s="26"/>
      <c r="U16" s="20"/>
      <c r="V16" s="20"/>
      <c r="W16" s="20"/>
      <c r="X16" s="21"/>
    </row>
    <row r="17" spans="1:24" s="3" customFormat="1" x14ac:dyDescent="0.25">
      <c r="A17" s="191">
        <v>45593</v>
      </c>
      <c r="B17" s="286"/>
      <c r="C17" s="287"/>
      <c r="D17" s="336"/>
      <c r="E17" s="336"/>
      <c r="F17" s="337"/>
      <c r="G17" s="338"/>
      <c r="H17" s="339"/>
      <c r="I17" s="340"/>
      <c r="J17" s="49"/>
      <c r="K17" s="341"/>
      <c r="L17" s="341"/>
      <c r="M17" s="309">
        <f t="shared" ref="M17" si="0">+K17-J17</f>
        <v>0</v>
      </c>
      <c r="N17" s="310"/>
      <c r="P17" s="12"/>
      <c r="Q17" s="15"/>
      <c r="R17" s="15"/>
      <c r="S17" s="15"/>
      <c r="T17" s="13"/>
      <c r="U17" s="13"/>
      <c r="V17" s="13"/>
      <c r="W17" s="13"/>
      <c r="X17" s="1"/>
    </row>
    <row r="18" spans="1:24" s="3" customFormat="1" x14ac:dyDescent="0.25">
      <c r="A18" s="191">
        <v>45594</v>
      </c>
      <c r="B18" s="286"/>
      <c r="C18" s="287"/>
      <c r="D18" s="336"/>
      <c r="E18" s="336"/>
      <c r="F18" s="337"/>
      <c r="G18" s="338"/>
      <c r="H18" s="339"/>
      <c r="I18" s="340"/>
      <c r="J18" s="49"/>
      <c r="K18" s="341"/>
      <c r="L18" s="341"/>
      <c r="M18" s="309">
        <f t="shared" ref="M18:M44" si="1">+K18-J18</f>
        <v>0</v>
      </c>
      <c r="N18" s="310"/>
      <c r="P18" s="12"/>
      <c r="Q18" s="15"/>
      <c r="R18" s="15"/>
      <c r="S18" s="15"/>
      <c r="T18" s="13"/>
      <c r="U18" s="13"/>
      <c r="V18" s="13"/>
      <c r="W18" s="13"/>
      <c r="X18" s="1"/>
    </row>
    <row r="19" spans="1:24" s="3" customFormat="1" x14ac:dyDescent="0.25">
      <c r="A19" s="191">
        <v>45595</v>
      </c>
      <c r="B19" s="286"/>
      <c r="C19" s="287"/>
      <c r="D19" s="336"/>
      <c r="E19" s="336"/>
      <c r="F19" s="337"/>
      <c r="G19" s="338"/>
      <c r="H19" s="339"/>
      <c r="I19" s="340"/>
      <c r="J19" s="49"/>
      <c r="K19" s="341"/>
      <c r="L19" s="341"/>
      <c r="M19" s="309">
        <f t="shared" si="1"/>
        <v>0</v>
      </c>
      <c r="N19" s="310"/>
      <c r="P19" s="12"/>
      <c r="Q19" s="15"/>
      <c r="R19" s="15"/>
      <c r="S19" s="15"/>
      <c r="T19" s="13"/>
      <c r="U19" s="13"/>
      <c r="V19" s="13"/>
      <c r="W19" s="13"/>
      <c r="X19" s="1"/>
    </row>
    <row r="20" spans="1:24" s="3" customFormat="1" x14ac:dyDescent="0.25">
      <c r="A20" s="191">
        <v>45596</v>
      </c>
      <c r="B20" s="286"/>
      <c r="C20" s="287"/>
      <c r="D20" s="336"/>
      <c r="E20" s="336"/>
      <c r="F20" s="337"/>
      <c r="G20" s="338"/>
      <c r="H20" s="339"/>
      <c r="I20" s="340"/>
      <c r="J20" s="49"/>
      <c r="K20" s="341"/>
      <c r="L20" s="341"/>
      <c r="M20" s="309">
        <f t="shared" si="1"/>
        <v>0</v>
      </c>
      <c r="N20" s="310"/>
      <c r="P20" s="12"/>
      <c r="Q20" s="15"/>
      <c r="R20" s="15"/>
      <c r="S20" s="15"/>
      <c r="T20" s="13"/>
      <c r="U20" s="13"/>
      <c r="V20" s="13"/>
      <c r="W20" s="13"/>
      <c r="X20" s="1"/>
    </row>
    <row r="21" spans="1:24" s="3" customFormat="1" x14ac:dyDescent="0.25">
      <c r="A21" s="191">
        <v>45597</v>
      </c>
      <c r="B21" s="286"/>
      <c r="C21" s="287"/>
      <c r="D21" s="336"/>
      <c r="E21" s="336"/>
      <c r="F21" s="337"/>
      <c r="G21" s="338"/>
      <c r="H21" s="339"/>
      <c r="I21" s="340"/>
      <c r="J21" s="49"/>
      <c r="K21" s="341"/>
      <c r="L21" s="341"/>
      <c r="M21" s="309">
        <f t="shared" si="1"/>
        <v>0</v>
      </c>
      <c r="N21" s="310"/>
      <c r="P21" s="12"/>
      <c r="Q21" s="15"/>
      <c r="R21" s="15"/>
      <c r="S21" s="15"/>
      <c r="T21" s="13"/>
      <c r="U21" s="13"/>
      <c r="V21" s="13"/>
      <c r="W21" s="13"/>
      <c r="X21" s="1"/>
    </row>
    <row r="22" spans="1:24" s="3" customFormat="1" x14ac:dyDescent="0.25">
      <c r="A22" s="191">
        <v>45598</v>
      </c>
      <c r="B22" s="286"/>
      <c r="C22" s="287"/>
      <c r="D22" s="336"/>
      <c r="E22" s="336"/>
      <c r="F22" s="337"/>
      <c r="G22" s="338"/>
      <c r="H22" s="339"/>
      <c r="I22" s="340"/>
      <c r="J22" s="49"/>
      <c r="K22" s="341"/>
      <c r="L22" s="341"/>
      <c r="M22" s="309">
        <f t="shared" si="1"/>
        <v>0</v>
      </c>
      <c r="N22" s="310"/>
      <c r="P22" s="12"/>
      <c r="Q22" s="15"/>
      <c r="R22" s="15"/>
      <c r="S22" s="15"/>
      <c r="T22" s="13"/>
      <c r="U22" s="13"/>
      <c r="V22" s="13"/>
      <c r="W22" s="13"/>
      <c r="X22" s="1"/>
    </row>
    <row r="23" spans="1:24" s="3" customFormat="1" x14ac:dyDescent="0.25">
      <c r="A23" s="191">
        <v>45599</v>
      </c>
      <c r="B23" s="286"/>
      <c r="C23" s="287"/>
      <c r="D23" s="336"/>
      <c r="E23" s="336"/>
      <c r="F23" s="337"/>
      <c r="G23" s="338"/>
      <c r="H23" s="339"/>
      <c r="I23" s="340"/>
      <c r="J23" s="49"/>
      <c r="K23" s="341"/>
      <c r="L23" s="341"/>
      <c r="M23" s="309">
        <f t="shared" si="1"/>
        <v>0</v>
      </c>
      <c r="N23" s="310"/>
      <c r="P23" s="12"/>
      <c r="Q23" s="15"/>
      <c r="R23" s="15"/>
      <c r="S23" s="15"/>
      <c r="T23" s="13"/>
      <c r="U23" s="13"/>
      <c r="V23" s="13"/>
      <c r="W23" s="13"/>
      <c r="X23" s="1"/>
    </row>
    <row r="24" spans="1:24" s="3" customFormat="1" ht="15.75" x14ac:dyDescent="0.25">
      <c r="A24" s="191">
        <v>45600</v>
      </c>
      <c r="B24" s="286"/>
      <c r="C24" s="287"/>
      <c r="D24" s="336"/>
      <c r="E24" s="336"/>
      <c r="F24" s="337"/>
      <c r="G24" s="338"/>
      <c r="H24" s="339"/>
      <c r="I24" s="340"/>
      <c r="J24" s="49"/>
      <c r="K24" s="341"/>
      <c r="L24" s="341"/>
      <c r="M24" s="309">
        <f t="shared" si="1"/>
        <v>0</v>
      </c>
      <c r="N24" s="310"/>
      <c r="O24" s="26"/>
      <c r="P24" s="26"/>
      <c r="Q24" s="26"/>
      <c r="R24" s="26"/>
      <c r="S24" s="26"/>
      <c r="T24" s="26"/>
      <c r="U24" s="13"/>
      <c r="V24" s="13"/>
      <c r="W24" s="13"/>
      <c r="X24" s="1"/>
    </row>
    <row r="25" spans="1:24" s="3" customFormat="1" ht="15.75" x14ac:dyDescent="0.25">
      <c r="A25" s="191">
        <v>45601</v>
      </c>
      <c r="B25" s="286"/>
      <c r="C25" s="287"/>
      <c r="D25" s="336"/>
      <c r="E25" s="336"/>
      <c r="F25" s="337"/>
      <c r="G25" s="338"/>
      <c r="H25" s="339"/>
      <c r="I25" s="340"/>
      <c r="J25" s="49"/>
      <c r="K25" s="341"/>
      <c r="L25" s="341"/>
      <c r="M25" s="309">
        <f t="shared" si="1"/>
        <v>0</v>
      </c>
      <c r="N25" s="310"/>
      <c r="P25" s="26"/>
      <c r="Q25" s="26"/>
      <c r="R25" s="26"/>
      <c r="S25" s="26"/>
      <c r="T25" s="26"/>
      <c r="U25" s="13"/>
      <c r="V25" s="13"/>
      <c r="W25" s="13"/>
      <c r="X25" s="1"/>
    </row>
    <row r="26" spans="1:24" s="3" customFormat="1" ht="15.75" x14ac:dyDescent="0.25">
      <c r="A26" s="191">
        <v>45602</v>
      </c>
      <c r="B26" s="286"/>
      <c r="C26" s="287"/>
      <c r="D26" s="336"/>
      <c r="E26" s="336"/>
      <c r="F26" s="337"/>
      <c r="G26" s="338"/>
      <c r="H26" s="339"/>
      <c r="I26" s="340"/>
      <c r="J26" s="49"/>
      <c r="K26" s="341"/>
      <c r="L26" s="341"/>
      <c r="M26" s="309">
        <f t="shared" si="1"/>
        <v>0</v>
      </c>
      <c r="N26" s="310"/>
      <c r="P26" s="26"/>
      <c r="Q26" s="26"/>
      <c r="R26" s="26"/>
      <c r="S26" s="26"/>
      <c r="T26" s="26"/>
      <c r="U26" s="26"/>
      <c r="V26" s="13"/>
      <c r="W26" s="13"/>
      <c r="X26" s="1"/>
    </row>
    <row r="27" spans="1:24" s="3" customFormat="1" x14ac:dyDescent="0.25">
      <c r="A27" s="191">
        <v>45603</v>
      </c>
      <c r="B27" s="286"/>
      <c r="C27" s="287"/>
      <c r="D27" s="336"/>
      <c r="E27" s="336"/>
      <c r="F27" s="337"/>
      <c r="G27" s="338"/>
      <c r="H27" s="339"/>
      <c r="I27" s="340"/>
      <c r="J27" s="49"/>
      <c r="K27" s="341"/>
      <c r="L27" s="341"/>
      <c r="M27" s="309">
        <f t="shared" si="1"/>
        <v>0</v>
      </c>
      <c r="N27" s="310"/>
      <c r="P27" s="12"/>
      <c r="Q27" s="12"/>
      <c r="R27" s="12"/>
      <c r="S27" s="12"/>
      <c r="T27" s="13"/>
      <c r="U27" s="13"/>
      <c r="V27" s="13"/>
      <c r="W27" s="13"/>
      <c r="X27" s="1"/>
    </row>
    <row r="28" spans="1:24" s="3" customFormat="1" x14ac:dyDescent="0.25">
      <c r="A28" s="191">
        <v>45604</v>
      </c>
      <c r="B28" s="286"/>
      <c r="C28" s="287"/>
      <c r="D28" s="336"/>
      <c r="E28" s="336"/>
      <c r="F28" s="337"/>
      <c r="G28" s="338"/>
      <c r="H28" s="339"/>
      <c r="I28" s="340"/>
      <c r="J28" s="49"/>
      <c r="K28" s="341"/>
      <c r="L28" s="341"/>
      <c r="M28" s="309">
        <f t="shared" si="1"/>
        <v>0</v>
      </c>
      <c r="N28" s="310"/>
      <c r="P28" s="12"/>
      <c r="Q28" s="12"/>
      <c r="R28" s="12"/>
      <c r="S28" s="12"/>
      <c r="T28" s="13"/>
      <c r="U28" s="13"/>
      <c r="V28" s="13"/>
      <c r="W28" s="13"/>
      <c r="X28" s="1"/>
    </row>
    <row r="29" spans="1:24" s="3" customFormat="1" x14ac:dyDescent="0.25">
      <c r="A29" s="191">
        <v>45605</v>
      </c>
      <c r="B29" s="286"/>
      <c r="C29" s="287"/>
      <c r="D29" s="336"/>
      <c r="E29" s="336"/>
      <c r="F29" s="337"/>
      <c r="G29" s="338"/>
      <c r="H29" s="339"/>
      <c r="I29" s="340"/>
      <c r="J29" s="49"/>
      <c r="K29" s="341"/>
      <c r="L29" s="341"/>
      <c r="M29" s="309">
        <f t="shared" si="1"/>
        <v>0</v>
      </c>
      <c r="N29" s="310"/>
      <c r="P29" s="12"/>
      <c r="Q29" s="12"/>
      <c r="R29" s="12"/>
      <c r="S29" s="12"/>
      <c r="T29" s="13"/>
      <c r="U29" s="13"/>
      <c r="V29" s="13"/>
      <c r="W29" s="13"/>
      <c r="X29" s="1"/>
    </row>
    <row r="30" spans="1:24" s="3" customFormat="1" x14ac:dyDescent="0.25">
      <c r="A30" s="191">
        <v>45606</v>
      </c>
      <c r="B30" s="286"/>
      <c r="C30" s="287"/>
      <c r="D30" s="336"/>
      <c r="E30" s="336"/>
      <c r="F30" s="337"/>
      <c r="G30" s="338"/>
      <c r="H30" s="339"/>
      <c r="I30" s="340"/>
      <c r="J30" s="49"/>
      <c r="K30" s="341"/>
      <c r="L30" s="341"/>
      <c r="M30" s="309">
        <f t="shared" si="1"/>
        <v>0</v>
      </c>
      <c r="N30" s="310"/>
      <c r="P30" s="12"/>
      <c r="Q30" s="12"/>
      <c r="R30" s="12"/>
      <c r="S30" s="12"/>
      <c r="T30" s="13"/>
      <c r="U30" s="13"/>
      <c r="V30" s="13"/>
      <c r="W30" s="13"/>
      <c r="X30" s="1"/>
    </row>
    <row r="31" spans="1:24" s="3" customFormat="1" x14ac:dyDescent="0.25">
      <c r="A31" s="191">
        <v>45607</v>
      </c>
      <c r="B31" s="286"/>
      <c r="C31" s="287"/>
      <c r="D31" s="336"/>
      <c r="E31" s="336"/>
      <c r="F31" s="337"/>
      <c r="G31" s="338"/>
      <c r="H31" s="339"/>
      <c r="I31" s="340"/>
      <c r="J31" s="49"/>
      <c r="K31" s="341"/>
      <c r="L31" s="341"/>
      <c r="M31" s="309">
        <f t="shared" si="1"/>
        <v>0</v>
      </c>
      <c r="N31" s="310"/>
      <c r="P31" s="12"/>
      <c r="Q31" s="12"/>
      <c r="R31" s="12"/>
      <c r="S31" s="12"/>
      <c r="T31" s="13"/>
      <c r="U31" s="13"/>
      <c r="V31" s="13"/>
      <c r="W31" s="13"/>
      <c r="X31" s="1"/>
    </row>
    <row r="32" spans="1:24" s="3" customFormat="1" x14ac:dyDescent="0.25">
      <c r="A32" s="191">
        <v>45608</v>
      </c>
      <c r="B32" s="286"/>
      <c r="C32" s="287"/>
      <c r="D32" s="336"/>
      <c r="E32" s="336"/>
      <c r="F32" s="337"/>
      <c r="G32" s="338"/>
      <c r="H32" s="339"/>
      <c r="I32" s="340"/>
      <c r="J32" s="49"/>
      <c r="K32" s="341"/>
      <c r="L32" s="341"/>
      <c r="M32" s="309">
        <f t="shared" si="1"/>
        <v>0</v>
      </c>
      <c r="N32" s="310"/>
      <c r="P32" s="12"/>
      <c r="Q32" s="12"/>
      <c r="R32" s="12"/>
      <c r="S32" s="12"/>
      <c r="T32" s="13"/>
      <c r="U32" s="13"/>
      <c r="V32" s="13"/>
      <c r="W32" s="13"/>
      <c r="X32" s="1"/>
    </row>
    <row r="33" spans="1:25" s="3" customFormat="1" x14ac:dyDescent="0.25">
      <c r="A33" s="191">
        <v>45609</v>
      </c>
      <c r="B33" s="286"/>
      <c r="C33" s="287"/>
      <c r="D33" s="336"/>
      <c r="E33" s="336"/>
      <c r="F33" s="337"/>
      <c r="G33" s="338"/>
      <c r="H33" s="339"/>
      <c r="I33" s="340"/>
      <c r="J33" s="49"/>
      <c r="K33" s="341"/>
      <c r="L33" s="341"/>
      <c r="M33" s="309">
        <f t="shared" si="1"/>
        <v>0</v>
      </c>
      <c r="N33" s="310"/>
      <c r="P33" s="12"/>
      <c r="Q33" s="12"/>
      <c r="R33" s="12"/>
      <c r="S33" s="12"/>
      <c r="T33" s="13"/>
      <c r="U33" s="13"/>
      <c r="V33" s="13"/>
      <c r="W33" s="13"/>
      <c r="X33" s="1"/>
    </row>
    <row r="34" spans="1:25" s="3" customFormat="1" x14ac:dyDescent="0.25">
      <c r="A34" s="191">
        <v>45610</v>
      </c>
      <c r="B34" s="286"/>
      <c r="C34" s="287"/>
      <c r="D34" s="336"/>
      <c r="E34" s="336"/>
      <c r="F34" s="337"/>
      <c r="G34" s="338"/>
      <c r="H34" s="339"/>
      <c r="I34" s="340"/>
      <c r="J34" s="49"/>
      <c r="K34" s="341"/>
      <c r="L34" s="341"/>
      <c r="M34" s="309">
        <f t="shared" si="1"/>
        <v>0</v>
      </c>
      <c r="N34" s="310"/>
      <c r="P34" s="12"/>
      <c r="Q34" s="15"/>
      <c r="R34" s="15"/>
      <c r="S34" s="15"/>
      <c r="T34" s="13"/>
      <c r="U34" s="13"/>
      <c r="V34" s="13"/>
      <c r="W34" s="13"/>
      <c r="X34" s="1"/>
    </row>
    <row r="35" spans="1:25" s="3" customFormat="1" x14ac:dyDescent="0.25">
      <c r="A35" s="191">
        <v>45611</v>
      </c>
      <c r="B35" s="286"/>
      <c r="C35" s="287"/>
      <c r="D35" s="336"/>
      <c r="E35" s="336"/>
      <c r="F35" s="337"/>
      <c r="G35" s="338"/>
      <c r="H35" s="339"/>
      <c r="I35" s="340"/>
      <c r="J35" s="49"/>
      <c r="K35" s="341"/>
      <c r="L35" s="341"/>
      <c r="M35" s="309">
        <f t="shared" si="1"/>
        <v>0</v>
      </c>
      <c r="N35" s="310"/>
      <c r="P35" s="12"/>
      <c r="Q35" s="15"/>
      <c r="R35" s="15"/>
      <c r="S35" s="15"/>
      <c r="T35" s="13"/>
      <c r="U35" s="13"/>
      <c r="V35" s="13"/>
      <c r="W35" s="13"/>
      <c r="X35" s="1"/>
    </row>
    <row r="36" spans="1:25" s="3" customFormat="1" x14ac:dyDescent="0.25">
      <c r="A36" s="191">
        <v>45612</v>
      </c>
      <c r="B36" s="286"/>
      <c r="C36" s="287"/>
      <c r="D36" s="336"/>
      <c r="E36" s="336"/>
      <c r="F36" s="337"/>
      <c r="G36" s="338"/>
      <c r="H36" s="339"/>
      <c r="I36" s="340"/>
      <c r="J36" s="49"/>
      <c r="K36" s="341"/>
      <c r="L36" s="341"/>
      <c r="M36" s="309">
        <f t="shared" si="1"/>
        <v>0</v>
      </c>
      <c r="N36" s="310"/>
      <c r="P36" s="12"/>
      <c r="Q36" s="15"/>
      <c r="R36" s="15"/>
      <c r="S36" s="15"/>
      <c r="T36" s="13"/>
      <c r="U36" s="13"/>
      <c r="V36" s="13"/>
      <c r="W36" s="13"/>
      <c r="X36" s="1"/>
    </row>
    <row r="37" spans="1:25" s="3" customFormat="1" x14ac:dyDescent="0.25">
      <c r="A37" s="191">
        <v>45613</v>
      </c>
      <c r="B37" s="286"/>
      <c r="C37" s="287"/>
      <c r="D37" s="336"/>
      <c r="E37" s="336"/>
      <c r="F37" s="337"/>
      <c r="G37" s="338"/>
      <c r="H37" s="339"/>
      <c r="I37" s="340"/>
      <c r="J37" s="49"/>
      <c r="K37" s="341"/>
      <c r="L37" s="341"/>
      <c r="M37" s="309">
        <f t="shared" si="1"/>
        <v>0</v>
      </c>
      <c r="N37" s="310"/>
      <c r="O37" s="1"/>
      <c r="P37" s="12"/>
      <c r="Q37" s="15"/>
      <c r="R37" s="15"/>
      <c r="S37" s="15"/>
      <c r="T37" s="13"/>
      <c r="U37" s="13"/>
      <c r="V37" s="13"/>
      <c r="W37" s="13"/>
      <c r="X37" s="1"/>
    </row>
    <row r="38" spans="1:25" s="3" customFormat="1" x14ac:dyDescent="0.25">
      <c r="A38" s="191">
        <v>45614</v>
      </c>
      <c r="B38" s="286"/>
      <c r="C38" s="287"/>
      <c r="D38" s="342"/>
      <c r="E38" s="343"/>
      <c r="F38" s="50"/>
      <c r="G38" s="51"/>
      <c r="H38" s="52"/>
      <c r="I38" s="53"/>
      <c r="J38" s="49"/>
      <c r="K38" s="309"/>
      <c r="L38" s="310"/>
      <c r="M38" s="309">
        <f t="shared" si="1"/>
        <v>0</v>
      </c>
      <c r="N38" s="310"/>
      <c r="O38" s="1"/>
      <c r="P38" s="12"/>
      <c r="Q38" s="15"/>
      <c r="R38" s="15"/>
      <c r="S38" s="15"/>
      <c r="T38" s="13"/>
      <c r="U38" s="13"/>
      <c r="V38" s="13"/>
      <c r="W38" s="13"/>
      <c r="X38" s="1"/>
    </row>
    <row r="39" spans="1:25" s="3" customFormat="1" x14ac:dyDescent="0.25">
      <c r="A39" s="191">
        <v>45615</v>
      </c>
      <c r="B39" s="286"/>
      <c r="C39" s="287"/>
      <c r="D39" s="342"/>
      <c r="E39" s="343"/>
      <c r="F39" s="50"/>
      <c r="G39" s="51"/>
      <c r="H39" s="52"/>
      <c r="I39" s="53"/>
      <c r="J39" s="49"/>
      <c r="K39" s="309"/>
      <c r="L39" s="310"/>
      <c r="M39" s="309">
        <f t="shared" si="1"/>
        <v>0</v>
      </c>
      <c r="N39" s="310"/>
      <c r="O39" s="1"/>
      <c r="P39" s="12"/>
      <c r="Q39" s="15"/>
      <c r="R39" s="15"/>
      <c r="S39" s="15"/>
      <c r="T39" s="13"/>
      <c r="U39" s="13"/>
      <c r="V39" s="13"/>
      <c r="W39" s="13"/>
      <c r="X39" s="1"/>
    </row>
    <row r="40" spans="1:25" s="3" customFormat="1" x14ac:dyDescent="0.25">
      <c r="A40" s="191">
        <v>45616</v>
      </c>
      <c r="B40" s="286"/>
      <c r="C40" s="287"/>
      <c r="D40" s="342"/>
      <c r="E40" s="343"/>
      <c r="F40" s="50"/>
      <c r="G40" s="51"/>
      <c r="H40" s="52"/>
      <c r="I40" s="53"/>
      <c r="J40" s="49"/>
      <c r="K40" s="309"/>
      <c r="L40" s="310"/>
      <c r="M40" s="309">
        <f t="shared" si="1"/>
        <v>0</v>
      </c>
      <c r="N40" s="310"/>
      <c r="O40" s="1"/>
      <c r="P40" s="12"/>
      <c r="Q40" s="15"/>
      <c r="R40" s="15"/>
      <c r="S40" s="15"/>
      <c r="T40" s="13"/>
      <c r="U40" s="13"/>
      <c r="V40" s="13"/>
      <c r="W40" s="13"/>
      <c r="X40" s="1"/>
    </row>
    <row r="41" spans="1:25" s="3" customFormat="1" x14ac:dyDescent="0.25">
      <c r="A41" s="191">
        <v>45617</v>
      </c>
      <c r="B41" s="286"/>
      <c r="C41" s="287"/>
      <c r="D41" s="342"/>
      <c r="E41" s="343"/>
      <c r="F41" s="50"/>
      <c r="G41" s="51"/>
      <c r="H41" s="52"/>
      <c r="I41" s="53"/>
      <c r="J41" s="49"/>
      <c r="K41" s="309"/>
      <c r="L41" s="310"/>
      <c r="M41" s="309">
        <f t="shared" si="1"/>
        <v>0</v>
      </c>
      <c r="N41" s="310"/>
      <c r="O41" s="1"/>
      <c r="P41" s="12"/>
      <c r="Q41" s="15"/>
      <c r="R41" s="15"/>
      <c r="S41" s="15"/>
      <c r="T41" s="13"/>
      <c r="U41" s="13"/>
      <c r="V41" s="13"/>
      <c r="W41" s="13"/>
      <c r="X41" s="1"/>
    </row>
    <row r="42" spans="1:25" s="3" customFormat="1" x14ac:dyDescent="0.25">
      <c r="A42" s="191">
        <v>45618</v>
      </c>
      <c r="B42" s="286"/>
      <c r="C42" s="287"/>
      <c r="D42" s="342"/>
      <c r="E42" s="343"/>
      <c r="F42" s="50"/>
      <c r="G42" s="51"/>
      <c r="H42" s="52"/>
      <c r="I42" s="53"/>
      <c r="J42" s="49"/>
      <c r="K42" s="309"/>
      <c r="L42" s="310"/>
      <c r="M42" s="309">
        <f t="shared" si="1"/>
        <v>0</v>
      </c>
      <c r="N42" s="310"/>
      <c r="O42" s="1"/>
      <c r="P42" s="12"/>
      <c r="Q42" s="15"/>
      <c r="R42" s="15"/>
      <c r="S42" s="15"/>
      <c r="T42" s="13"/>
      <c r="U42" s="13"/>
      <c r="V42" s="13"/>
      <c r="W42" s="13"/>
      <c r="X42" s="1"/>
    </row>
    <row r="43" spans="1:25" s="3" customFormat="1" x14ac:dyDescent="0.25">
      <c r="A43" s="191">
        <v>45619</v>
      </c>
      <c r="B43" s="286"/>
      <c r="C43" s="287"/>
      <c r="D43" s="342"/>
      <c r="E43" s="343"/>
      <c r="F43" s="50"/>
      <c r="G43" s="51"/>
      <c r="H43" s="52"/>
      <c r="I43" s="53"/>
      <c r="J43" s="49"/>
      <c r="K43" s="309"/>
      <c r="L43" s="310"/>
      <c r="M43" s="309">
        <f t="shared" si="1"/>
        <v>0</v>
      </c>
      <c r="N43" s="310"/>
      <c r="O43" s="1"/>
      <c r="P43" s="12"/>
      <c r="Q43" s="15"/>
      <c r="R43" s="15"/>
      <c r="S43" s="15"/>
      <c r="T43" s="13"/>
      <c r="U43" s="13"/>
      <c r="V43" s="13"/>
      <c r="W43" s="13"/>
      <c r="X43" s="1"/>
    </row>
    <row r="44" spans="1:25" s="3" customFormat="1" x14ac:dyDescent="0.25">
      <c r="A44" s="191">
        <v>45620</v>
      </c>
      <c r="B44" s="286"/>
      <c r="C44" s="287"/>
      <c r="D44" s="342"/>
      <c r="E44" s="343"/>
      <c r="F44" s="50"/>
      <c r="G44" s="51"/>
      <c r="H44" s="52"/>
      <c r="I44" s="53"/>
      <c r="J44" s="49"/>
      <c r="K44" s="309"/>
      <c r="L44" s="310"/>
      <c r="M44" s="309">
        <f t="shared" si="1"/>
        <v>0</v>
      </c>
      <c r="N44" s="310"/>
      <c r="O44" s="1"/>
      <c r="P44" s="12"/>
      <c r="Q44" s="15"/>
      <c r="R44" s="15"/>
      <c r="S44" s="15"/>
      <c r="T44" s="13"/>
      <c r="U44" s="13"/>
      <c r="V44" s="13"/>
      <c r="W44" s="13"/>
      <c r="X44" s="1"/>
    </row>
    <row r="45" spans="1:25" s="3" customFormat="1" ht="15.75" x14ac:dyDescent="0.25">
      <c r="A45" s="231" t="s">
        <v>21</v>
      </c>
      <c r="B45" s="232"/>
      <c r="C45" s="233"/>
      <c r="D45" s="328">
        <f>+COUNTA(D17:E44)</f>
        <v>0</v>
      </c>
      <c r="E45" s="329"/>
      <c r="F45" s="330">
        <f>+COUNTA(F17:G44)</f>
        <v>0</v>
      </c>
      <c r="G45" s="331"/>
      <c r="H45" s="332">
        <f>SUM(H17:I44)</f>
        <v>0</v>
      </c>
      <c r="I45" s="332"/>
      <c r="J45" s="54"/>
      <c r="K45" s="333"/>
      <c r="L45" s="333"/>
      <c r="M45" s="334">
        <f>+SUM(M17:O44)</f>
        <v>0</v>
      </c>
      <c r="N45" s="335"/>
      <c r="P45" s="12"/>
      <c r="Q45" s="12"/>
      <c r="R45" s="12"/>
      <c r="S45" s="12"/>
      <c r="T45" s="13"/>
      <c r="U45" s="13"/>
      <c r="V45" s="13"/>
      <c r="W45" s="13"/>
      <c r="X45" s="1"/>
    </row>
    <row r="46" spans="1:25" s="3" customFormat="1" x14ac:dyDescent="0.25">
      <c r="A46" s="12"/>
      <c r="B46" s="12"/>
      <c r="C46" s="12"/>
      <c r="D46" s="272" t="s">
        <v>65</v>
      </c>
      <c r="E46" s="273"/>
      <c r="F46" s="274" t="s">
        <v>24</v>
      </c>
      <c r="G46" s="274"/>
      <c r="H46" s="275" t="s">
        <v>62</v>
      </c>
      <c r="I46" s="275"/>
      <c r="K46" s="12"/>
      <c r="L46" s="12"/>
      <c r="M46" s="276" t="s">
        <v>66</v>
      </c>
      <c r="N46" s="277"/>
      <c r="O46" s="12"/>
      <c r="P46" s="12"/>
      <c r="Q46" s="12"/>
      <c r="R46" s="12"/>
      <c r="S46" s="12"/>
      <c r="T46" s="13"/>
      <c r="U46" s="13"/>
      <c r="V46" s="13"/>
      <c r="W46" s="13"/>
      <c r="X46" s="1"/>
    </row>
    <row r="47" spans="1:25" s="3" customFormat="1" x14ac:dyDescent="0.25">
      <c r="K47" s="12"/>
      <c r="L47" s="12"/>
      <c r="M47" s="12"/>
      <c r="N47" s="12"/>
      <c r="O47" s="12"/>
      <c r="P47" s="12"/>
      <c r="U47" s="1"/>
      <c r="V47" s="1"/>
      <c r="W47" s="1"/>
      <c r="X47" s="1"/>
      <c r="Y47" s="1"/>
    </row>
    <row r="48" spans="1:25" s="3" customFormat="1" x14ac:dyDescent="0.25">
      <c r="A48" s="28" t="s">
        <v>23</v>
      </c>
      <c r="J48" s="28" t="s">
        <v>27</v>
      </c>
      <c r="N48" s="47"/>
      <c r="P48" s="12"/>
      <c r="U48" s="1"/>
      <c r="V48" s="1"/>
      <c r="W48" s="1"/>
      <c r="X48" s="1"/>
      <c r="Y48" s="1"/>
    </row>
    <row r="49" spans="1:25" s="3" customFormat="1" x14ac:dyDescent="0.25">
      <c r="J49" s="28" t="s">
        <v>31</v>
      </c>
      <c r="N49" s="47"/>
      <c r="P49" s="12"/>
      <c r="U49" s="1"/>
      <c r="V49" s="1"/>
      <c r="W49" s="1"/>
      <c r="X49" s="1"/>
      <c r="Y49" s="1"/>
    </row>
    <row r="50" spans="1:25" s="3" customFormat="1" x14ac:dyDescent="0.25">
      <c r="A50" s="29" t="s">
        <v>20</v>
      </c>
      <c r="B50" s="30"/>
      <c r="C50" s="29"/>
      <c r="D50" s="29"/>
      <c r="E50" s="16"/>
      <c r="H50" s="18"/>
      <c r="P50" s="12"/>
      <c r="U50" s="1"/>
      <c r="V50" s="1"/>
      <c r="W50" s="1"/>
      <c r="X50" s="1"/>
      <c r="Y50" s="1"/>
    </row>
    <row r="51" spans="1:25" s="3" customFormat="1" x14ac:dyDescent="0.25">
      <c r="A51" s="29" t="s">
        <v>7</v>
      </c>
      <c r="B51" s="30"/>
      <c r="C51" s="31">
        <f ca="1">TODAY()</f>
        <v>45320</v>
      </c>
      <c r="D51" s="29"/>
      <c r="E51" s="16"/>
      <c r="J51" s="28" t="s">
        <v>22</v>
      </c>
      <c r="P51" s="12"/>
      <c r="U51" s="1"/>
      <c r="V51" s="1"/>
      <c r="W51" s="1"/>
      <c r="X51" s="1"/>
      <c r="Y51" s="1"/>
    </row>
    <row r="52" spans="1:25" s="3" customFormat="1" x14ac:dyDescent="0.25">
      <c r="A52" s="28"/>
      <c r="B52" s="315" t="s">
        <v>47</v>
      </c>
      <c r="C52" s="315"/>
      <c r="D52" s="315"/>
      <c r="E52" s="315"/>
      <c r="F52" s="315"/>
      <c r="J52" s="315" t="s">
        <v>48</v>
      </c>
      <c r="K52" s="315"/>
      <c r="L52" s="315"/>
      <c r="M52" s="315"/>
      <c r="N52" s="315"/>
      <c r="U52" s="1"/>
      <c r="V52" s="1"/>
      <c r="W52" s="1"/>
      <c r="X52" s="1"/>
      <c r="Y52" s="1"/>
    </row>
    <row r="53" spans="1:25" s="3" customFormat="1" x14ac:dyDescent="0.25">
      <c r="B53" s="315"/>
      <c r="C53" s="315"/>
      <c r="D53" s="315"/>
      <c r="E53" s="315"/>
      <c r="F53" s="315"/>
      <c r="J53" s="315"/>
      <c r="K53" s="315"/>
      <c r="L53" s="315"/>
      <c r="M53" s="315"/>
      <c r="N53" s="315"/>
      <c r="U53" s="1"/>
      <c r="V53" s="1"/>
      <c r="W53" s="1"/>
      <c r="X53" s="1"/>
      <c r="Y53" s="1"/>
    </row>
    <row r="54" spans="1:25" s="3" customFormat="1" x14ac:dyDescent="0.25">
      <c r="B54" s="315"/>
      <c r="C54" s="315"/>
      <c r="D54" s="315"/>
      <c r="E54" s="315"/>
      <c r="F54" s="315"/>
      <c r="J54" s="315"/>
      <c r="K54" s="315"/>
      <c r="L54" s="315"/>
      <c r="M54" s="315"/>
      <c r="N54" s="315"/>
      <c r="U54" s="1"/>
      <c r="V54" s="1"/>
      <c r="W54" s="1"/>
      <c r="X54" s="1"/>
      <c r="Y54" s="1"/>
    </row>
    <row r="55" spans="1:25" s="3" customFormat="1" x14ac:dyDescent="0.25">
      <c r="B55" s="315"/>
      <c r="C55" s="315"/>
      <c r="D55" s="315"/>
      <c r="E55" s="315"/>
      <c r="F55" s="315"/>
      <c r="J55" s="315"/>
      <c r="K55" s="315"/>
      <c r="L55" s="315"/>
      <c r="M55" s="315"/>
      <c r="N55" s="315"/>
      <c r="U55" s="1"/>
      <c r="V55" s="1"/>
      <c r="W55" s="1"/>
      <c r="X55" s="1"/>
      <c r="Y55" s="1"/>
    </row>
    <row r="56" spans="1:25" s="3" customFormat="1" x14ac:dyDescent="0.25">
      <c r="B56" s="315"/>
      <c r="C56" s="315"/>
      <c r="D56" s="315"/>
      <c r="E56" s="315"/>
      <c r="F56" s="315"/>
      <c r="J56" s="315"/>
      <c r="K56" s="315"/>
      <c r="L56" s="315"/>
      <c r="M56" s="315"/>
      <c r="N56" s="315"/>
      <c r="U56" s="1"/>
      <c r="V56" s="1"/>
      <c r="W56" s="1"/>
      <c r="X56" s="1"/>
      <c r="Y56" s="1"/>
    </row>
    <row r="57" spans="1:25" s="3" customFormat="1" x14ac:dyDescent="0.25">
      <c r="B57" s="315"/>
      <c r="C57" s="315"/>
      <c r="D57" s="315"/>
      <c r="E57" s="315"/>
      <c r="F57" s="315"/>
      <c r="J57" s="315"/>
      <c r="K57" s="315"/>
      <c r="L57" s="315"/>
      <c r="M57" s="315"/>
      <c r="N57" s="315"/>
      <c r="U57" s="1"/>
      <c r="V57" s="1"/>
      <c r="W57" s="1"/>
      <c r="X57" s="1"/>
      <c r="Y57" s="1"/>
    </row>
    <row r="58" spans="1:25" s="3" customFormat="1" x14ac:dyDescent="0.25">
      <c r="A58" s="3" t="s">
        <v>46</v>
      </c>
      <c r="B58" s="23"/>
      <c r="J58" s="3" t="s">
        <v>39</v>
      </c>
      <c r="U58" s="1"/>
      <c r="V58" s="1"/>
      <c r="W58" s="1"/>
      <c r="X58" s="1"/>
      <c r="Y58" s="1"/>
    </row>
    <row r="59" spans="1:25" s="3" customFormat="1" x14ac:dyDescent="0.25">
      <c r="B59" s="23"/>
      <c r="U59" s="1"/>
      <c r="V59" s="1"/>
      <c r="W59" s="1"/>
      <c r="X59" s="1"/>
      <c r="Y59" s="1"/>
    </row>
    <row r="60" spans="1:25" s="3" customFormat="1" x14ac:dyDescent="0.25">
      <c r="B60" s="23"/>
      <c r="U60" s="1"/>
      <c r="V60" s="1"/>
      <c r="W60" s="1"/>
      <c r="X60" s="1"/>
      <c r="Y60" s="1"/>
    </row>
    <row r="61" spans="1:25" s="3" customFormat="1" x14ac:dyDescent="0.25">
      <c r="A61" s="29"/>
      <c r="B61" s="23"/>
      <c r="D61" s="29"/>
      <c r="U61" s="1"/>
      <c r="V61" s="1"/>
      <c r="W61" s="1"/>
      <c r="X61" s="1"/>
      <c r="Y61" s="1"/>
    </row>
    <row r="62" spans="1:25" s="3" customFormat="1" x14ac:dyDescent="0.25">
      <c r="U62" s="1"/>
      <c r="V62" s="1"/>
      <c r="W62" s="1"/>
      <c r="X62" s="1"/>
      <c r="Y62" s="1"/>
    </row>
    <row r="63" spans="1:25" s="3" customFormat="1" x14ac:dyDescent="0.25">
      <c r="B63" s="23"/>
      <c r="U63" s="1"/>
      <c r="V63" s="1"/>
      <c r="W63" s="1"/>
      <c r="X63" s="1"/>
      <c r="Y63" s="1"/>
    </row>
    <row r="64" spans="1:25" s="3" customFormat="1" x14ac:dyDescent="0.25">
      <c r="B64" s="23"/>
      <c r="U64" s="1"/>
      <c r="V64" s="1"/>
      <c r="W64" s="1"/>
      <c r="X64" s="1"/>
      <c r="Y64" s="1"/>
    </row>
    <row r="65" spans="2:25" s="3" customFormat="1" x14ac:dyDescent="0.25">
      <c r="B65" s="23"/>
      <c r="U65" s="1"/>
      <c r="V65" s="1"/>
      <c r="W65" s="1"/>
      <c r="X65" s="1"/>
      <c r="Y65" s="1"/>
    </row>
    <row r="66" spans="2:25" s="3" customFormat="1" x14ac:dyDescent="0.25">
      <c r="B66" s="23"/>
      <c r="U66" s="1"/>
      <c r="V66" s="1"/>
      <c r="W66" s="1"/>
      <c r="X66" s="1"/>
      <c r="Y66" s="1"/>
    </row>
    <row r="67" spans="2:25" s="3" customFormat="1" x14ac:dyDescent="0.25">
      <c r="B67" s="23"/>
      <c r="U67" s="1"/>
      <c r="V67" s="1"/>
      <c r="W67" s="1"/>
      <c r="X67" s="1"/>
      <c r="Y67" s="1"/>
    </row>
    <row r="68" spans="2:25" s="3" customFormat="1" x14ac:dyDescent="0.25">
      <c r="B68" s="23"/>
      <c r="U68" s="1"/>
      <c r="V68" s="1"/>
      <c r="W68" s="1"/>
      <c r="X68" s="1"/>
      <c r="Y68" s="1"/>
    </row>
    <row r="69" spans="2:25" s="3" customFormat="1" x14ac:dyDescent="0.25">
      <c r="B69" s="23"/>
      <c r="U69" s="1"/>
      <c r="V69" s="1"/>
      <c r="W69" s="1"/>
      <c r="X69" s="1"/>
      <c r="Y69" s="1"/>
    </row>
    <row r="70" spans="2:25" s="3" customFormat="1" x14ac:dyDescent="0.25">
      <c r="B70" s="23"/>
      <c r="U70" s="1"/>
      <c r="V70" s="1"/>
      <c r="W70" s="1"/>
      <c r="X70" s="1"/>
      <c r="Y70" s="1"/>
    </row>
    <row r="71" spans="2:25" s="3" customFormat="1" x14ac:dyDescent="0.25">
      <c r="B71" s="23"/>
      <c r="U71" s="1"/>
      <c r="V71" s="1"/>
      <c r="W71" s="1"/>
      <c r="X71" s="1"/>
      <c r="Y71" s="1"/>
    </row>
    <row r="72" spans="2:25" s="3" customFormat="1" x14ac:dyDescent="0.25">
      <c r="B72" s="23"/>
      <c r="U72" s="1"/>
      <c r="V72" s="1"/>
      <c r="W72" s="1"/>
      <c r="X72" s="1"/>
      <c r="Y72" s="1"/>
    </row>
    <row r="73" spans="2:25" s="3" customFormat="1" x14ac:dyDescent="0.25">
      <c r="B73" s="23"/>
      <c r="U73" s="1"/>
      <c r="V73" s="1"/>
      <c r="W73" s="1"/>
      <c r="X73" s="1"/>
      <c r="Y73" s="1"/>
    </row>
    <row r="74" spans="2:25" s="3" customFormat="1" x14ac:dyDescent="0.25">
      <c r="B74" s="23"/>
      <c r="U74" s="1"/>
      <c r="V74" s="1"/>
      <c r="W74" s="1"/>
      <c r="X74" s="1"/>
      <c r="Y74" s="1"/>
    </row>
    <row r="75" spans="2:25" s="3" customFormat="1" x14ac:dyDescent="0.25">
      <c r="B75" s="23"/>
      <c r="U75" s="1"/>
      <c r="V75" s="1"/>
      <c r="W75" s="1"/>
      <c r="X75" s="1"/>
      <c r="Y75" s="1"/>
    </row>
    <row r="76" spans="2:25" s="3" customFormat="1" x14ac:dyDescent="0.25">
      <c r="B76" s="23"/>
      <c r="U76" s="1"/>
      <c r="V76" s="1"/>
      <c r="W76" s="1"/>
      <c r="X76" s="1"/>
      <c r="Y76" s="1"/>
    </row>
    <row r="77" spans="2:25" s="3" customFormat="1" x14ac:dyDescent="0.25">
      <c r="B77" s="23"/>
      <c r="U77" s="1"/>
      <c r="V77" s="1"/>
      <c r="W77" s="1"/>
      <c r="X77" s="1"/>
      <c r="Y77" s="1"/>
    </row>
    <row r="78" spans="2:25" s="3" customFormat="1" x14ac:dyDescent="0.25">
      <c r="B78" s="23"/>
      <c r="U78" s="1"/>
      <c r="V78" s="1"/>
      <c r="W78" s="1"/>
      <c r="X78" s="1"/>
      <c r="Y78" s="1"/>
    </row>
    <row r="79" spans="2:25" s="3" customFormat="1" x14ac:dyDescent="0.25">
      <c r="B79" s="23"/>
      <c r="U79" s="1"/>
      <c r="V79" s="1"/>
      <c r="W79" s="1"/>
      <c r="X79" s="1"/>
      <c r="Y79" s="1"/>
    </row>
    <row r="80" spans="2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2:25" s="3" customFormat="1" x14ac:dyDescent="0.25">
      <c r="B225" s="23"/>
      <c r="U225" s="1"/>
      <c r="V225" s="1"/>
      <c r="W225" s="1"/>
      <c r="X225" s="1"/>
      <c r="Y225" s="1"/>
    </row>
    <row r="226" spans="2:25" s="3" customFormat="1" x14ac:dyDescent="0.25">
      <c r="B226" s="23"/>
      <c r="U226" s="1"/>
      <c r="V226" s="1"/>
      <c r="W226" s="1"/>
      <c r="X226" s="1"/>
      <c r="Y226" s="1"/>
    </row>
    <row r="227" spans="2:25" s="3" customFormat="1" x14ac:dyDescent="0.25">
      <c r="B227" s="23"/>
      <c r="U227" s="1"/>
      <c r="V227" s="1"/>
      <c r="W227" s="1"/>
      <c r="X227" s="1"/>
      <c r="Y227" s="1"/>
    </row>
    <row r="228" spans="2:25" s="3" customFormat="1" x14ac:dyDescent="0.25">
      <c r="B228" s="23"/>
      <c r="U228" s="1"/>
      <c r="V228" s="1"/>
      <c r="W228" s="1"/>
      <c r="X228" s="1"/>
      <c r="Y228" s="1"/>
    </row>
    <row r="229" spans="2:25" s="3" customFormat="1" x14ac:dyDescent="0.25">
      <c r="B229" s="23"/>
      <c r="U229" s="1"/>
      <c r="V229" s="1"/>
      <c r="W229" s="1"/>
      <c r="X229" s="1"/>
      <c r="Y229" s="1"/>
    </row>
    <row r="230" spans="2:25" s="3" customFormat="1" x14ac:dyDescent="0.25">
      <c r="B230" s="23"/>
      <c r="U230" s="1"/>
      <c r="V230" s="1"/>
      <c r="W230" s="1"/>
      <c r="X230" s="1"/>
      <c r="Y230" s="1"/>
    </row>
    <row r="231" spans="2:25" s="3" customFormat="1" x14ac:dyDescent="0.25">
      <c r="B231" s="23"/>
      <c r="U231" s="1"/>
      <c r="V231" s="1"/>
      <c r="W231" s="1"/>
      <c r="X231" s="1"/>
      <c r="Y231" s="1"/>
    </row>
    <row r="232" spans="2:25" s="3" customFormat="1" x14ac:dyDescent="0.25">
      <c r="B232" s="23"/>
      <c r="U232" s="1"/>
      <c r="V232" s="1"/>
      <c r="W232" s="1"/>
      <c r="X232" s="1"/>
      <c r="Y232" s="1"/>
    </row>
    <row r="233" spans="2:25" s="3" customFormat="1" x14ac:dyDescent="0.25">
      <c r="B233" s="23"/>
      <c r="U233" s="1"/>
      <c r="V233" s="1"/>
      <c r="W233" s="1"/>
      <c r="X233" s="1"/>
      <c r="Y233" s="1"/>
    </row>
    <row r="234" spans="2:25" s="3" customFormat="1" x14ac:dyDescent="0.25">
      <c r="B234" s="23"/>
      <c r="U234" s="1"/>
      <c r="V234" s="1"/>
      <c r="W234" s="1"/>
      <c r="X234" s="1"/>
      <c r="Y234" s="1"/>
    </row>
    <row r="235" spans="2:25" s="3" customFormat="1" x14ac:dyDescent="0.25">
      <c r="B235" s="23"/>
      <c r="K235" s="6"/>
      <c r="L235" s="6"/>
      <c r="M235" s="6"/>
      <c r="N235" s="6"/>
      <c r="U235" s="1"/>
      <c r="V235" s="1"/>
      <c r="W235" s="1"/>
      <c r="X235" s="1"/>
      <c r="Y235" s="1"/>
    </row>
    <row r="236" spans="2:25" s="3" customFormat="1" x14ac:dyDescent="0.25">
      <c r="B236" s="23"/>
      <c r="K236" s="6"/>
      <c r="L236" s="6"/>
      <c r="M236" s="6"/>
      <c r="N236" s="6"/>
      <c r="U236" s="1"/>
      <c r="V236" s="1"/>
      <c r="W236" s="1"/>
      <c r="X236" s="1"/>
      <c r="Y236" s="1"/>
    </row>
    <row r="237" spans="2:25" s="3" customFormat="1" x14ac:dyDescent="0.25">
      <c r="B237" s="23"/>
      <c r="K237" s="6"/>
      <c r="L237" s="6"/>
      <c r="M237" s="6"/>
      <c r="N237" s="6"/>
      <c r="U237" s="1"/>
      <c r="V237" s="1"/>
      <c r="W237" s="1"/>
      <c r="X237" s="1"/>
      <c r="Y237" s="1"/>
    </row>
    <row r="238" spans="2:25" s="3" customFormat="1" x14ac:dyDescent="0.25">
      <c r="B238" s="23"/>
      <c r="J238" s="6"/>
      <c r="K238" s="6"/>
      <c r="L238" s="6"/>
      <c r="M238" s="6"/>
      <c r="N238" s="6"/>
      <c r="U238" s="1"/>
      <c r="V238" s="1"/>
      <c r="W238" s="1"/>
      <c r="X238" s="1"/>
      <c r="Y238" s="1"/>
    </row>
    <row r="239" spans="2:25" s="3" customFormat="1" x14ac:dyDescent="0.25">
      <c r="B239" s="23"/>
      <c r="J239" s="6"/>
      <c r="K239" s="6"/>
      <c r="L239" s="6"/>
      <c r="M239" s="6"/>
      <c r="N239" s="6"/>
      <c r="U239" s="1"/>
      <c r="V239" s="1"/>
      <c r="W239" s="1"/>
      <c r="X239" s="1"/>
      <c r="Y239" s="1"/>
    </row>
    <row r="240" spans="2:25" s="3" customFormat="1" x14ac:dyDescent="0.25">
      <c r="B240" s="23"/>
      <c r="J240" s="6"/>
      <c r="K240" s="6"/>
      <c r="L240" s="6"/>
      <c r="M240" s="6"/>
      <c r="N240" s="6"/>
      <c r="U240" s="1"/>
      <c r="V240" s="1"/>
      <c r="W240" s="1"/>
      <c r="X240" s="1"/>
      <c r="Y240" s="1"/>
    </row>
    <row r="241" spans="1:25" s="3" customFormat="1" x14ac:dyDescent="0.25">
      <c r="B241" s="23"/>
      <c r="J241" s="6"/>
      <c r="K241" s="6"/>
      <c r="L241" s="6"/>
      <c r="M241" s="6"/>
      <c r="N241" s="6"/>
      <c r="U241" s="1"/>
      <c r="V241" s="1"/>
      <c r="W241" s="1"/>
      <c r="X241" s="1"/>
      <c r="Y241" s="1"/>
    </row>
    <row r="242" spans="1:25" s="3" customFormat="1" x14ac:dyDescent="0.25">
      <c r="B242" s="23"/>
      <c r="J242" s="6"/>
      <c r="K242" s="6"/>
      <c r="L242" s="6"/>
      <c r="M242" s="6"/>
      <c r="N242" s="6"/>
      <c r="O242" s="6"/>
      <c r="U242" s="1"/>
      <c r="V242" s="1"/>
      <c r="W242" s="1"/>
      <c r="X242" s="1"/>
      <c r="Y242" s="1"/>
    </row>
    <row r="243" spans="1:25" s="3" customFormat="1" x14ac:dyDescent="0.25">
      <c r="B243" s="23"/>
      <c r="J243" s="6"/>
      <c r="K243" s="6"/>
      <c r="L243" s="6"/>
      <c r="M243" s="6"/>
      <c r="N243" s="6"/>
      <c r="O243" s="6"/>
      <c r="U243" s="1"/>
      <c r="V243" s="1"/>
      <c r="W243" s="1"/>
      <c r="X243" s="1"/>
      <c r="Y243" s="1"/>
    </row>
    <row r="244" spans="1:25" s="3" customFormat="1" x14ac:dyDescent="0.25">
      <c r="A244" s="6"/>
      <c r="B244" s="25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Q244" s="6"/>
      <c r="R244" s="6"/>
      <c r="S244" s="6"/>
      <c r="U244" s="1"/>
      <c r="V244" s="1"/>
      <c r="W244" s="1"/>
      <c r="X244" s="1"/>
      <c r="Y244" s="1"/>
    </row>
  </sheetData>
  <sheetProtection sheet="1" objects="1" scenarios="1"/>
  <mergeCells count="186">
    <mergeCell ref="A17:C17"/>
    <mergeCell ref="A18:C18"/>
    <mergeCell ref="A19:C19"/>
    <mergeCell ref="A20:C20"/>
    <mergeCell ref="M23:N23"/>
    <mergeCell ref="D22:E22"/>
    <mergeCell ref="F22:G22"/>
    <mergeCell ref="H22:I22"/>
    <mergeCell ref="K22:L22"/>
    <mergeCell ref="M22:N22"/>
    <mergeCell ref="D17:E17"/>
    <mergeCell ref="F17:G17"/>
    <mergeCell ref="H17:I17"/>
    <mergeCell ref="D23:E23"/>
    <mergeCell ref="F23:G23"/>
    <mergeCell ref="H23:I23"/>
    <mergeCell ref="K23:L23"/>
    <mergeCell ref="F18:G18"/>
    <mergeCell ref="H18:I18"/>
    <mergeCell ref="K18:L18"/>
    <mergeCell ref="M18:N18"/>
    <mergeCell ref="D21:E21"/>
    <mergeCell ref="F21:G21"/>
    <mergeCell ref="H21:I21"/>
    <mergeCell ref="K21:L21"/>
    <mergeCell ref="M21:N21"/>
    <mergeCell ref="D20:E20"/>
    <mergeCell ref="F20:G20"/>
    <mergeCell ref="H20:I20"/>
    <mergeCell ref="K20:L20"/>
    <mergeCell ref="M20:N20"/>
    <mergeCell ref="D2:K4"/>
    <mergeCell ref="L2:N4"/>
    <mergeCell ref="K17:L17"/>
    <mergeCell ref="D19:E19"/>
    <mergeCell ref="F19:G19"/>
    <mergeCell ref="H19:I19"/>
    <mergeCell ref="K19:L19"/>
    <mergeCell ref="M19:N19"/>
    <mergeCell ref="M17:N17"/>
    <mergeCell ref="D18:E18"/>
    <mergeCell ref="R3:T3"/>
    <mergeCell ref="B5:K5"/>
    <mergeCell ref="L5:N5"/>
    <mergeCell ref="R5:T5"/>
    <mergeCell ref="K13:L13"/>
    <mergeCell ref="F15:N15"/>
    <mergeCell ref="A16:C16"/>
    <mergeCell ref="D16:E16"/>
    <mergeCell ref="F16:G16"/>
    <mergeCell ref="H16:I16"/>
    <mergeCell ref="K16:L16"/>
    <mergeCell ref="M16:N16"/>
    <mergeCell ref="C8:F8"/>
    <mergeCell ref="K8:N8"/>
    <mergeCell ref="C10:F10"/>
    <mergeCell ref="K10:N10"/>
    <mergeCell ref="C12:F12"/>
    <mergeCell ref="K12:L12"/>
    <mergeCell ref="D25:E25"/>
    <mergeCell ref="F25:G25"/>
    <mergeCell ref="H25:I25"/>
    <mergeCell ref="K25:L25"/>
    <mergeCell ref="M25:N25"/>
    <mergeCell ref="D24:E24"/>
    <mergeCell ref="F24:G24"/>
    <mergeCell ref="H24:I24"/>
    <mergeCell ref="K24:L24"/>
    <mergeCell ref="M24:N24"/>
    <mergeCell ref="D27:E27"/>
    <mergeCell ref="F27:G27"/>
    <mergeCell ref="H27:I27"/>
    <mergeCell ref="K27:L27"/>
    <mergeCell ref="M27:N27"/>
    <mergeCell ref="D26:E26"/>
    <mergeCell ref="F26:G26"/>
    <mergeCell ref="H26:I26"/>
    <mergeCell ref="K26:L26"/>
    <mergeCell ref="M26:N26"/>
    <mergeCell ref="D29:E29"/>
    <mergeCell ref="F29:G29"/>
    <mergeCell ref="H29:I29"/>
    <mergeCell ref="K29:L29"/>
    <mergeCell ref="M29:N29"/>
    <mergeCell ref="D28:E28"/>
    <mergeCell ref="F28:G28"/>
    <mergeCell ref="H28:I28"/>
    <mergeCell ref="K28:L28"/>
    <mergeCell ref="M28:N28"/>
    <mergeCell ref="A32:C32"/>
    <mergeCell ref="A33:C33"/>
    <mergeCell ref="D31:E31"/>
    <mergeCell ref="F31:G31"/>
    <mergeCell ref="H31:I31"/>
    <mergeCell ref="K31:L31"/>
    <mergeCell ref="M31:N31"/>
    <mergeCell ref="D30:E30"/>
    <mergeCell ref="F30:G30"/>
    <mergeCell ref="H30:I30"/>
    <mergeCell ref="K30:L30"/>
    <mergeCell ref="M30:N30"/>
    <mergeCell ref="A30:C30"/>
    <mergeCell ref="A31:C31"/>
    <mergeCell ref="D33:E33"/>
    <mergeCell ref="F33:G33"/>
    <mergeCell ref="H33:I33"/>
    <mergeCell ref="K33:L33"/>
    <mergeCell ref="M33:N33"/>
    <mergeCell ref="D32:E32"/>
    <mergeCell ref="F32:G32"/>
    <mergeCell ref="H32:I32"/>
    <mergeCell ref="K32:L32"/>
    <mergeCell ref="M32:N32"/>
    <mergeCell ref="A36:C36"/>
    <mergeCell ref="A37:C37"/>
    <mergeCell ref="D35:E35"/>
    <mergeCell ref="F35:G35"/>
    <mergeCell ref="H35:I35"/>
    <mergeCell ref="K35:L35"/>
    <mergeCell ref="M35:N35"/>
    <mergeCell ref="D34:E34"/>
    <mergeCell ref="F34:G34"/>
    <mergeCell ref="H34:I34"/>
    <mergeCell ref="K34:L34"/>
    <mergeCell ref="M34:N34"/>
    <mergeCell ref="A34:C34"/>
    <mergeCell ref="A35:C35"/>
    <mergeCell ref="D37:E37"/>
    <mergeCell ref="F37:G37"/>
    <mergeCell ref="H37:I37"/>
    <mergeCell ref="K37:L37"/>
    <mergeCell ref="M37:N37"/>
    <mergeCell ref="D36:E36"/>
    <mergeCell ref="F36:G36"/>
    <mergeCell ref="H36:I36"/>
    <mergeCell ref="K36:L36"/>
    <mergeCell ref="M36:N36"/>
    <mergeCell ref="A44:C44"/>
    <mergeCell ref="D40:E40"/>
    <mergeCell ref="K40:L40"/>
    <mergeCell ref="D41:E41"/>
    <mergeCell ref="K41:L41"/>
    <mergeCell ref="D38:E38"/>
    <mergeCell ref="K38:L38"/>
    <mergeCell ref="D39:E39"/>
    <mergeCell ref="K39:L39"/>
    <mergeCell ref="A38:C38"/>
    <mergeCell ref="A39:C39"/>
    <mergeCell ref="A40:C40"/>
    <mergeCell ref="A41:C41"/>
    <mergeCell ref="D46:E46"/>
    <mergeCell ref="F46:G46"/>
    <mergeCell ref="H46:I46"/>
    <mergeCell ref="M46:N46"/>
    <mergeCell ref="B52:F57"/>
    <mergeCell ref="J52:N57"/>
    <mergeCell ref="A45:C45"/>
    <mergeCell ref="D45:E45"/>
    <mergeCell ref="F45:G45"/>
    <mergeCell ref="H45:I45"/>
    <mergeCell ref="K45:L45"/>
    <mergeCell ref="M45:N45"/>
    <mergeCell ref="M38:N38"/>
    <mergeCell ref="M39:N39"/>
    <mergeCell ref="M40:N40"/>
    <mergeCell ref="M41:N41"/>
    <mergeCell ref="M42:N42"/>
    <mergeCell ref="M43:N43"/>
    <mergeCell ref="M44:N44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D44:E44"/>
    <mergeCell ref="K44:L44"/>
    <mergeCell ref="D42:E42"/>
    <mergeCell ref="K42:L42"/>
    <mergeCell ref="D43:E43"/>
    <mergeCell ref="K43:L43"/>
    <mergeCell ref="A42:C42"/>
    <mergeCell ref="A43:C43"/>
  </mergeCells>
  <conditionalFormatting sqref="D24:D45">
    <cfRule type="expression" dxfId="7" priority="3">
      <formula>#REF!="Non"</formula>
    </cfRule>
    <cfRule type="expression" dxfId="6" priority="4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2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7191E34-8E48-497D-A59B-83210B70B175}">
            <xm:f>'Niveau 2 Nov'!#REF!="Non"</xm:f>
            <x14:dxf>
              <fill>
                <patternFill>
                  <bgColor theme="1"/>
                </patternFill>
              </fill>
            </x14:dxf>
          </x14:cfRule>
          <x14:cfRule type="expression" priority="2" id="{C667BAFC-F8E3-482B-B69A-DB1727E4E408}">
            <xm:f>'Niveau 2 Nov'!#REF!="Oui"</xm:f>
            <x14:dxf>
              <fill>
                <patternFill>
                  <bgColor theme="1"/>
                </patternFill>
              </fill>
            </x14:dxf>
          </x14:cfRule>
          <xm:sqref>D17:D23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D244"/>
  <sheetViews>
    <sheetView topLeftCell="A4" zoomScale="90" zoomScaleNormal="90" workbookViewId="0">
      <selection activeCell="T39" sqref="T39"/>
    </sheetView>
  </sheetViews>
  <sheetFormatPr baseColWidth="10" defaultColWidth="11.42578125" defaultRowHeight="15" x14ac:dyDescent="0.25"/>
  <cols>
    <col min="1" max="1" width="5" style="6" customWidth="1"/>
    <col min="2" max="2" width="10.85546875" style="25" customWidth="1"/>
    <col min="3" max="3" width="12.28515625" style="6" customWidth="1"/>
    <col min="4" max="4" width="8.42578125" style="6" customWidth="1"/>
    <col min="5" max="5" width="6.42578125" style="6" customWidth="1"/>
    <col min="6" max="6" width="5.42578125" style="6" customWidth="1"/>
    <col min="7" max="7" width="8" style="6" customWidth="1"/>
    <col min="8" max="8" width="5.85546875" style="6" customWidth="1"/>
    <col min="9" max="9" width="10" style="6" customWidth="1"/>
    <col min="10" max="10" width="14.42578125" style="6" customWidth="1"/>
    <col min="11" max="12" width="8.140625" style="6" customWidth="1"/>
    <col min="13" max="13" width="8" style="6" customWidth="1"/>
    <col min="14" max="14" width="10.42578125" style="6" customWidth="1"/>
    <col min="15" max="15" width="2.42578125" style="6" customWidth="1"/>
    <col min="16" max="19" width="7.5703125" style="6" customWidth="1"/>
    <col min="20" max="20" width="7.5703125" style="3" customWidth="1"/>
    <col min="21" max="21" width="6.85546875" style="1" customWidth="1"/>
    <col min="22" max="25" width="3.85546875" style="1" customWidth="1"/>
    <col min="26" max="35" width="3.85546875" style="3" customWidth="1"/>
    <col min="36" max="36" width="4.42578125" style="3" customWidth="1"/>
    <col min="37" max="56" width="11.42578125" style="3"/>
    <col min="57" max="16384" width="11.42578125" style="6"/>
  </cols>
  <sheetData>
    <row r="1" spans="1:25" s="1" customFormat="1" ht="13.5" customHeight="1" thickBot="1" x14ac:dyDescent="0.3">
      <c r="B1" s="2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5" s="1" customFormat="1" ht="6" customHeight="1" x14ac:dyDescent="0.25">
      <c r="B2" s="22"/>
      <c r="D2" s="194" t="s">
        <v>69</v>
      </c>
      <c r="E2" s="195"/>
      <c r="F2" s="195"/>
      <c r="G2" s="195"/>
      <c r="H2" s="195"/>
      <c r="I2" s="195"/>
      <c r="J2" s="195"/>
      <c r="K2" s="195"/>
      <c r="L2" s="251">
        <f>'Niveau 1 Déc'!L2:N4</f>
        <v>45627</v>
      </c>
      <c r="M2" s="252"/>
      <c r="N2" s="253"/>
      <c r="O2" s="3"/>
    </row>
    <row r="3" spans="1:25" ht="15.75" customHeight="1" x14ac:dyDescent="0.25">
      <c r="A3" s="3"/>
      <c r="B3" s="23"/>
      <c r="C3" s="3"/>
      <c r="D3" s="196"/>
      <c r="E3" s="197"/>
      <c r="F3" s="197"/>
      <c r="G3" s="197"/>
      <c r="H3" s="197"/>
      <c r="I3" s="197"/>
      <c r="J3" s="197"/>
      <c r="K3" s="197"/>
      <c r="L3" s="254"/>
      <c r="M3" s="255"/>
      <c r="N3" s="256"/>
      <c r="O3" s="3"/>
      <c r="P3" s="36"/>
      <c r="Q3" s="4"/>
      <c r="R3" s="220"/>
      <c r="S3" s="220"/>
      <c r="T3" s="220"/>
      <c r="U3" s="36"/>
      <c r="V3" s="36"/>
      <c r="W3" s="36"/>
      <c r="X3" s="36"/>
      <c r="Y3" s="5"/>
    </row>
    <row r="4" spans="1:25" ht="34.5" customHeight="1" thickBot="1" x14ac:dyDescent="0.3">
      <c r="A4" s="3"/>
      <c r="B4" s="23"/>
      <c r="C4" s="3"/>
      <c r="D4" s="198"/>
      <c r="E4" s="199"/>
      <c r="F4" s="199"/>
      <c r="G4" s="199"/>
      <c r="H4" s="199"/>
      <c r="I4" s="199"/>
      <c r="J4" s="199"/>
      <c r="K4" s="199"/>
      <c r="L4" s="257"/>
      <c r="M4" s="258"/>
      <c r="N4" s="259"/>
      <c r="O4" s="3"/>
      <c r="P4" s="36"/>
      <c r="Q4" s="4"/>
      <c r="R4" s="36"/>
      <c r="S4" s="36"/>
      <c r="T4" s="36"/>
      <c r="U4" s="36"/>
      <c r="V4" s="36"/>
      <c r="W4" s="36"/>
      <c r="X4" s="36"/>
      <c r="Y4" s="5"/>
    </row>
    <row r="5" spans="1:25" ht="33.75" customHeight="1" x14ac:dyDescent="0.25">
      <c r="B5" s="221" t="s">
        <v>6</v>
      </c>
      <c r="C5" s="221"/>
      <c r="D5" s="221"/>
      <c r="E5" s="221"/>
      <c r="F5" s="221"/>
      <c r="G5" s="221"/>
      <c r="H5" s="221"/>
      <c r="I5" s="221"/>
      <c r="J5" s="221"/>
      <c r="K5" s="221"/>
      <c r="L5" s="222">
        <f>+'Niveau 1 Déc'!L5:N5</f>
        <v>45622</v>
      </c>
      <c r="M5" s="222"/>
      <c r="N5" s="222"/>
      <c r="O5" s="3"/>
      <c r="P5" s="36"/>
      <c r="Q5" s="5"/>
      <c r="R5" s="220"/>
      <c r="S5" s="220"/>
      <c r="T5" s="220"/>
      <c r="U5" s="36"/>
      <c r="V5" s="36"/>
      <c r="W5" s="36"/>
      <c r="X5" s="36"/>
      <c r="Y5" s="5"/>
    </row>
    <row r="6" spans="1:25" ht="19.5" customHeight="1" x14ac:dyDescent="0.35">
      <c r="A6" s="46"/>
      <c r="B6" s="3" t="s">
        <v>73</v>
      </c>
      <c r="C6" s="3"/>
      <c r="D6" s="14"/>
      <c r="E6" s="14"/>
      <c r="F6" s="14"/>
      <c r="G6" s="14"/>
      <c r="H6" s="3"/>
      <c r="I6" s="3"/>
      <c r="J6" s="3"/>
      <c r="K6" s="3"/>
      <c r="L6" s="26"/>
      <c r="M6" s="26"/>
      <c r="N6" s="26"/>
      <c r="O6" s="26"/>
      <c r="P6" s="26"/>
      <c r="Q6" s="26"/>
      <c r="R6" s="26"/>
      <c r="S6" s="26"/>
      <c r="T6" s="26"/>
      <c r="U6" s="36"/>
      <c r="V6" s="36"/>
      <c r="W6" s="36"/>
      <c r="X6" s="36"/>
      <c r="Y6" s="5"/>
    </row>
    <row r="7" spans="1:25" ht="19.5" customHeight="1" thickBot="1" x14ac:dyDescent="0.4">
      <c r="A7" s="48"/>
      <c r="B7" s="3" t="s">
        <v>74</v>
      </c>
      <c r="C7" s="3"/>
      <c r="D7" s="14"/>
      <c r="E7" s="14"/>
      <c r="F7" s="14"/>
      <c r="G7" s="14"/>
      <c r="H7" s="3"/>
      <c r="I7" s="3"/>
      <c r="J7" s="3"/>
      <c r="K7" s="3"/>
      <c r="L7" s="26"/>
      <c r="M7" s="26"/>
      <c r="N7" s="26"/>
      <c r="O7" s="26"/>
      <c r="P7" s="26"/>
      <c r="Q7" s="26"/>
      <c r="R7" s="26"/>
      <c r="S7" s="26"/>
      <c r="T7" s="26"/>
      <c r="U7" s="38"/>
      <c r="V7" s="38"/>
      <c r="W7" s="38"/>
      <c r="X7" s="38"/>
      <c r="Y7" s="5"/>
    </row>
    <row r="8" spans="1:25" ht="18" customHeight="1" thickBot="1" x14ac:dyDescent="0.3">
      <c r="A8" s="8" t="s">
        <v>2</v>
      </c>
      <c r="B8" s="24"/>
      <c r="C8" s="324"/>
      <c r="D8" s="325"/>
      <c r="E8" s="325"/>
      <c r="F8" s="326"/>
      <c r="G8" s="9"/>
      <c r="H8" s="8" t="s">
        <v>26</v>
      </c>
      <c r="I8" s="8"/>
      <c r="J8" s="8"/>
      <c r="K8" s="324"/>
      <c r="L8" s="325"/>
      <c r="M8" s="325"/>
      <c r="N8" s="326"/>
      <c r="O8" s="26"/>
      <c r="P8" s="26"/>
      <c r="Q8" s="26"/>
      <c r="R8" s="26"/>
      <c r="S8" s="26"/>
      <c r="T8" s="26"/>
    </row>
    <row r="9" spans="1:25" ht="7.5" customHeight="1" thickBot="1" x14ac:dyDescent="0.3">
      <c r="A9" s="8"/>
      <c r="B9" s="24"/>
      <c r="C9" s="10"/>
      <c r="D9" s="10"/>
      <c r="E9" s="10"/>
      <c r="F9" s="10"/>
      <c r="G9" s="7"/>
      <c r="H9" s="8"/>
      <c r="I9" s="8"/>
      <c r="J9" s="8"/>
      <c r="K9" s="10"/>
      <c r="L9" s="10"/>
      <c r="M9" s="10"/>
      <c r="N9" s="7"/>
      <c r="O9" s="26"/>
      <c r="P9" s="26"/>
      <c r="Q9" s="26"/>
      <c r="R9" s="26"/>
      <c r="S9" s="26"/>
      <c r="T9" s="26"/>
    </row>
    <row r="10" spans="1:25" ht="18" customHeight="1" thickBot="1" x14ac:dyDescent="0.35">
      <c r="A10" s="8" t="s">
        <v>3</v>
      </c>
      <c r="B10" s="24"/>
      <c r="C10" s="324"/>
      <c r="D10" s="325"/>
      <c r="E10" s="325"/>
      <c r="F10" s="326"/>
      <c r="G10" s="9"/>
      <c r="H10" s="8" t="s">
        <v>25</v>
      </c>
      <c r="I10" s="8"/>
      <c r="J10" s="8"/>
      <c r="K10" s="324"/>
      <c r="L10" s="325"/>
      <c r="M10" s="325"/>
      <c r="N10" s="326"/>
      <c r="O10" s="26"/>
      <c r="P10" s="26"/>
      <c r="Q10" s="26"/>
      <c r="R10" s="26"/>
      <c r="S10" s="26"/>
      <c r="T10" s="26"/>
      <c r="U10" s="11"/>
    </row>
    <row r="11" spans="1:25" ht="18" customHeight="1" thickBot="1" x14ac:dyDescent="0.35">
      <c r="A11" s="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6"/>
      <c r="P11" s="26"/>
      <c r="Q11" s="26"/>
      <c r="R11" s="26"/>
      <c r="S11" s="26"/>
      <c r="T11" s="26"/>
      <c r="U11" s="11"/>
    </row>
    <row r="12" spans="1:25" ht="18" customHeight="1" thickBot="1" x14ac:dyDescent="0.35">
      <c r="A12" s="8" t="s">
        <v>49</v>
      </c>
      <c r="B12" s="24"/>
      <c r="C12" s="324" t="s">
        <v>50</v>
      </c>
      <c r="D12" s="325"/>
      <c r="E12" s="325"/>
      <c r="F12" s="326"/>
      <c r="G12" s="24"/>
      <c r="H12" s="8" t="s">
        <v>52</v>
      </c>
      <c r="I12" s="8"/>
      <c r="J12" s="24"/>
      <c r="K12" s="346"/>
      <c r="L12" s="347"/>
      <c r="M12" s="8" t="s">
        <v>59</v>
      </c>
      <c r="N12" s="24"/>
      <c r="O12" s="26"/>
      <c r="P12" s="26"/>
      <c r="Q12" s="26"/>
      <c r="R12" s="26"/>
      <c r="S12" s="26"/>
      <c r="T12" s="26"/>
      <c r="U12" s="11"/>
    </row>
    <row r="13" spans="1:25" ht="18" customHeight="1" thickBot="1" x14ac:dyDescent="0.35">
      <c r="A13" s="8"/>
      <c r="B13" s="24"/>
      <c r="C13" s="24"/>
      <c r="D13" s="24"/>
      <c r="E13" s="24"/>
      <c r="F13" s="24"/>
      <c r="G13" s="24"/>
      <c r="H13" s="8" t="s">
        <v>51</v>
      </c>
      <c r="I13" s="8"/>
      <c r="J13" s="24"/>
      <c r="K13" s="344"/>
      <c r="L13" s="345"/>
      <c r="M13" s="32" t="s">
        <v>60</v>
      </c>
      <c r="N13" s="24"/>
      <c r="O13" s="26"/>
      <c r="P13" s="26"/>
      <c r="Q13" s="26"/>
      <c r="R13" s="26"/>
      <c r="S13" s="26"/>
      <c r="T13" s="26"/>
      <c r="U13" s="11"/>
    </row>
    <row r="14" spans="1:25" ht="13.5" customHeight="1" thickBot="1" x14ac:dyDescent="0.35">
      <c r="A14" s="8" t="s">
        <v>70</v>
      </c>
      <c r="B14" s="24"/>
      <c r="C14" s="24"/>
      <c r="D14" s="24"/>
      <c r="E14" s="24"/>
      <c r="F14" s="24"/>
      <c r="G14" s="9"/>
      <c r="H14" s="8"/>
      <c r="I14" s="8"/>
      <c r="J14" s="8"/>
      <c r="K14" s="8"/>
      <c r="L14" s="8"/>
      <c r="M14" s="8"/>
      <c r="N14" s="8"/>
      <c r="O14" s="26"/>
      <c r="P14" s="26"/>
      <c r="Q14" s="26"/>
      <c r="R14" s="26"/>
      <c r="S14" s="26"/>
      <c r="T14" s="26"/>
      <c r="U14" s="11"/>
    </row>
    <row r="15" spans="1:25" ht="22.5" customHeight="1" thickBot="1" x14ac:dyDescent="0.35">
      <c r="A15" s="8"/>
      <c r="B15" s="24"/>
      <c r="C15" s="10"/>
      <c r="D15" s="10"/>
      <c r="E15" s="10"/>
      <c r="F15" s="262" t="s">
        <v>28</v>
      </c>
      <c r="G15" s="263"/>
      <c r="H15" s="263"/>
      <c r="I15" s="263"/>
      <c r="J15" s="263"/>
      <c r="K15" s="263"/>
      <c r="L15" s="263"/>
      <c r="M15" s="263"/>
      <c r="N15" s="264"/>
      <c r="O15" s="26"/>
      <c r="P15" s="26"/>
      <c r="Q15" s="26"/>
      <c r="R15" s="26"/>
      <c r="S15" s="26"/>
      <c r="T15" s="26"/>
      <c r="U15" s="11"/>
    </row>
    <row r="16" spans="1:25" s="19" customFormat="1" ht="54.75" customHeight="1" x14ac:dyDescent="0.25">
      <c r="A16" s="200" t="s">
        <v>1</v>
      </c>
      <c r="B16" s="201"/>
      <c r="C16" s="202"/>
      <c r="D16" s="203" t="s">
        <v>58</v>
      </c>
      <c r="E16" s="204"/>
      <c r="F16" s="265" t="s">
        <v>29</v>
      </c>
      <c r="G16" s="265"/>
      <c r="H16" s="266" t="s">
        <v>61</v>
      </c>
      <c r="I16" s="267"/>
      <c r="J16" s="37" t="s">
        <v>63</v>
      </c>
      <c r="K16" s="268" t="s">
        <v>64</v>
      </c>
      <c r="L16" s="269"/>
      <c r="M16" s="266" t="s">
        <v>30</v>
      </c>
      <c r="N16" s="267"/>
      <c r="O16" s="26"/>
      <c r="P16" s="26"/>
      <c r="Q16" s="26"/>
      <c r="R16" s="26"/>
      <c r="S16" s="26"/>
      <c r="T16" s="26"/>
      <c r="U16" s="20"/>
      <c r="V16" s="20"/>
      <c r="W16" s="20"/>
      <c r="X16" s="21"/>
    </row>
    <row r="17" spans="1:24" s="3" customFormat="1" x14ac:dyDescent="0.25">
      <c r="A17" s="191">
        <v>45593</v>
      </c>
      <c r="B17" s="286"/>
      <c r="C17" s="287"/>
      <c r="D17" s="336"/>
      <c r="E17" s="336"/>
      <c r="F17" s="337"/>
      <c r="G17" s="338"/>
      <c r="H17" s="339"/>
      <c r="I17" s="340"/>
      <c r="J17" s="49"/>
      <c r="K17" s="341"/>
      <c r="L17" s="341"/>
      <c r="M17" s="309">
        <f t="shared" ref="M17" si="0">+K17-J17</f>
        <v>0</v>
      </c>
      <c r="N17" s="310"/>
      <c r="P17" s="12"/>
      <c r="Q17" s="15"/>
      <c r="R17" s="15"/>
      <c r="S17" s="15"/>
      <c r="T17" s="13"/>
      <c r="U17" s="13"/>
      <c r="V17" s="13"/>
      <c r="W17" s="13"/>
      <c r="X17" s="1"/>
    </row>
    <row r="18" spans="1:24" s="3" customFormat="1" x14ac:dyDescent="0.25">
      <c r="A18" s="191">
        <v>45594</v>
      </c>
      <c r="B18" s="286"/>
      <c r="C18" s="287"/>
      <c r="D18" s="336"/>
      <c r="E18" s="336"/>
      <c r="F18" s="337"/>
      <c r="G18" s="338"/>
      <c r="H18" s="339"/>
      <c r="I18" s="340"/>
      <c r="J18" s="49"/>
      <c r="K18" s="341"/>
      <c r="L18" s="341"/>
      <c r="M18" s="309">
        <f t="shared" ref="M18:M44" si="1">+K18-J18</f>
        <v>0</v>
      </c>
      <c r="N18" s="310"/>
      <c r="P18" s="12"/>
      <c r="Q18" s="15"/>
      <c r="R18" s="15"/>
      <c r="S18" s="15"/>
      <c r="T18" s="13"/>
      <c r="U18" s="13"/>
      <c r="V18" s="13"/>
      <c r="W18" s="13"/>
      <c r="X18" s="1"/>
    </row>
    <row r="19" spans="1:24" s="3" customFormat="1" x14ac:dyDescent="0.25">
      <c r="A19" s="191">
        <v>45595</v>
      </c>
      <c r="B19" s="286"/>
      <c r="C19" s="287"/>
      <c r="D19" s="336"/>
      <c r="E19" s="336"/>
      <c r="F19" s="337"/>
      <c r="G19" s="338"/>
      <c r="H19" s="339"/>
      <c r="I19" s="340"/>
      <c r="J19" s="49"/>
      <c r="K19" s="341"/>
      <c r="L19" s="341"/>
      <c r="M19" s="309">
        <f t="shared" si="1"/>
        <v>0</v>
      </c>
      <c r="N19" s="310"/>
      <c r="P19" s="12"/>
      <c r="Q19" s="15"/>
      <c r="R19" s="15"/>
      <c r="S19" s="15"/>
      <c r="T19" s="13"/>
      <c r="U19" s="13"/>
      <c r="V19" s="13"/>
      <c r="W19" s="13"/>
      <c r="X19" s="1"/>
    </row>
    <row r="20" spans="1:24" s="3" customFormat="1" x14ac:dyDescent="0.25">
      <c r="A20" s="191">
        <v>45596</v>
      </c>
      <c r="B20" s="286"/>
      <c r="C20" s="287"/>
      <c r="D20" s="336"/>
      <c r="E20" s="336"/>
      <c r="F20" s="337"/>
      <c r="G20" s="338"/>
      <c r="H20" s="339"/>
      <c r="I20" s="340"/>
      <c r="J20" s="49"/>
      <c r="K20" s="341"/>
      <c r="L20" s="341"/>
      <c r="M20" s="309">
        <f t="shared" si="1"/>
        <v>0</v>
      </c>
      <c r="N20" s="310"/>
      <c r="P20" s="12"/>
      <c r="Q20" s="15"/>
      <c r="R20" s="15"/>
      <c r="S20" s="15"/>
      <c r="T20" s="13"/>
      <c r="U20" s="13"/>
      <c r="V20" s="13"/>
      <c r="W20" s="13"/>
      <c r="X20" s="1"/>
    </row>
    <row r="21" spans="1:24" s="3" customFormat="1" x14ac:dyDescent="0.25">
      <c r="A21" s="191">
        <v>45597</v>
      </c>
      <c r="B21" s="286"/>
      <c r="C21" s="287"/>
      <c r="D21" s="336"/>
      <c r="E21" s="336"/>
      <c r="F21" s="337"/>
      <c r="G21" s="338"/>
      <c r="H21" s="339"/>
      <c r="I21" s="340"/>
      <c r="J21" s="49"/>
      <c r="K21" s="341"/>
      <c r="L21" s="341"/>
      <c r="M21" s="309">
        <f t="shared" si="1"/>
        <v>0</v>
      </c>
      <c r="N21" s="310"/>
      <c r="P21" s="12"/>
      <c r="Q21" s="15"/>
      <c r="R21" s="15"/>
      <c r="S21" s="15"/>
      <c r="T21" s="13"/>
      <c r="U21" s="13"/>
      <c r="V21" s="13"/>
      <c r="W21" s="13"/>
      <c r="X21" s="1"/>
    </row>
    <row r="22" spans="1:24" s="3" customFormat="1" x14ac:dyDescent="0.25">
      <c r="A22" s="191">
        <v>45598</v>
      </c>
      <c r="B22" s="286"/>
      <c r="C22" s="287"/>
      <c r="D22" s="336"/>
      <c r="E22" s="336"/>
      <c r="F22" s="337"/>
      <c r="G22" s="338"/>
      <c r="H22" s="339"/>
      <c r="I22" s="340"/>
      <c r="J22" s="49"/>
      <c r="K22" s="341"/>
      <c r="L22" s="341"/>
      <c r="M22" s="309">
        <f t="shared" si="1"/>
        <v>0</v>
      </c>
      <c r="N22" s="310"/>
      <c r="P22" s="12"/>
      <c r="Q22" s="15"/>
      <c r="R22" s="15"/>
      <c r="S22" s="15"/>
      <c r="T22" s="13"/>
      <c r="U22" s="13"/>
      <c r="V22" s="13"/>
      <c r="W22" s="13"/>
      <c r="X22" s="1"/>
    </row>
    <row r="23" spans="1:24" s="3" customFormat="1" x14ac:dyDescent="0.25">
      <c r="A23" s="191">
        <v>45599</v>
      </c>
      <c r="B23" s="286"/>
      <c r="C23" s="287"/>
      <c r="D23" s="336"/>
      <c r="E23" s="336"/>
      <c r="F23" s="337"/>
      <c r="G23" s="338"/>
      <c r="H23" s="339"/>
      <c r="I23" s="340"/>
      <c r="J23" s="49"/>
      <c r="K23" s="341"/>
      <c r="L23" s="341"/>
      <c r="M23" s="309">
        <f t="shared" si="1"/>
        <v>0</v>
      </c>
      <c r="N23" s="310"/>
      <c r="P23" s="12"/>
      <c r="Q23" s="15"/>
      <c r="R23" s="15"/>
      <c r="S23" s="15"/>
      <c r="T23" s="13"/>
      <c r="U23" s="13"/>
      <c r="V23" s="13"/>
      <c r="W23" s="13"/>
      <c r="X23" s="1"/>
    </row>
    <row r="24" spans="1:24" s="3" customFormat="1" ht="15.75" x14ac:dyDescent="0.25">
      <c r="A24" s="191">
        <v>45600</v>
      </c>
      <c r="B24" s="286"/>
      <c r="C24" s="287"/>
      <c r="D24" s="336"/>
      <c r="E24" s="336"/>
      <c r="F24" s="337"/>
      <c r="G24" s="338"/>
      <c r="H24" s="339"/>
      <c r="I24" s="340"/>
      <c r="J24" s="49"/>
      <c r="K24" s="341"/>
      <c r="L24" s="341"/>
      <c r="M24" s="309">
        <f t="shared" si="1"/>
        <v>0</v>
      </c>
      <c r="N24" s="310"/>
      <c r="O24" s="26"/>
      <c r="P24" s="26"/>
      <c r="Q24" s="26"/>
      <c r="R24" s="26"/>
      <c r="S24" s="26"/>
      <c r="T24" s="26"/>
      <c r="U24" s="13"/>
      <c r="V24" s="13"/>
      <c r="W24" s="13"/>
      <c r="X24" s="1"/>
    </row>
    <row r="25" spans="1:24" s="3" customFormat="1" ht="15.75" x14ac:dyDescent="0.25">
      <c r="A25" s="191">
        <v>45601</v>
      </c>
      <c r="B25" s="286"/>
      <c r="C25" s="287"/>
      <c r="D25" s="336"/>
      <c r="E25" s="336"/>
      <c r="F25" s="337"/>
      <c r="G25" s="338"/>
      <c r="H25" s="339"/>
      <c r="I25" s="340"/>
      <c r="J25" s="49"/>
      <c r="K25" s="341"/>
      <c r="L25" s="341"/>
      <c r="M25" s="309">
        <f t="shared" si="1"/>
        <v>0</v>
      </c>
      <c r="N25" s="310"/>
      <c r="P25" s="26"/>
      <c r="Q25" s="26"/>
      <c r="R25" s="26"/>
      <c r="S25" s="26"/>
      <c r="T25" s="26"/>
      <c r="U25" s="13"/>
      <c r="V25" s="13"/>
      <c r="W25" s="13"/>
      <c r="X25" s="1"/>
    </row>
    <row r="26" spans="1:24" s="3" customFormat="1" ht="15.75" x14ac:dyDescent="0.25">
      <c r="A26" s="191">
        <v>45602</v>
      </c>
      <c r="B26" s="286"/>
      <c r="C26" s="287"/>
      <c r="D26" s="336"/>
      <c r="E26" s="336"/>
      <c r="F26" s="337"/>
      <c r="G26" s="338"/>
      <c r="H26" s="339"/>
      <c r="I26" s="340"/>
      <c r="J26" s="49"/>
      <c r="K26" s="341"/>
      <c r="L26" s="341"/>
      <c r="M26" s="309">
        <f t="shared" si="1"/>
        <v>0</v>
      </c>
      <c r="N26" s="310"/>
      <c r="P26" s="26"/>
      <c r="Q26" s="26"/>
      <c r="R26" s="26"/>
      <c r="S26" s="26"/>
      <c r="T26" s="26"/>
      <c r="U26" s="26"/>
      <c r="V26" s="13"/>
      <c r="W26" s="13"/>
      <c r="X26" s="1"/>
    </row>
    <row r="27" spans="1:24" s="3" customFormat="1" x14ac:dyDescent="0.25">
      <c r="A27" s="191">
        <v>45603</v>
      </c>
      <c r="B27" s="286"/>
      <c r="C27" s="287"/>
      <c r="D27" s="336"/>
      <c r="E27" s="336"/>
      <c r="F27" s="337"/>
      <c r="G27" s="338"/>
      <c r="H27" s="339"/>
      <c r="I27" s="340"/>
      <c r="J27" s="49"/>
      <c r="K27" s="341"/>
      <c r="L27" s="341"/>
      <c r="M27" s="309">
        <f t="shared" si="1"/>
        <v>0</v>
      </c>
      <c r="N27" s="310"/>
      <c r="P27" s="12"/>
      <c r="Q27" s="12"/>
      <c r="R27" s="12"/>
      <c r="S27" s="12"/>
      <c r="T27" s="13"/>
      <c r="U27" s="13"/>
      <c r="V27" s="13"/>
      <c r="W27" s="13"/>
      <c r="X27" s="1"/>
    </row>
    <row r="28" spans="1:24" s="3" customFormat="1" x14ac:dyDescent="0.25">
      <c r="A28" s="191">
        <v>45604</v>
      </c>
      <c r="B28" s="286"/>
      <c r="C28" s="287"/>
      <c r="D28" s="336"/>
      <c r="E28" s="336"/>
      <c r="F28" s="337"/>
      <c r="G28" s="338"/>
      <c r="H28" s="339"/>
      <c r="I28" s="340"/>
      <c r="J28" s="49"/>
      <c r="K28" s="341"/>
      <c r="L28" s="341"/>
      <c r="M28" s="309">
        <f t="shared" si="1"/>
        <v>0</v>
      </c>
      <c r="N28" s="310"/>
      <c r="P28" s="12"/>
      <c r="Q28" s="12"/>
      <c r="R28" s="12"/>
      <c r="S28" s="12"/>
      <c r="T28" s="13"/>
      <c r="U28" s="13"/>
      <c r="V28" s="13"/>
      <c r="W28" s="13"/>
      <c r="X28" s="1"/>
    </row>
    <row r="29" spans="1:24" s="3" customFormat="1" x14ac:dyDescent="0.25">
      <c r="A29" s="191">
        <v>45605</v>
      </c>
      <c r="B29" s="286"/>
      <c r="C29" s="287"/>
      <c r="D29" s="336"/>
      <c r="E29" s="336"/>
      <c r="F29" s="337"/>
      <c r="G29" s="338"/>
      <c r="H29" s="339"/>
      <c r="I29" s="340"/>
      <c r="J29" s="49"/>
      <c r="K29" s="341"/>
      <c r="L29" s="341"/>
      <c r="M29" s="309">
        <f t="shared" si="1"/>
        <v>0</v>
      </c>
      <c r="N29" s="310"/>
      <c r="P29" s="12"/>
      <c r="Q29" s="12"/>
      <c r="R29" s="12"/>
      <c r="S29" s="12"/>
      <c r="T29" s="13"/>
      <c r="U29" s="13"/>
      <c r="V29" s="13"/>
      <c r="W29" s="13"/>
      <c r="X29" s="1"/>
    </row>
    <row r="30" spans="1:24" s="3" customFormat="1" x14ac:dyDescent="0.25">
      <c r="A30" s="191">
        <v>45606</v>
      </c>
      <c r="B30" s="286"/>
      <c r="C30" s="287"/>
      <c r="D30" s="336"/>
      <c r="E30" s="336"/>
      <c r="F30" s="337"/>
      <c r="G30" s="338"/>
      <c r="H30" s="339"/>
      <c r="I30" s="340"/>
      <c r="J30" s="49"/>
      <c r="K30" s="341"/>
      <c r="L30" s="341"/>
      <c r="M30" s="309">
        <f t="shared" si="1"/>
        <v>0</v>
      </c>
      <c r="N30" s="310"/>
      <c r="P30" s="12"/>
      <c r="Q30" s="12"/>
      <c r="R30" s="12"/>
      <c r="S30" s="12"/>
      <c r="T30" s="13"/>
      <c r="U30" s="13"/>
      <c r="V30" s="13"/>
      <c r="W30" s="13"/>
      <c r="X30" s="1"/>
    </row>
    <row r="31" spans="1:24" s="3" customFormat="1" x14ac:dyDescent="0.25">
      <c r="A31" s="191">
        <v>45607</v>
      </c>
      <c r="B31" s="286"/>
      <c r="C31" s="287"/>
      <c r="D31" s="336"/>
      <c r="E31" s="336"/>
      <c r="F31" s="337"/>
      <c r="G31" s="338"/>
      <c r="H31" s="339"/>
      <c r="I31" s="340"/>
      <c r="J31" s="49"/>
      <c r="K31" s="341"/>
      <c r="L31" s="341"/>
      <c r="M31" s="309">
        <f t="shared" si="1"/>
        <v>0</v>
      </c>
      <c r="N31" s="310"/>
      <c r="P31" s="12"/>
      <c r="Q31" s="12"/>
      <c r="R31" s="12"/>
      <c r="S31" s="12"/>
      <c r="T31" s="13"/>
      <c r="U31" s="13"/>
      <c r="V31" s="13"/>
      <c r="W31" s="13"/>
      <c r="X31" s="1"/>
    </row>
    <row r="32" spans="1:24" s="3" customFormat="1" x14ac:dyDescent="0.25">
      <c r="A32" s="191">
        <v>45608</v>
      </c>
      <c r="B32" s="286"/>
      <c r="C32" s="287"/>
      <c r="D32" s="336"/>
      <c r="E32" s="336"/>
      <c r="F32" s="337"/>
      <c r="G32" s="338"/>
      <c r="H32" s="339"/>
      <c r="I32" s="340"/>
      <c r="J32" s="49"/>
      <c r="K32" s="341"/>
      <c r="L32" s="341"/>
      <c r="M32" s="309">
        <f t="shared" si="1"/>
        <v>0</v>
      </c>
      <c r="N32" s="310"/>
      <c r="P32" s="12"/>
      <c r="Q32" s="12"/>
      <c r="R32" s="12"/>
      <c r="S32" s="12"/>
      <c r="T32" s="13"/>
      <c r="U32" s="13"/>
      <c r="V32" s="13"/>
      <c r="W32" s="13"/>
      <c r="X32" s="1"/>
    </row>
    <row r="33" spans="1:25" s="3" customFormat="1" x14ac:dyDescent="0.25">
      <c r="A33" s="191">
        <v>45609</v>
      </c>
      <c r="B33" s="286"/>
      <c r="C33" s="287"/>
      <c r="D33" s="336"/>
      <c r="E33" s="336"/>
      <c r="F33" s="337"/>
      <c r="G33" s="338"/>
      <c r="H33" s="339"/>
      <c r="I33" s="340"/>
      <c r="J33" s="49"/>
      <c r="K33" s="341"/>
      <c r="L33" s="341"/>
      <c r="M33" s="309">
        <f t="shared" si="1"/>
        <v>0</v>
      </c>
      <c r="N33" s="310"/>
      <c r="P33" s="12"/>
      <c r="Q33" s="12"/>
      <c r="R33" s="12"/>
      <c r="S33" s="12"/>
      <c r="T33" s="13"/>
      <c r="U33" s="13"/>
      <c r="V33" s="13"/>
      <c r="W33" s="13"/>
      <c r="X33" s="1"/>
    </row>
    <row r="34" spans="1:25" s="3" customFormat="1" x14ac:dyDescent="0.25">
      <c r="A34" s="191">
        <v>45610</v>
      </c>
      <c r="B34" s="286"/>
      <c r="C34" s="287"/>
      <c r="D34" s="336"/>
      <c r="E34" s="336"/>
      <c r="F34" s="337"/>
      <c r="G34" s="338"/>
      <c r="H34" s="339"/>
      <c r="I34" s="340"/>
      <c r="J34" s="49"/>
      <c r="K34" s="341"/>
      <c r="L34" s="341"/>
      <c r="M34" s="309">
        <f t="shared" si="1"/>
        <v>0</v>
      </c>
      <c r="N34" s="310"/>
      <c r="P34" s="12"/>
      <c r="Q34" s="15"/>
      <c r="R34" s="15"/>
      <c r="S34" s="15"/>
      <c r="T34" s="13"/>
      <c r="U34" s="13"/>
      <c r="V34" s="13"/>
      <c r="W34" s="13"/>
      <c r="X34" s="1"/>
    </row>
    <row r="35" spans="1:25" s="3" customFormat="1" x14ac:dyDescent="0.25">
      <c r="A35" s="191">
        <v>45611</v>
      </c>
      <c r="B35" s="286"/>
      <c r="C35" s="287"/>
      <c r="D35" s="336"/>
      <c r="E35" s="336"/>
      <c r="F35" s="337"/>
      <c r="G35" s="338"/>
      <c r="H35" s="339"/>
      <c r="I35" s="340"/>
      <c r="J35" s="49"/>
      <c r="K35" s="341"/>
      <c r="L35" s="341"/>
      <c r="M35" s="309">
        <f t="shared" si="1"/>
        <v>0</v>
      </c>
      <c r="N35" s="310"/>
      <c r="P35" s="12"/>
      <c r="Q35" s="15"/>
      <c r="R35" s="15"/>
      <c r="S35" s="15"/>
      <c r="T35" s="13"/>
      <c r="U35" s="13"/>
      <c r="V35" s="13"/>
      <c r="W35" s="13"/>
      <c r="X35" s="1"/>
    </row>
    <row r="36" spans="1:25" s="3" customFormat="1" x14ac:dyDescent="0.25">
      <c r="A36" s="191">
        <v>45612</v>
      </c>
      <c r="B36" s="286"/>
      <c r="C36" s="287"/>
      <c r="D36" s="336"/>
      <c r="E36" s="336"/>
      <c r="F36" s="337"/>
      <c r="G36" s="338"/>
      <c r="H36" s="339"/>
      <c r="I36" s="340"/>
      <c r="J36" s="49"/>
      <c r="K36" s="341"/>
      <c r="L36" s="341"/>
      <c r="M36" s="309">
        <f t="shared" si="1"/>
        <v>0</v>
      </c>
      <c r="N36" s="310"/>
      <c r="P36" s="12"/>
      <c r="Q36" s="15"/>
      <c r="R36" s="15"/>
      <c r="S36" s="15"/>
      <c r="T36" s="13"/>
      <c r="U36" s="13"/>
      <c r="V36" s="13"/>
      <c r="W36" s="13"/>
      <c r="X36" s="1"/>
    </row>
    <row r="37" spans="1:25" s="3" customFormat="1" x14ac:dyDescent="0.25">
      <c r="A37" s="191">
        <v>45613</v>
      </c>
      <c r="B37" s="286"/>
      <c r="C37" s="287"/>
      <c r="D37" s="336"/>
      <c r="E37" s="336"/>
      <c r="F37" s="337"/>
      <c r="G37" s="338"/>
      <c r="H37" s="339"/>
      <c r="I37" s="340"/>
      <c r="J37" s="49"/>
      <c r="K37" s="341"/>
      <c r="L37" s="341"/>
      <c r="M37" s="309">
        <f t="shared" si="1"/>
        <v>0</v>
      </c>
      <c r="N37" s="310"/>
      <c r="O37" s="1"/>
      <c r="P37" s="12"/>
      <c r="Q37" s="15"/>
      <c r="R37" s="15"/>
      <c r="S37" s="15"/>
      <c r="T37" s="13"/>
      <c r="U37" s="13"/>
      <c r="V37" s="13"/>
      <c r="W37" s="13"/>
      <c r="X37" s="1"/>
    </row>
    <row r="38" spans="1:25" s="3" customFormat="1" x14ac:dyDescent="0.25">
      <c r="A38" s="191">
        <v>45614</v>
      </c>
      <c r="B38" s="286"/>
      <c r="C38" s="287"/>
      <c r="D38" s="342"/>
      <c r="E38" s="343"/>
      <c r="F38" s="337"/>
      <c r="G38" s="338"/>
      <c r="H38" s="52"/>
      <c r="I38" s="53"/>
      <c r="J38" s="49"/>
      <c r="K38" s="309"/>
      <c r="L38" s="310"/>
      <c r="M38" s="309">
        <f t="shared" si="1"/>
        <v>0</v>
      </c>
      <c r="N38" s="310"/>
      <c r="O38" s="1"/>
      <c r="P38" s="12"/>
      <c r="Q38" s="15"/>
      <c r="R38" s="15"/>
      <c r="S38" s="15"/>
      <c r="T38" s="13"/>
      <c r="U38" s="13"/>
      <c r="V38" s="13"/>
      <c r="W38" s="13"/>
      <c r="X38" s="1"/>
    </row>
    <row r="39" spans="1:25" s="3" customFormat="1" x14ac:dyDescent="0.25">
      <c r="A39" s="191">
        <v>45615</v>
      </c>
      <c r="B39" s="286"/>
      <c r="C39" s="287"/>
      <c r="D39" s="342"/>
      <c r="E39" s="343"/>
      <c r="F39" s="337"/>
      <c r="G39" s="338"/>
      <c r="H39" s="52"/>
      <c r="I39" s="53"/>
      <c r="J39" s="49"/>
      <c r="K39" s="309"/>
      <c r="L39" s="310"/>
      <c r="M39" s="309">
        <f t="shared" si="1"/>
        <v>0</v>
      </c>
      <c r="N39" s="310"/>
      <c r="O39" s="1"/>
      <c r="P39" s="12"/>
      <c r="Q39" s="15"/>
      <c r="R39" s="15"/>
      <c r="S39" s="15"/>
      <c r="T39" s="13"/>
      <c r="U39" s="13"/>
      <c r="V39" s="13"/>
      <c r="W39" s="13"/>
      <c r="X39" s="1"/>
    </row>
    <row r="40" spans="1:25" s="3" customFormat="1" x14ac:dyDescent="0.25">
      <c r="A40" s="191">
        <v>45616</v>
      </c>
      <c r="B40" s="286"/>
      <c r="C40" s="287"/>
      <c r="D40" s="342"/>
      <c r="E40" s="343"/>
      <c r="F40" s="337"/>
      <c r="G40" s="338"/>
      <c r="H40" s="52"/>
      <c r="I40" s="53"/>
      <c r="J40" s="49"/>
      <c r="K40" s="309"/>
      <c r="L40" s="310"/>
      <c r="M40" s="309">
        <f t="shared" si="1"/>
        <v>0</v>
      </c>
      <c r="N40" s="310"/>
      <c r="O40" s="1"/>
      <c r="P40" s="12"/>
      <c r="Q40" s="15"/>
      <c r="R40" s="15"/>
      <c r="S40" s="15"/>
      <c r="T40" s="13"/>
      <c r="U40" s="13"/>
      <c r="V40" s="13"/>
      <c r="W40" s="13"/>
      <c r="X40" s="1"/>
    </row>
    <row r="41" spans="1:25" s="3" customFormat="1" x14ac:dyDescent="0.25">
      <c r="A41" s="191">
        <v>45617</v>
      </c>
      <c r="B41" s="286"/>
      <c r="C41" s="287"/>
      <c r="D41" s="342"/>
      <c r="E41" s="343"/>
      <c r="F41" s="337"/>
      <c r="G41" s="338"/>
      <c r="H41" s="52"/>
      <c r="I41" s="53"/>
      <c r="J41" s="49"/>
      <c r="K41" s="309"/>
      <c r="L41" s="310"/>
      <c r="M41" s="309">
        <f t="shared" si="1"/>
        <v>0</v>
      </c>
      <c r="N41" s="310"/>
      <c r="O41" s="1"/>
      <c r="P41" s="12"/>
      <c r="Q41" s="15"/>
      <c r="R41" s="15"/>
      <c r="S41" s="15"/>
      <c r="T41" s="13"/>
      <c r="U41" s="13"/>
      <c r="V41" s="13"/>
      <c r="W41" s="13"/>
      <c r="X41" s="1"/>
    </row>
    <row r="42" spans="1:25" s="3" customFormat="1" x14ac:dyDescent="0.25">
      <c r="A42" s="191">
        <v>45618</v>
      </c>
      <c r="B42" s="286"/>
      <c r="C42" s="287"/>
      <c r="D42" s="342"/>
      <c r="E42" s="343"/>
      <c r="F42" s="337"/>
      <c r="G42" s="338"/>
      <c r="H42" s="52"/>
      <c r="I42" s="53"/>
      <c r="J42" s="49"/>
      <c r="K42" s="309"/>
      <c r="L42" s="310"/>
      <c r="M42" s="309">
        <f t="shared" si="1"/>
        <v>0</v>
      </c>
      <c r="N42" s="310"/>
      <c r="O42" s="1"/>
      <c r="P42" s="12"/>
      <c r="Q42" s="15"/>
      <c r="R42" s="15"/>
      <c r="S42" s="15"/>
      <c r="T42" s="13"/>
      <c r="U42" s="13"/>
      <c r="V42" s="13"/>
      <c r="W42" s="13"/>
      <c r="X42" s="1"/>
    </row>
    <row r="43" spans="1:25" s="3" customFormat="1" x14ac:dyDescent="0.25">
      <c r="A43" s="191">
        <v>45619</v>
      </c>
      <c r="B43" s="286"/>
      <c r="C43" s="287"/>
      <c r="D43" s="342"/>
      <c r="E43" s="343"/>
      <c r="F43" s="337"/>
      <c r="G43" s="338"/>
      <c r="H43" s="52"/>
      <c r="I43" s="53"/>
      <c r="J43" s="49"/>
      <c r="K43" s="309"/>
      <c r="L43" s="310"/>
      <c r="M43" s="309">
        <f t="shared" si="1"/>
        <v>0</v>
      </c>
      <c r="N43" s="310"/>
      <c r="O43" s="1"/>
      <c r="P43" s="12"/>
      <c r="Q43" s="15"/>
      <c r="R43" s="15"/>
      <c r="S43" s="15"/>
      <c r="T43" s="13"/>
      <c r="U43" s="13"/>
      <c r="V43" s="13"/>
      <c r="W43" s="13"/>
      <c r="X43" s="1"/>
    </row>
    <row r="44" spans="1:25" s="3" customFormat="1" x14ac:dyDescent="0.25">
      <c r="A44" s="191">
        <v>45620</v>
      </c>
      <c r="B44" s="286"/>
      <c r="C44" s="287"/>
      <c r="D44" s="342"/>
      <c r="E44" s="343"/>
      <c r="F44" s="337"/>
      <c r="G44" s="338"/>
      <c r="H44" s="52"/>
      <c r="I44" s="53"/>
      <c r="J44" s="49"/>
      <c r="K44" s="309"/>
      <c r="L44" s="310"/>
      <c r="M44" s="309">
        <f t="shared" si="1"/>
        <v>0</v>
      </c>
      <c r="N44" s="310"/>
      <c r="O44" s="1"/>
      <c r="P44" s="12"/>
      <c r="Q44" s="15"/>
      <c r="R44" s="15"/>
      <c r="S44" s="15"/>
      <c r="T44" s="13"/>
      <c r="U44" s="13"/>
      <c r="V44" s="13"/>
      <c r="W44" s="13"/>
      <c r="X44" s="1"/>
    </row>
    <row r="45" spans="1:25" s="3" customFormat="1" ht="15.75" x14ac:dyDescent="0.25">
      <c r="A45" s="231" t="s">
        <v>21</v>
      </c>
      <c r="B45" s="232"/>
      <c r="C45" s="233"/>
      <c r="D45" s="328">
        <f>+COUNTA(D17:E44)</f>
        <v>0</v>
      </c>
      <c r="E45" s="329"/>
      <c r="F45" s="330">
        <f>+COUNTA(F17:G44)</f>
        <v>0</v>
      </c>
      <c r="G45" s="331"/>
      <c r="H45" s="332">
        <f>SUM(H17:I44)</f>
        <v>0</v>
      </c>
      <c r="I45" s="332"/>
      <c r="J45" s="54"/>
      <c r="K45" s="333"/>
      <c r="L45" s="333"/>
      <c r="M45" s="334">
        <f>+SUM(M17:O44)</f>
        <v>0</v>
      </c>
      <c r="N45" s="335"/>
      <c r="P45" s="12"/>
      <c r="Q45" s="12"/>
      <c r="R45" s="12"/>
      <c r="S45" s="12"/>
      <c r="T45" s="13"/>
      <c r="U45" s="13"/>
      <c r="V45" s="13"/>
      <c r="W45" s="13"/>
      <c r="X45" s="1"/>
    </row>
    <row r="46" spans="1:25" s="3" customFormat="1" x14ac:dyDescent="0.25">
      <c r="A46" s="12"/>
      <c r="B46" s="12"/>
      <c r="C46" s="12"/>
      <c r="D46" s="272" t="s">
        <v>65</v>
      </c>
      <c r="E46" s="273"/>
      <c r="F46" s="274" t="s">
        <v>24</v>
      </c>
      <c r="G46" s="274"/>
      <c r="H46" s="275" t="s">
        <v>62</v>
      </c>
      <c r="I46" s="275"/>
      <c r="K46" s="12"/>
      <c r="L46" s="12"/>
      <c r="M46" s="276" t="s">
        <v>66</v>
      </c>
      <c r="N46" s="277"/>
      <c r="O46" s="12"/>
      <c r="P46" s="12"/>
      <c r="Q46" s="12"/>
      <c r="R46" s="12"/>
      <c r="S46" s="12"/>
      <c r="T46" s="13"/>
      <c r="U46" s="13"/>
      <c r="V46" s="13"/>
      <c r="W46" s="13"/>
      <c r="X46" s="1"/>
    </row>
    <row r="47" spans="1:25" s="3" customFormat="1" x14ac:dyDescent="0.25">
      <c r="K47" s="12"/>
      <c r="L47" s="12"/>
      <c r="M47" s="12"/>
      <c r="N47" s="12"/>
      <c r="O47" s="12"/>
      <c r="P47" s="12"/>
      <c r="U47" s="1"/>
      <c r="V47" s="1"/>
      <c r="W47" s="1"/>
      <c r="X47" s="1"/>
      <c r="Y47" s="1"/>
    </row>
    <row r="48" spans="1:25" s="3" customFormat="1" x14ac:dyDescent="0.25">
      <c r="A48" s="28" t="s">
        <v>23</v>
      </c>
      <c r="J48" s="28" t="s">
        <v>27</v>
      </c>
      <c r="N48" s="47"/>
      <c r="P48" s="12"/>
      <c r="U48" s="1"/>
      <c r="V48" s="1"/>
      <c r="W48" s="1"/>
      <c r="X48" s="1"/>
      <c r="Y48" s="1"/>
    </row>
    <row r="49" spans="1:25" s="3" customFormat="1" x14ac:dyDescent="0.25">
      <c r="J49" s="28" t="s">
        <v>31</v>
      </c>
      <c r="N49" s="47"/>
      <c r="P49" s="12"/>
      <c r="U49" s="1"/>
      <c r="V49" s="1"/>
      <c r="W49" s="1"/>
      <c r="X49" s="1"/>
      <c r="Y49" s="1"/>
    </row>
    <row r="50" spans="1:25" s="3" customFormat="1" x14ac:dyDescent="0.25">
      <c r="A50" s="29" t="s">
        <v>20</v>
      </c>
      <c r="B50" s="30"/>
      <c r="C50" s="29"/>
      <c r="D50" s="29"/>
      <c r="E50" s="16"/>
      <c r="H50" s="18"/>
      <c r="P50" s="12"/>
      <c r="U50" s="1"/>
      <c r="V50" s="1"/>
      <c r="W50" s="1"/>
      <c r="X50" s="1"/>
      <c r="Y50" s="1"/>
    </row>
    <row r="51" spans="1:25" s="3" customFormat="1" x14ac:dyDescent="0.25">
      <c r="A51" s="29" t="s">
        <v>7</v>
      </c>
      <c r="B51" s="30"/>
      <c r="C51" s="31">
        <f ca="1">TODAY()</f>
        <v>45320</v>
      </c>
      <c r="D51" s="29"/>
      <c r="E51" s="16"/>
      <c r="J51" s="28" t="s">
        <v>22</v>
      </c>
      <c r="P51" s="12"/>
      <c r="U51" s="1"/>
      <c r="V51" s="1"/>
      <c r="W51" s="1"/>
      <c r="X51" s="1"/>
      <c r="Y51" s="1"/>
    </row>
    <row r="52" spans="1:25" s="3" customFormat="1" x14ac:dyDescent="0.25">
      <c r="A52" s="28"/>
      <c r="B52" s="315" t="s">
        <v>47</v>
      </c>
      <c r="C52" s="315"/>
      <c r="D52" s="315"/>
      <c r="E52" s="315"/>
      <c r="F52" s="315"/>
      <c r="J52" s="315" t="s">
        <v>48</v>
      </c>
      <c r="K52" s="315"/>
      <c r="L52" s="315"/>
      <c r="M52" s="315"/>
      <c r="N52" s="315"/>
      <c r="U52" s="1"/>
      <c r="V52" s="1"/>
      <c r="W52" s="1"/>
      <c r="X52" s="1"/>
      <c r="Y52" s="1"/>
    </row>
    <row r="53" spans="1:25" s="3" customFormat="1" x14ac:dyDescent="0.25">
      <c r="B53" s="315"/>
      <c r="C53" s="315"/>
      <c r="D53" s="315"/>
      <c r="E53" s="315"/>
      <c r="F53" s="315"/>
      <c r="J53" s="315"/>
      <c r="K53" s="315"/>
      <c r="L53" s="315"/>
      <c r="M53" s="315"/>
      <c r="N53" s="315"/>
      <c r="U53" s="1"/>
      <c r="V53" s="1"/>
      <c r="W53" s="1"/>
      <c r="X53" s="1"/>
      <c r="Y53" s="1"/>
    </row>
    <row r="54" spans="1:25" s="3" customFormat="1" x14ac:dyDescent="0.25">
      <c r="B54" s="315"/>
      <c r="C54" s="315"/>
      <c r="D54" s="315"/>
      <c r="E54" s="315"/>
      <c r="F54" s="315"/>
      <c r="J54" s="315"/>
      <c r="K54" s="315"/>
      <c r="L54" s="315"/>
      <c r="M54" s="315"/>
      <c r="N54" s="315"/>
      <c r="U54" s="1"/>
      <c r="V54" s="1"/>
      <c r="W54" s="1"/>
      <c r="X54" s="1"/>
      <c r="Y54" s="1"/>
    </row>
    <row r="55" spans="1:25" s="3" customFormat="1" x14ac:dyDescent="0.25">
      <c r="B55" s="315"/>
      <c r="C55" s="315"/>
      <c r="D55" s="315"/>
      <c r="E55" s="315"/>
      <c r="F55" s="315"/>
      <c r="J55" s="315"/>
      <c r="K55" s="315"/>
      <c r="L55" s="315"/>
      <c r="M55" s="315"/>
      <c r="N55" s="315"/>
      <c r="U55" s="1"/>
      <c r="V55" s="1"/>
      <c r="W55" s="1"/>
      <c r="X55" s="1"/>
      <c r="Y55" s="1"/>
    </row>
    <row r="56" spans="1:25" s="3" customFormat="1" x14ac:dyDescent="0.25">
      <c r="B56" s="315"/>
      <c r="C56" s="315"/>
      <c r="D56" s="315"/>
      <c r="E56" s="315"/>
      <c r="F56" s="315"/>
      <c r="J56" s="315"/>
      <c r="K56" s="315"/>
      <c r="L56" s="315"/>
      <c r="M56" s="315"/>
      <c r="N56" s="315"/>
      <c r="U56" s="1"/>
      <c r="V56" s="1"/>
      <c r="W56" s="1"/>
      <c r="X56" s="1"/>
      <c r="Y56" s="1"/>
    </row>
    <row r="57" spans="1:25" s="3" customFormat="1" x14ac:dyDescent="0.25">
      <c r="B57" s="315"/>
      <c r="C57" s="315"/>
      <c r="D57" s="315"/>
      <c r="E57" s="315"/>
      <c r="F57" s="315"/>
      <c r="J57" s="315"/>
      <c r="K57" s="315"/>
      <c r="L57" s="315"/>
      <c r="M57" s="315"/>
      <c r="N57" s="315"/>
      <c r="U57" s="1"/>
      <c r="V57" s="1"/>
      <c r="W57" s="1"/>
      <c r="X57" s="1"/>
      <c r="Y57" s="1"/>
    </row>
    <row r="58" spans="1:25" s="3" customFormat="1" x14ac:dyDescent="0.25">
      <c r="A58" s="3" t="s">
        <v>46</v>
      </c>
      <c r="B58" s="23"/>
      <c r="J58" s="3" t="s">
        <v>39</v>
      </c>
      <c r="U58" s="1"/>
      <c r="V58" s="1"/>
      <c r="W58" s="1"/>
      <c r="X58" s="1"/>
      <c r="Y58" s="1"/>
    </row>
    <row r="59" spans="1:25" s="3" customFormat="1" x14ac:dyDescent="0.25">
      <c r="B59" s="23"/>
      <c r="U59" s="1"/>
      <c r="V59" s="1"/>
      <c r="W59" s="1"/>
      <c r="X59" s="1"/>
      <c r="Y59" s="1"/>
    </row>
    <row r="60" spans="1:25" s="3" customFormat="1" x14ac:dyDescent="0.25">
      <c r="B60" s="23"/>
      <c r="U60" s="1"/>
      <c r="V60" s="1"/>
      <c r="W60" s="1"/>
      <c r="X60" s="1"/>
      <c r="Y60" s="1"/>
    </row>
    <row r="61" spans="1:25" s="3" customFormat="1" x14ac:dyDescent="0.25">
      <c r="A61" s="29"/>
      <c r="B61" s="23"/>
      <c r="D61" s="29"/>
      <c r="U61" s="1"/>
      <c r="V61" s="1"/>
      <c r="W61" s="1"/>
      <c r="X61" s="1"/>
      <c r="Y61" s="1"/>
    </row>
    <row r="62" spans="1:25" s="3" customFormat="1" x14ac:dyDescent="0.25">
      <c r="U62" s="1"/>
      <c r="V62" s="1"/>
      <c r="W62" s="1"/>
      <c r="X62" s="1"/>
      <c r="Y62" s="1"/>
    </row>
    <row r="63" spans="1:25" s="3" customFormat="1" x14ac:dyDescent="0.25">
      <c r="B63" s="23"/>
      <c r="U63" s="1"/>
      <c r="V63" s="1"/>
      <c r="W63" s="1"/>
      <c r="X63" s="1"/>
      <c r="Y63" s="1"/>
    </row>
    <row r="64" spans="1:25" s="3" customFormat="1" x14ac:dyDescent="0.25">
      <c r="B64" s="23"/>
      <c r="U64" s="1"/>
      <c r="V64" s="1"/>
      <c r="W64" s="1"/>
      <c r="X64" s="1"/>
      <c r="Y64" s="1"/>
    </row>
    <row r="65" spans="2:25" s="3" customFormat="1" x14ac:dyDescent="0.25">
      <c r="B65" s="23"/>
      <c r="U65" s="1"/>
      <c r="V65" s="1"/>
      <c r="W65" s="1"/>
      <c r="X65" s="1"/>
      <c r="Y65" s="1"/>
    </row>
    <row r="66" spans="2:25" s="3" customFormat="1" x14ac:dyDescent="0.25">
      <c r="B66" s="23"/>
      <c r="U66" s="1"/>
      <c r="V66" s="1"/>
      <c r="W66" s="1"/>
      <c r="X66" s="1"/>
      <c r="Y66" s="1"/>
    </row>
    <row r="67" spans="2:25" s="3" customFormat="1" x14ac:dyDescent="0.25">
      <c r="B67" s="23"/>
      <c r="U67" s="1"/>
      <c r="V67" s="1"/>
      <c r="W67" s="1"/>
      <c r="X67" s="1"/>
      <c r="Y67" s="1"/>
    </row>
    <row r="68" spans="2:25" s="3" customFormat="1" x14ac:dyDescent="0.25">
      <c r="B68" s="23"/>
      <c r="U68" s="1"/>
      <c r="V68" s="1"/>
      <c r="W68" s="1"/>
      <c r="X68" s="1"/>
      <c r="Y68" s="1"/>
    </row>
    <row r="69" spans="2:25" s="3" customFormat="1" x14ac:dyDescent="0.25">
      <c r="B69" s="23"/>
      <c r="U69" s="1"/>
      <c r="V69" s="1"/>
      <c r="W69" s="1"/>
      <c r="X69" s="1"/>
      <c r="Y69" s="1"/>
    </row>
    <row r="70" spans="2:25" s="3" customFormat="1" x14ac:dyDescent="0.25">
      <c r="B70" s="23"/>
      <c r="U70" s="1"/>
      <c r="V70" s="1"/>
      <c r="W70" s="1"/>
      <c r="X70" s="1"/>
      <c r="Y70" s="1"/>
    </row>
    <row r="71" spans="2:25" s="3" customFormat="1" x14ac:dyDescent="0.25">
      <c r="B71" s="23"/>
      <c r="U71" s="1"/>
      <c r="V71" s="1"/>
      <c r="W71" s="1"/>
      <c r="X71" s="1"/>
      <c r="Y71" s="1"/>
    </row>
    <row r="72" spans="2:25" s="3" customFormat="1" x14ac:dyDescent="0.25">
      <c r="B72" s="23"/>
      <c r="U72" s="1"/>
      <c r="V72" s="1"/>
      <c r="W72" s="1"/>
      <c r="X72" s="1"/>
      <c r="Y72" s="1"/>
    </row>
    <row r="73" spans="2:25" s="3" customFormat="1" x14ac:dyDescent="0.25">
      <c r="B73" s="23"/>
      <c r="U73" s="1"/>
      <c r="V73" s="1"/>
      <c r="W73" s="1"/>
      <c r="X73" s="1"/>
      <c r="Y73" s="1"/>
    </row>
    <row r="74" spans="2:25" s="3" customFormat="1" x14ac:dyDescent="0.25">
      <c r="B74" s="23"/>
      <c r="U74" s="1"/>
      <c r="V74" s="1"/>
      <c r="W74" s="1"/>
      <c r="X74" s="1"/>
      <c r="Y74" s="1"/>
    </row>
    <row r="75" spans="2:25" s="3" customFormat="1" x14ac:dyDescent="0.25">
      <c r="B75" s="23"/>
      <c r="U75" s="1"/>
      <c r="V75" s="1"/>
      <c r="W75" s="1"/>
      <c r="X75" s="1"/>
      <c r="Y75" s="1"/>
    </row>
    <row r="76" spans="2:25" s="3" customFormat="1" x14ac:dyDescent="0.25">
      <c r="B76" s="23"/>
      <c r="U76" s="1"/>
      <c r="V76" s="1"/>
      <c r="W76" s="1"/>
      <c r="X76" s="1"/>
      <c r="Y76" s="1"/>
    </row>
    <row r="77" spans="2:25" s="3" customFormat="1" x14ac:dyDescent="0.25">
      <c r="B77" s="23"/>
      <c r="U77" s="1"/>
      <c r="V77" s="1"/>
      <c r="W77" s="1"/>
      <c r="X77" s="1"/>
      <c r="Y77" s="1"/>
    </row>
    <row r="78" spans="2:25" s="3" customFormat="1" x14ac:dyDescent="0.25">
      <c r="B78" s="23"/>
      <c r="U78" s="1"/>
      <c r="V78" s="1"/>
      <c r="W78" s="1"/>
      <c r="X78" s="1"/>
      <c r="Y78" s="1"/>
    </row>
    <row r="79" spans="2:25" s="3" customFormat="1" x14ac:dyDescent="0.25">
      <c r="B79" s="23"/>
      <c r="U79" s="1"/>
      <c r="V79" s="1"/>
      <c r="W79" s="1"/>
      <c r="X79" s="1"/>
      <c r="Y79" s="1"/>
    </row>
    <row r="80" spans="2:25" s="3" customFormat="1" x14ac:dyDescent="0.25">
      <c r="B80" s="23"/>
      <c r="U80" s="1"/>
      <c r="V80" s="1"/>
      <c r="W80" s="1"/>
      <c r="X80" s="1"/>
      <c r="Y80" s="1"/>
    </row>
    <row r="81" spans="2:25" s="3" customFormat="1" x14ac:dyDescent="0.25">
      <c r="B81" s="23"/>
      <c r="U81" s="1"/>
      <c r="V81" s="1"/>
      <c r="W81" s="1"/>
      <c r="X81" s="1"/>
      <c r="Y81" s="1"/>
    </row>
    <row r="82" spans="2:25" s="3" customFormat="1" x14ac:dyDescent="0.25">
      <c r="B82" s="23"/>
      <c r="U82" s="1"/>
      <c r="V82" s="1"/>
      <c r="W82" s="1"/>
      <c r="X82" s="1"/>
      <c r="Y82" s="1"/>
    </row>
    <row r="83" spans="2:25" s="3" customFormat="1" x14ac:dyDescent="0.25">
      <c r="B83" s="23"/>
      <c r="U83" s="1"/>
      <c r="V83" s="1"/>
      <c r="W83" s="1"/>
      <c r="X83" s="1"/>
      <c r="Y83" s="1"/>
    </row>
    <row r="84" spans="2:25" s="3" customFormat="1" x14ac:dyDescent="0.25">
      <c r="B84" s="23"/>
      <c r="U84" s="1"/>
      <c r="V84" s="1"/>
      <c r="W84" s="1"/>
      <c r="X84" s="1"/>
      <c r="Y84" s="1"/>
    </row>
    <row r="85" spans="2:25" s="3" customFormat="1" x14ac:dyDescent="0.25">
      <c r="B85" s="23"/>
      <c r="U85" s="1"/>
      <c r="V85" s="1"/>
      <c r="W85" s="1"/>
      <c r="X85" s="1"/>
      <c r="Y85" s="1"/>
    </row>
    <row r="86" spans="2:25" s="3" customFormat="1" x14ac:dyDescent="0.25">
      <c r="B86" s="23"/>
      <c r="U86" s="1"/>
      <c r="V86" s="1"/>
      <c r="W86" s="1"/>
      <c r="X86" s="1"/>
      <c r="Y86" s="1"/>
    </row>
    <row r="87" spans="2:25" s="3" customFormat="1" x14ac:dyDescent="0.25">
      <c r="B87" s="23"/>
      <c r="U87" s="1"/>
      <c r="V87" s="1"/>
      <c r="W87" s="1"/>
      <c r="X87" s="1"/>
      <c r="Y87" s="1"/>
    </row>
    <row r="88" spans="2:25" s="3" customFormat="1" x14ac:dyDescent="0.25">
      <c r="B88" s="23"/>
      <c r="U88" s="1"/>
      <c r="V88" s="1"/>
      <c r="W88" s="1"/>
      <c r="X88" s="1"/>
      <c r="Y88" s="1"/>
    </row>
    <row r="89" spans="2:25" s="3" customFormat="1" x14ac:dyDescent="0.25">
      <c r="B89" s="23"/>
      <c r="U89" s="1"/>
      <c r="V89" s="1"/>
      <c r="W89" s="1"/>
      <c r="X89" s="1"/>
      <c r="Y89" s="1"/>
    </row>
    <row r="90" spans="2:25" s="3" customFormat="1" x14ac:dyDescent="0.25">
      <c r="B90" s="23"/>
      <c r="U90" s="1"/>
      <c r="V90" s="1"/>
      <c r="W90" s="1"/>
      <c r="X90" s="1"/>
      <c r="Y90" s="1"/>
    </row>
    <row r="91" spans="2:25" s="3" customFormat="1" x14ac:dyDescent="0.25">
      <c r="B91" s="23"/>
      <c r="U91" s="1"/>
      <c r="V91" s="1"/>
      <c r="W91" s="1"/>
      <c r="X91" s="1"/>
      <c r="Y91" s="1"/>
    </row>
    <row r="92" spans="2:25" s="3" customFormat="1" x14ac:dyDescent="0.25">
      <c r="B92" s="23"/>
      <c r="U92" s="1"/>
      <c r="V92" s="1"/>
      <c r="W92" s="1"/>
      <c r="X92" s="1"/>
      <c r="Y92" s="1"/>
    </row>
    <row r="93" spans="2:25" s="3" customFormat="1" x14ac:dyDescent="0.25">
      <c r="B93" s="23"/>
      <c r="U93" s="1"/>
      <c r="V93" s="1"/>
      <c r="W93" s="1"/>
      <c r="X93" s="1"/>
      <c r="Y93" s="1"/>
    </row>
    <row r="94" spans="2:25" s="3" customFormat="1" x14ac:dyDescent="0.25">
      <c r="B94" s="23"/>
      <c r="U94" s="1"/>
      <c r="V94" s="1"/>
      <c r="W94" s="1"/>
      <c r="X94" s="1"/>
      <c r="Y94" s="1"/>
    </row>
    <row r="95" spans="2:25" s="3" customFormat="1" x14ac:dyDescent="0.25">
      <c r="B95" s="23"/>
      <c r="U95" s="1"/>
      <c r="V95" s="1"/>
      <c r="W95" s="1"/>
      <c r="X95" s="1"/>
      <c r="Y95" s="1"/>
    </row>
    <row r="96" spans="2:25" s="3" customFormat="1" x14ac:dyDescent="0.25">
      <c r="B96" s="23"/>
      <c r="U96" s="1"/>
      <c r="V96" s="1"/>
      <c r="W96" s="1"/>
      <c r="X96" s="1"/>
      <c r="Y96" s="1"/>
    </row>
    <row r="97" spans="2:25" s="3" customFormat="1" x14ac:dyDescent="0.25">
      <c r="B97" s="23"/>
      <c r="U97" s="1"/>
      <c r="V97" s="1"/>
      <c r="W97" s="1"/>
      <c r="X97" s="1"/>
      <c r="Y97" s="1"/>
    </row>
    <row r="98" spans="2:25" s="3" customFormat="1" x14ac:dyDescent="0.25">
      <c r="B98" s="23"/>
      <c r="U98" s="1"/>
      <c r="V98" s="1"/>
      <c r="W98" s="1"/>
      <c r="X98" s="1"/>
      <c r="Y98" s="1"/>
    </row>
    <row r="99" spans="2:25" s="3" customFormat="1" x14ac:dyDescent="0.25">
      <c r="B99" s="23"/>
      <c r="U99" s="1"/>
      <c r="V99" s="1"/>
      <c r="W99" s="1"/>
      <c r="X99" s="1"/>
      <c r="Y99" s="1"/>
    </row>
    <row r="100" spans="2:25" s="3" customFormat="1" x14ac:dyDescent="0.25">
      <c r="B100" s="23"/>
      <c r="U100" s="1"/>
      <c r="V100" s="1"/>
      <c r="W100" s="1"/>
      <c r="X100" s="1"/>
      <c r="Y100" s="1"/>
    </row>
    <row r="101" spans="2:25" s="3" customFormat="1" x14ac:dyDescent="0.25">
      <c r="B101" s="23"/>
      <c r="U101" s="1"/>
      <c r="V101" s="1"/>
      <c r="W101" s="1"/>
      <c r="X101" s="1"/>
      <c r="Y101" s="1"/>
    </row>
    <row r="102" spans="2:25" s="3" customFormat="1" x14ac:dyDescent="0.25">
      <c r="B102" s="23"/>
      <c r="U102" s="1"/>
      <c r="V102" s="1"/>
      <c r="W102" s="1"/>
      <c r="X102" s="1"/>
      <c r="Y102" s="1"/>
    </row>
    <row r="103" spans="2:25" s="3" customFormat="1" x14ac:dyDescent="0.25">
      <c r="B103" s="23"/>
      <c r="U103" s="1"/>
      <c r="V103" s="1"/>
      <c r="W103" s="1"/>
      <c r="X103" s="1"/>
      <c r="Y103" s="1"/>
    </row>
    <row r="104" spans="2:25" s="3" customFormat="1" x14ac:dyDescent="0.25">
      <c r="B104" s="23"/>
      <c r="U104" s="1"/>
      <c r="V104" s="1"/>
      <c r="W104" s="1"/>
      <c r="X104" s="1"/>
      <c r="Y104" s="1"/>
    </row>
    <row r="105" spans="2:25" s="3" customFormat="1" x14ac:dyDescent="0.25">
      <c r="B105" s="23"/>
      <c r="U105" s="1"/>
      <c r="V105" s="1"/>
      <c r="W105" s="1"/>
      <c r="X105" s="1"/>
      <c r="Y105" s="1"/>
    </row>
    <row r="106" spans="2:25" s="3" customFormat="1" x14ac:dyDescent="0.25">
      <c r="B106" s="23"/>
      <c r="U106" s="1"/>
      <c r="V106" s="1"/>
      <c r="W106" s="1"/>
      <c r="X106" s="1"/>
      <c r="Y106" s="1"/>
    </row>
    <row r="107" spans="2:25" s="3" customFormat="1" x14ac:dyDescent="0.25">
      <c r="B107" s="23"/>
      <c r="U107" s="1"/>
      <c r="V107" s="1"/>
      <c r="W107" s="1"/>
      <c r="X107" s="1"/>
      <c r="Y107" s="1"/>
    </row>
    <row r="108" spans="2:25" s="3" customFormat="1" x14ac:dyDescent="0.25">
      <c r="B108" s="23"/>
      <c r="U108" s="1"/>
      <c r="V108" s="1"/>
      <c r="W108" s="1"/>
      <c r="X108" s="1"/>
      <c r="Y108" s="1"/>
    </row>
    <row r="109" spans="2:25" s="3" customFormat="1" x14ac:dyDescent="0.25">
      <c r="B109" s="23"/>
      <c r="U109" s="1"/>
      <c r="V109" s="1"/>
      <c r="W109" s="1"/>
      <c r="X109" s="1"/>
      <c r="Y109" s="1"/>
    </row>
    <row r="110" spans="2:25" s="3" customFormat="1" x14ac:dyDescent="0.25">
      <c r="B110" s="23"/>
      <c r="U110" s="1"/>
      <c r="V110" s="1"/>
      <c r="W110" s="1"/>
      <c r="X110" s="1"/>
      <c r="Y110" s="1"/>
    </row>
    <row r="111" spans="2:25" s="3" customFormat="1" x14ac:dyDescent="0.25">
      <c r="B111" s="23"/>
      <c r="U111" s="1"/>
      <c r="V111" s="1"/>
      <c r="W111" s="1"/>
      <c r="X111" s="1"/>
      <c r="Y111" s="1"/>
    </row>
    <row r="112" spans="2:25" s="3" customFormat="1" x14ac:dyDescent="0.25">
      <c r="B112" s="23"/>
      <c r="U112" s="1"/>
      <c r="V112" s="1"/>
      <c r="W112" s="1"/>
      <c r="X112" s="1"/>
      <c r="Y112" s="1"/>
    </row>
    <row r="113" spans="2:25" s="3" customFormat="1" x14ac:dyDescent="0.25">
      <c r="B113" s="23"/>
      <c r="U113" s="1"/>
      <c r="V113" s="1"/>
      <c r="W113" s="1"/>
      <c r="X113" s="1"/>
      <c r="Y113" s="1"/>
    </row>
    <row r="114" spans="2:25" s="3" customFormat="1" x14ac:dyDescent="0.25">
      <c r="B114" s="23"/>
      <c r="U114" s="1"/>
      <c r="V114" s="1"/>
      <c r="W114" s="1"/>
      <c r="X114" s="1"/>
      <c r="Y114" s="1"/>
    </row>
    <row r="115" spans="2:25" s="3" customFormat="1" x14ac:dyDescent="0.25">
      <c r="B115" s="23"/>
      <c r="U115" s="1"/>
      <c r="V115" s="1"/>
      <c r="W115" s="1"/>
      <c r="X115" s="1"/>
      <c r="Y115" s="1"/>
    </row>
    <row r="116" spans="2:25" s="3" customFormat="1" x14ac:dyDescent="0.25">
      <c r="B116" s="23"/>
      <c r="U116" s="1"/>
      <c r="V116" s="1"/>
      <c r="W116" s="1"/>
      <c r="X116" s="1"/>
      <c r="Y116" s="1"/>
    </row>
    <row r="117" spans="2:25" s="3" customFormat="1" x14ac:dyDescent="0.25">
      <c r="B117" s="23"/>
      <c r="U117" s="1"/>
      <c r="V117" s="1"/>
      <c r="W117" s="1"/>
      <c r="X117" s="1"/>
      <c r="Y117" s="1"/>
    </row>
    <row r="118" spans="2:25" s="3" customFormat="1" x14ac:dyDescent="0.25">
      <c r="B118" s="23"/>
      <c r="U118" s="1"/>
      <c r="V118" s="1"/>
      <c r="W118" s="1"/>
      <c r="X118" s="1"/>
      <c r="Y118" s="1"/>
    </row>
    <row r="119" spans="2:25" s="3" customFormat="1" x14ac:dyDescent="0.25">
      <c r="B119" s="23"/>
      <c r="U119" s="1"/>
      <c r="V119" s="1"/>
      <c r="W119" s="1"/>
      <c r="X119" s="1"/>
      <c r="Y119" s="1"/>
    </row>
    <row r="120" spans="2:25" s="3" customFormat="1" x14ac:dyDescent="0.25">
      <c r="B120" s="23"/>
      <c r="U120" s="1"/>
      <c r="V120" s="1"/>
      <c r="W120" s="1"/>
      <c r="X120" s="1"/>
      <c r="Y120" s="1"/>
    </row>
    <row r="121" spans="2:25" s="3" customFormat="1" x14ac:dyDescent="0.25">
      <c r="B121" s="23"/>
      <c r="U121" s="1"/>
      <c r="V121" s="1"/>
      <c r="W121" s="1"/>
      <c r="X121" s="1"/>
      <c r="Y121" s="1"/>
    </row>
    <row r="122" spans="2:25" s="3" customFormat="1" x14ac:dyDescent="0.25">
      <c r="B122" s="23"/>
      <c r="U122" s="1"/>
      <c r="V122" s="1"/>
      <c r="W122" s="1"/>
      <c r="X122" s="1"/>
      <c r="Y122" s="1"/>
    </row>
    <row r="123" spans="2:25" s="3" customFormat="1" x14ac:dyDescent="0.25">
      <c r="B123" s="23"/>
      <c r="U123" s="1"/>
      <c r="V123" s="1"/>
      <c r="W123" s="1"/>
      <c r="X123" s="1"/>
      <c r="Y123" s="1"/>
    </row>
    <row r="124" spans="2:25" s="3" customFormat="1" x14ac:dyDescent="0.25">
      <c r="B124" s="23"/>
      <c r="U124" s="1"/>
      <c r="V124" s="1"/>
      <c r="W124" s="1"/>
      <c r="X124" s="1"/>
      <c r="Y124" s="1"/>
    </row>
    <row r="125" spans="2:25" s="3" customFormat="1" x14ac:dyDescent="0.25">
      <c r="B125" s="23"/>
      <c r="U125" s="1"/>
      <c r="V125" s="1"/>
      <c r="W125" s="1"/>
      <c r="X125" s="1"/>
      <c r="Y125" s="1"/>
    </row>
    <row r="126" spans="2:25" s="3" customFormat="1" x14ac:dyDescent="0.25">
      <c r="B126" s="23"/>
      <c r="U126" s="1"/>
      <c r="V126" s="1"/>
      <c r="W126" s="1"/>
      <c r="X126" s="1"/>
      <c r="Y126" s="1"/>
    </row>
    <row r="127" spans="2:25" s="3" customFormat="1" x14ac:dyDescent="0.25">
      <c r="B127" s="23"/>
      <c r="U127" s="1"/>
      <c r="V127" s="1"/>
      <c r="W127" s="1"/>
      <c r="X127" s="1"/>
      <c r="Y127" s="1"/>
    </row>
    <row r="128" spans="2:25" s="3" customFormat="1" x14ac:dyDescent="0.25">
      <c r="B128" s="23"/>
      <c r="U128" s="1"/>
      <c r="V128" s="1"/>
      <c r="W128" s="1"/>
      <c r="X128" s="1"/>
      <c r="Y128" s="1"/>
    </row>
    <row r="129" spans="2:25" s="3" customFormat="1" x14ac:dyDescent="0.25">
      <c r="B129" s="23"/>
      <c r="U129" s="1"/>
      <c r="V129" s="1"/>
      <c r="W129" s="1"/>
      <c r="X129" s="1"/>
      <c r="Y129" s="1"/>
    </row>
    <row r="130" spans="2:25" s="3" customFormat="1" x14ac:dyDescent="0.25">
      <c r="B130" s="23"/>
      <c r="U130" s="1"/>
      <c r="V130" s="1"/>
      <c r="W130" s="1"/>
      <c r="X130" s="1"/>
      <c r="Y130" s="1"/>
    </row>
    <row r="131" spans="2:25" s="3" customFormat="1" x14ac:dyDescent="0.25">
      <c r="B131" s="23"/>
      <c r="U131" s="1"/>
      <c r="V131" s="1"/>
      <c r="W131" s="1"/>
      <c r="X131" s="1"/>
      <c r="Y131" s="1"/>
    </row>
    <row r="132" spans="2:25" s="3" customFormat="1" x14ac:dyDescent="0.25">
      <c r="B132" s="23"/>
      <c r="U132" s="1"/>
      <c r="V132" s="1"/>
      <c r="W132" s="1"/>
      <c r="X132" s="1"/>
      <c r="Y132" s="1"/>
    </row>
    <row r="133" spans="2:25" s="3" customFormat="1" x14ac:dyDescent="0.25">
      <c r="B133" s="23"/>
      <c r="U133" s="1"/>
      <c r="V133" s="1"/>
      <c r="W133" s="1"/>
      <c r="X133" s="1"/>
      <c r="Y133" s="1"/>
    </row>
    <row r="134" spans="2:25" s="3" customFormat="1" x14ac:dyDescent="0.25">
      <c r="B134" s="23"/>
      <c r="U134" s="1"/>
      <c r="V134" s="1"/>
      <c r="W134" s="1"/>
      <c r="X134" s="1"/>
      <c r="Y134" s="1"/>
    </row>
    <row r="135" spans="2:25" s="3" customFormat="1" x14ac:dyDescent="0.25">
      <c r="B135" s="23"/>
      <c r="U135" s="1"/>
      <c r="V135" s="1"/>
      <c r="W135" s="1"/>
      <c r="X135" s="1"/>
      <c r="Y135" s="1"/>
    </row>
    <row r="136" spans="2:25" s="3" customFormat="1" x14ac:dyDescent="0.25">
      <c r="B136" s="23"/>
      <c r="U136" s="1"/>
      <c r="V136" s="1"/>
      <c r="W136" s="1"/>
      <c r="X136" s="1"/>
      <c r="Y136" s="1"/>
    </row>
    <row r="137" spans="2:25" s="3" customFormat="1" x14ac:dyDescent="0.25">
      <c r="B137" s="23"/>
      <c r="U137" s="1"/>
      <c r="V137" s="1"/>
      <c r="W137" s="1"/>
      <c r="X137" s="1"/>
      <c r="Y137" s="1"/>
    </row>
    <row r="138" spans="2:25" s="3" customFormat="1" x14ac:dyDescent="0.25">
      <c r="B138" s="23"/>
      <c r="U138" s="1"/>
      <c r="V138" s="1"/>
      <c r="W138" s="1"/>
      <c r="X138" s="1"/>
      <c r="Y138" s="1"/>
    </row>
    <row r="139" spans="2:25" s="3" customFormat="1" x14ac:dyDescent="0.25">
      <c r="B139" s="23"/>
      <c r="U139" s="1"/>
      <c r="V139" s="1"/>
      <c r="W139" s="1"/>
      <c r="X139" s="1"/>
      <c r="Y139" s="1"/>
    </row>
    <row r="140" spans="2:25" s="3" customFormat="1" x14ac:dyDescent="0.25">
      <c r="B140" s="23"/>
      <c r="U140" s="1"/>
      <c r="V140" s="1"/>
      <c r="W140" s="1"/>
      <c r="X140" s="1"/>
      <c r="Y140" s="1"/>
    </row>
    <row r="141" spans="2:25" s="3" customFormat="1" x14ac:dyDescent="0.25">
      <c r="B141" s="23"/>
      <c r="U141" s="1"/>
      <c r="V141" s="1"/>
      <c r="W141" s="1"/>
      <c r="X141" s="1"/>
      <c r="Y141" s="1"/>
    </row>
    <row r="142" spans="2:25" s="3" customFormat="1" x14ac:dyDescent="0.25">
      <c r="B142" s="23"/>
      <c r="U142" s="1"/>
      <c r="V142" s="1"/>
      <c r="W142" s="1"/>
      <c r="X142" s="1"/>
      <c r="Y142" s="1"/>
    </row>
    <row r="143" spans="2:25" s="3" customFormat="1" x14ac:dyDescent="0.25">
      <c r="B143" s="23"/>
      <c r="U143" s="1"/>
      <c r="V143" s="1"/>
      <c r="W143" s="1"/>
      <c r="X143" s="1"/>
      <c r="Y143" s="1"/>
    </row>
    <row r="144" spans="2:25" s="3" customFormat="1" x14ac:dyDescent="0.25">
      <c r="B144" s="23"/>
      <c r="U144" s="1"/>
      <c r="V144" s="1"/>
      <c r="W144" s="1"/>
      <c r="X144" s="1"/>
      <c r="Y144" s="1"/>
    </row>
    <row r="145" spans="2:25" s="3" customFormat="1" x14ac:dyDescent="0.25">
      <c r="B145" s="23"/>
      <c r="U145" s="1"/>
      <c r="V145" s="1"/>
      <c r="W145" s="1"/>
      <c r="X145" s="1"/>
      <c r="Y145" s="1"/>
    </row>
    <row r="146" spans="2:25" s="3" customFormat="1" x14ac:dyDescent="0.25">
      <c r="B146" s="23"/>
      <c r="U146" s="1"/>
      <c r="V146" s="1"/>
      <c r="W146" s="1"/>
      <c r="X146" s="1"/>
      <c r="Y146" s="1"/>
    </row>
    <row r="147" spans="2:25" s="3" customFormat="1" x14ac:dyDescent="0.25">
      <c r="B147" s="23"/>
      <c r="U147" s="1"/>
      <c r="V147" s="1"/>
      <c r="W147" s="1"/>
      <c r="X147" s="1"/>
      <c r="Y147" s="1"/>
    </row>
    <row r="148" spans="2:25" s="3" customFormat="1" x14ac:dyDescent="0.25">
      <c r="B148" s="23"/>
      <c r="U148" s="1"/>
      <c r="V148" s="1"/>
      <c r="W148" s="1"/>
      <c r="X148" s="1"/>
      <c r="Y148" s="1"/>
    </row>
    <row r="149" spans="2:25" s="3" customFormat="1" x14ac:dyDescent="0.25">
      <c r="B149" s="23"/>
      <c r="U149" s="1"/>
      <c r="V149" s="1"/>
      <c r="W149" s="1"/>
      <c r="X149" s="1"/>
      <c r="Y149" s="1"/>
    </row>
    <row r="150" spans="2:25" s="3" customFormat="1" x14ac:dyDescent="0.25">
      <c r="B150" s="23"/>
      <c r="U150" s="1"/>
      <c r="V150" s="1"/>
      <c r="W150" s="1"/>
      <c r="X150" s="1"/>
      <c r="Y150" s="1"/>
    </row>
    <row r="151" spans="2:25" s="3" customFormat="1" x14ac:dyDescent="0.25">
      <c r="B151" s="23"/>
      <c r="U151" s="1"/>
      <c r="V151" s="1"/>
      <c r="W151" s="1"/>
      <c r="X151" s="1"/>
      <c r="Y151" s="1"/>
    </row>
    <row r="152" spans="2:25" s="3" customFormat="1" x14ac:dyDescent="0.25">
      <c r="B152" s="23"/>
      <c r="U152" s="1"/>
      <c r="V152" s="1"/>
      <c r="W152" s="1"/>
      <c r="X152" s="1"/>
      <c r="Y152" s="1"/>
    </row>
    <row r="153" spans="2:25" s="3" customFormat="1" x14ac:dyDescent="0.25">
      <c r="B153" s="23"/>
      <c r="U153" s="1"/>
      <c r="V153" s="1"/>
      <c r="W153" s="1"/>
      <c r="X153" s="1"/>
      <c r="Y153" s="1"/>
    </row>
    <row r="154" spans="2:25" s="3" customFormat="1" x14ac:dyDescent="0.25">
      <c r="B154" s="23"/>
      <c r="U154" s="1"/>
      <c r="V154" s="1"/>
      <c r="W154" s="1"/>
      <c r="X154" s="1"/>
      <c r="Y154" s="1"/>
    </row>
    <row r="155" spans="2:25" s="3" customFormat="1" x14ac:dyDescent="0.25">
      <c r="B155" s="23"/>
      <c r="U155" s="1"/>
      <c r="V155" s="1"/>
      <c r="W155" s="1"/>
      <c r="X155" s="1"/>
      <c r="Y155" s="1"/>
    </row>
    <row r="156" spans="2:25" s="3" customFormat="1" x14ac:dyDescent="0.25">
      <c r="B156" s="23"/>
      <c r="U156" s="1"/>
      <c r="V156" s="1"/>
      <c r="W156" s="1"/>
      <c r="X156" s="1"/>
      <c r="Y156" s="1"/>
    </row>
    <row r="157" spans="2:25" s="3" customFormat="1" x14ac:dyDescent="0.25">
      <c r="B157" s="23"/>
      <c r="U157" s="1"/>
      <c r="V157" s="1"/>
      <c r="W157" s="1"/>
      <c r="X157" s="1"/>
      <c r="Y157" s="1"/>
    </row>
    <row r="158" spans="2:25" s="3" customFormat="1" x14ac:dyDescent="0.25">
      <c r="B158" s="23"/>
      <c r="U158" s="1"/>
      <c r="V158" s="1"/>
      <c r="W158" s="1"/>
      <c r="X158" s="1"/>
      <c r="Y158" s="1"/>
    </row>
    <row r="159" spans="2:25" s="3" customFormat="1" x14ac:dyDescent="0.25">
      <c r="B159" s="23"/>
      <c r="U159" s="1"/>
      <c r="V159" s="1"/>
      <c r="W159" s="1"/>
      <c r="X159" s="1"/>
      <c r="Y159" s="1"/>
    </row>
    <row r="160" spans="2:25" s="3" customFormat="1" x14ac:dyDescent="0.25">
      <c r="B160" s="23"/>
      <c r="U160" s="1"/>
      <c r="V160" s="1"/>
      <c r="W160" s="1"/>
      <c r="X160" s="1"/>
      <c r="Y160" s="1"/>
    </row>
    <row r="161" spans="2:25" s="3" customFormat="1" x14ac:dyDescent="0.25">
      <c r="B161" s="23"/>
      <c r="U161" s="1"/>
      <c r="V161" s="1"/>
      <c r="W161" s="1"/>
      <c r="X161" s="1"/>
      <c r="Y161" s="1"/>
    </row>
    <row r="162" spans="2:25" s="3" customFormat="1" x14ac:dyDescent="0.25">
      <c r="B162" s="23"/>
      <c r="U162" s="1"/>
      <c r="V162" s="1"/>
      <c r="W162" s="1"/>
      <c r="X162" s="1"/>
      <c r="Y162" s="1"/>
    </row>
    <row r="163" spans="2:25" s="3" customFormat="1" x14ac:dyDescent="0.25">
      <c r="B163" s="23"/>
      <c r="U163" s="1"/>
      <c r="V163" s="1"/>
      <c r="W163" s="1"/>
      <c r="X163" s="1"/>
      <c r="Y163" s="1"/>
    </row>
    <row r="164" spans="2:25" s="3" customFormat="1" x14ac:dyDescent="0.25">
      <c r="B164" s="23"/>
      <c r="U164" s="1"/>
      <c r="V164" s="1"/>
      <c r="W164" s="1"/>
      <c r="X164" s="1"/>
      <c r="Y164" s="1"/>
    </row>
    <row r="165" spans="2:25" s="3" customFormat="1" x14ac:dyDescent="0.25">
      <c r="B165" s="23"/>
      <c r="U165" s="1"/>
      <c r="V165" s="1"/>
      <c r="W165" s="1"/>
      <c r="X165" s="1"/>
      <c r="Y165" s="1"/>
    </row>
    <row r="166" spans="2:25" s="3" customFormat="1" x14ac:dyDescent="0.25">
      <c r="B166" s="23"/>
      <c r="U166" s="1"/>
      <c r="V166" s="1"/>
      <c r="W166" s="1"/>
      <c r="X166" s="1"/>
      <c r="Y166" s="1"/>
    </row>
    <row r="167" spans="2:25" s="3" customFormat="1" x14ac:dyDescent="0.25">
      <c r="B167" s="23"/>
      <c r="U167" s="1"/>
      <c r="V167" s="1"/>
      <c r="W167" s="1"/>
      <c r="X167" s="1"/>
      <c r="Y167" s="1"/>
    </row>
    <row r="168" spans="2:25" s="3" customFormat="1" x14ac:dyDescent="0.25">
      <c r="B168" s="23"/>
      <c r="U168" s="1"/>
      <c r="V168" s="1"/>
      <c r="W168" s="1"/>
      <c r="X168" s="1"/>
      <c r="Y168" s="1"/>
    </row>
    <row r="169" spans="2:25" s="3" customFormat="1" x14ac:dyDescent="0.25">
      <c r="B169" s="23"/>
      <c r="U169" s="1"/>
      <c r="V169" s="1"/>
      <c r="W169" s="1"/>
      <c r="X169" s="1"/>
      <c r="Y169" s="1"/>
    </row>
    <row r="170" spans="2:25" s="3" customFormat="1" x14ac:dyDescent="0.25">
      <c r="B170" s="23"/>
      <c r="U170" s="1"/>
      <c r="V170" s="1"/>
      <c r="W170" s="1"/>
      <c r="X170" s="1"/>
      <c r="Y170" s="1"/>
    </row>
    <row r="171" spans="2:25" s="3" customFormat="1" x14ac:dyDescent="0.25">
      <c r="B171" s="23"/>
      <c r="U171" s="1"/>
      <c r="V171" s="1"/>
      <c r="W171" s="1"/>
      <c r="X171" s="1"/>
      <c r="Y171" s="1"/>
    </row>
    <row r="172" spans="2:25" s="3" customFormat="1" x14ac:dyDescent="0.25">
      <c r="B172" s="23"/>
      <c r="U172" s="1"/>
      <c r="V172" s="1"/>
      <c r="W172" s="1"/>
      <c r="X172" s="1"/>
      <c r="Y172" s="1"/>
    </row>
    <row r="173" spans="2:25" s="3" customFormat="1" x14ac:dyDescent="0.25">
      <c r="B173" s="23"/>
      <c r="U173" s="1"/>
      <c r="V173" s="1"/>
      <c r="W173" s="1"/>
      <c r="X173" s="1"/>
      <c r="Y173" s="1"/>
    </row>
    <row r="174" spans="2:25" s="3" customFormat="1" x14ac:dyDescent="0.25">
      <c r="B174" s="23"/>
      <c r="U174" s="1"/>
      <c r="V174" s="1"/>
      <c r="W174" s="1"/>
      <c r="X174" s="1"/>
      <c r="Y174" s="1"/>
    </row>
    <row r="175" spans="2:25" s="3" customFormat="1" x14ac:dyDescent="0.25">
      <c r="B175" s="23"/>
      <c r="U175" s="1"/>
      <c r="V175" s="1"/>
      <c r="W175" s="1"/>
      <c r="X175" s="1"/>
      <c r="Y175" s="1"/>
    </row>
    <row r="176" spans="2:25" s="3" customFormat="1" x14ac:dyDescent="0.25">
      <c r="B176" s="23"/>
      <c r="U176" s="1"/>
      <c r="V176" s="1"/>
      <c r="W176" s="1"/>
      <c r="X176" s="1"/>
      <c r="Y176" s="1"/>
    </row>
    <row r="177" spans="2:25" s="3" customFormat="1" x14ac:dyDescent="0.25">
      <c r="B177" s="23"/>
      <c r="U177" s="1"/>
      <c r="V177" s="1"/>
      <c r="W177" s="1"/>
      <c r="X177" s="1"/>
      <c r="Y177" s="1"/>
    </row>
    <row r="178" spans="2:25" s="3" customFormat="1" x14ac:dyDescent="0.25">
      <c r="B178" s="23"/>
      <c r="U178" s="1"/>
      <c r="V178" s="1"/>
      <c r="W178" s="1"/>
      <c r="X178" s="1"/>
      <c r="Y178" s="1"/>
    </row>
    <row r="179" spans="2:25" s="3" customFormat="1" x14ac:dyDescent="0.25">
      <c r="B179" s="23"/>
      <c r="U179" s="1"/>
      <c r="V179" s="1"/>
      <c r="W179" s="1"/>
      <c r="X179" s="1"/>
      <c r="Y179" s="1"/>
    </row>
    <row r="180" spans="2:25" s="3" customFormat="1" x14ac:dyDescent="0.25">
      <c r="B180" s="23"/>
      <c r="U180" s="1"/>
      <c r="V180" s="1"/>
      <c r="W180" s="1"/>
      <c r="X180" s="1"/>
      <c r="Y180" s="1"/>
    </row>
    <row r="181" spans="2:25" s="3" customFormat="1" x14ac:dyDescent="0.25">
      <c r="B181" s="23"/>
      <c r="U181" s="1"/>
      <c r="V181" s="1"/>
      <c r="W181" s="1"/>
      <c r="X181" s="1"/>
      <c r="Y181" s="1"/>
    </row>
    <row r="182" spans="2:25" s="3" customFormat="1" x14ac:dyDescent="0.25">
      <c r="B182" s="23"/>
      <c r="U182" s="1"/>
      <c r="V182" s="1"/>
      <c r="W182" s="1"/>
      <c r="X182" s="1"/>
      <c r="Y182" s="1"/>
    </row>
    <row r="183" spans="2:25" s="3" customFormat="1" x14ac:dyDescent="0.25">
      <c r="B183" s="23"/>
      <c r="U183" s="1"/>
      <c r="V183" s="1"/>
      <c r="W183" s="1"/>
      <c r="X183" s="1"/>
      <c r="Y183" s="1"/>
    </row>
    <row r="184" spans="2:25" s="3" customFormat="1" x14ac:dyDescent="0.25">
      <c r="B184" s="23"/>
      <c r="U184" s="1"/>
      <c r="V184" s="1"/>
      <c r="W184" s="1"/>
      <c r="X184" s="1"/>
      <c r="Y184" s="1"/>
    </row>
    <row r="185" spans="2:25" s="3" customFormat="1" x14ac:dyDescent="0.25">
      <c r="B185" s="23"/>
      <c r="U185" s="1"/>
      <c r="V185" s="1"/>
      <c r="W185" s="1"/>
      <c r="X185" s="1"/>
      <c r="Y185" s="1"/>
    </row>
    <row r="186" spans="2:25" s="3" customFormat="1" x14ac:dyDescent="0.25">
      <c r="B186" s="23"/>
      <c r="U186" s="1"/>
      <c r="V186" s="1"/>
      <c r="W186" s="1"/>
      <c r="X186" s="1"/>
      <c r="Y186" s="1"/>
    </row>
    <row r="187" spans="2:25" s="3" customFormat="1" x14ac:dyDescent="0.25">
      <c r="B187" s="23"/>
      <c r="U187" s="1"/>
      <c r="V187" s="1"/>
      <c r="W187" s="1"/>
      <c r="X187" s="1"/>
      <c r="Y187" s="1"/>
    </row>
    <row r="188" spans="2:25" s="3" customFormat="1" x14ac:dyDescent="0.25">
      <c r="B188" s="23"/>
      <c r="U188" s="1"/>
      <c r="V188" s="1"/>
      <c r="W188" s="1"/>
      <c r="X188" s="1"/>
      <c r="Y188" s="1"/>
    </row>
    <row r="189" spans="2:25" s="3" customFormat="1" x14ac:dyDescent="0.25">
      <c r="B189" s="23"/>
      <c r="U189" s="1"/>
      <c r="V189" s="1"/>
      <c r="W189" s="1"/>
      <c r="X189" s="1"/>
      <c r="Y189" s="1"/>
    </row>
    <row r="190" spans="2:25" s="3" customFormat="1" x14ac:dyDescent="0.25">
      <c r="B190" s="23"/>
      <c r="U190" s="1"/>
      <c r="V190" s="1"/>
      <c r="W190" s="1"/>
      <c r="X190" s="1"/>
      <c r="Y190" s="1"/>
    </row>
    <row r="191" spans="2:25" s="3" customFormat="1" x14ac:dyDescent="0.25">
      <c r="B191" s="23"/>
      <c r="U191" s="1"/>
      <c r="V191" s="1"/>
      <c r="W191" s="1"/>
      <c r="X191" s="1"/>
      <c r="Y191" s="1"/>
    </row>
    <row r="192" spans="2:25" s="3" customFormat="1" x14ac:dyDescent="0.25">
      <c r="B192" s="23"/>
      <c r="U192" s="1"/>
      <c r="V192" s="1"/>
      <c r="W192" s="1"/>
      <c r="X192" s="1"/>
      <c r="Y192" s="1"/>
    </row>
    <row r="193" spans="2:25" s="3" customFormat="1" x14ac:dyDescent="0.25">
      <c r="B193" s="23"/>
      <c r="U193" s="1"/>
      <c r="V193" s="1"/>
      <c r="W193" s="1"/>
      <c r="X193" s="1"/>
      <c r="Y193" s="1"/>
    </row>
    <row r="194" spans="2:25" s="3" customFormat="1" x14ac:dyDescent="0.25">
      <c r="B194" s="23"/>
      <c r="U194" s="1"/>
      <c r="V194" s="1"/>
      <c r="W194" s="1"/>
      <c r="X194" s="1"/>
      <c r="Y194" s="1"/>
    </row>
    <row r="195" spans="2:25" s="3" customFormat="1" x14ac:dyDescent="0.25">
      <c r="B195" s="23"/>
      <c r="U195" s="1"/>
      <c r="V195" s="1"/>
      <c r="W195" s="1"/>
      <c r="X195" s="1"/>
      <c r="Y195" s="1"/>
    </row>
    <row r="196" spans="2:25" s="3" customFormat="1" x14ac:dyDescent="0.25">
      <c r="B196" s="23"/>
      <c r="U196" s="1"/>
      <c r="V196" s="1"/>
      <c r="W196" s="1"/>
      <c r="X196" s="1"/>
      <c r="Y196" s="1"/>
    </row>
    <row r="197" spans="2:25" s="3" customFormat="1" x14ac:dyDescent="0.25">
      <c r="B197" s="23"/>
      <c r="U197" s="1"/>
      <c r="V197" s="1"/>
      <c r="W197" s="1"/>
      <c r="X197" s="1"/>
      <c r="Y197" s="1"/>
    </row>
    <row r="198" spans="2:25" s="3" customFormat="1" x14ac:dyDescent="0.25">
      <c r="B198" s="23"/>
      <c r="U198" s="1"/>
      <c r="V198" s="1"/>
      <c r="W198" s="1"/>
      <c r="X198" s="1"/>
      <c r="Y198" s="1"/>
    </row>
    <row r="199" spans="2:25" s="3" customFormat="1" x14ac:dyDescent="0.25">
      <c r="B199" s="23"/>
      <c r="U199" s="1"/>
      <c r="V199" s="1"/>
      <c r="W199" s="1"/>
      <c r="X199" s="1"/>
      <c r="Y199" s="1"/>
    </row>
    <row r="200" spans="2:25" s="3" customFormat="1" x14ac:dyDescent="0.25">
      <c r="B200" s="23"/>
      <c r="U200" s="1"/>
      <c r="V200" s="1"/>
      <c r="W200" s="1"/>
      <c r="X200" s="1"/>
      <c r="Y200" s="1"/>
    </row>
    <row r="201" spans="2:25" s="3" customFormat="1" x14ac:dyDescent="0.25">
      <c r="B201" s="23"/>
      <c r="U201" s="1"/>
      <c r="V201" s="1"/>
      <c r="W201" s="1"/>
      <c r="X201" s="1"/>
      <c r="Y201" s="1"/>
    </row>
    <row r="202" spans="2:25" s="3" customFormat="1" x14ac:dyDescent="0.25">
      <c r="B202" s="23"/>
      <c r="U202" s="1"/>
      <c r="V202" s="1"/>
      <c r="W202" s="1"/>
      <c r="X202" s="1"/>
      <c r="Y202" s="1"/>
    </row>
    <row r="203" spans="2:25" s="3" customFormat="1" x14ac:dyDescent="0.25">
      <c r="B203" s="23"/>
      <c r="U203" s="1"/>
      <c r="V203" s="1"/>
      <c r="W203" s="1"/>
      <c r="X203" s="1"/>
      <c r="Y203" s="1"/>
    </row>
    <row r="204" spans="2:25" s="3" customFormat="1" x14ac:dyDescent="0.25">
      <c r="B204" s="23"/>
      <c r="U204" s="1"/>
      <c r="V204" s="1"/>
      <c r="W204" s="1"/>
      <c r="X204" s="1"/>
      <c r="Y204" s="1"/>
    </row>
    <row r="205" spans="2:25" s="3" customFormat="1" x14ac:dyDescent="0.25">
      <c r="B205" s="23"/>
      <c r="U205" s="1"/>
      <c r="V205" s="1"/>
      <c r="W205" s="1"/>
      <c r="X205" s="1"/>
      <c r="Y205" s="1"/>
    </row>
    <row r="206" spans="2:25" s="3" customFormat="1" x14ac:dyDescent="0.25">
      <c r="B206" s="23"/>
      <c r="U206" s="1"/>
      <c r="V206" s="1"/>
      <c r="W206" s="1"/>
      <c r="X206" s="1"/>
      <c r="Y206" s="1"/>
    </row>
    <row r="207" spans="2:25" s="3" customFormat="1" x14ac:dyDescent="0.25">
      <c r="B207" s="23"/>
      <c r="U207" s="1"/>
      <c r="V207" s="1"/>
      <c r="W207" s="1"/>
      <c r="X207" s="1"/>
      <c r="Y207" s="1"/>
    </row>
    <row r="208" spans="2:25" s="3" customFormat="1" x14ac:dyDescent="0.25">
      <c r="B208" s="23"/>
      <c r="U208" s="1"/>
      <c r="V208" s="1"/>
      <c r="W208" s="1"/>
      <c r="X208" s="1"/>
      <c r="Y208" s="1"/>
    </row>
    <row r="209" spans="2:25" s="3" customFormat="1" x14ac:dyDescent="0.25">
      <c r="B209" s="23"/>
      <c r="U209" s="1"/>
      <c r="V209" s="1"/>
      <c r="W209" s="1"/>
      <c r="X209" s="1"/>
      <c r="Y209" s="1"/>
    </row>
    <row r="210" spans="2:25" s="3" customFormat="1" x14ac:dyDescent="0.25">
      <c r="B210" s="23"/>
      <c r="U210" s="1"/>
      <c r="V210" s="1"/>
      <c r="W210" s="1"/>
      <c r="X210" s="1"/>
      <c r="Y210" s="1"/>
    </row>
    <row r="211" spans="2:25" s="3" customFormat="1" x14ac:dyDescent="0.25">
      <c r="B211" s="23"/>
      <c r="U211" s="1"/>
      <c r="V211" s="1"/>
      <c r="W211" s="1"/>
      <c r="X211" s="1"/>
      <c r="Y211" s="1"/>
    </row>
    <row r="212" spans="2:25" s="3" customFormat="1" x14ac:dyDescent="0.25">
      <c r="B212" s="23"/>
      <c r="U212" s="1"/>
      <c r="V212" s="1"/>
      <c r="W212" s="1"/>
      <c r="X212" s="1"/>
      <c r="Y212" s="1"/>
    </row>
    <row r="213" spans="2:25" s="3" customFormat="1" x14ac:dyDescent="0.25">
      <c r="B213" s="23"/>
      <c r="U213" s="1"/>
      <c r="V213" s="1"/>
      <c r="W213" s="1"/>
      <c r="X213" s="1"/>
      <c r="Y213" s="1"/>
    </row>
    <row r="214" spans="2:25" s="3" customFormat="1" x14ac:dyDescent="0.25">
      <c r="B214" s="23"/>
      <c r="U214" s="1"/>
      <c r="V214" s="1"/>
      <c r="W214" s="1"/>
      <c r="X214" s="1"/>
      <c r="Y214" s="1"/>
    </row>
    <row r="215" spans="2:25" s="3" customFormat="1" x14ac:dyDescent="0.25">
      <c r="B215" s="23"/>
      <c r="U215" s="1"/>
      <c r="V215" s="1"/>
      <c r="W215" s="1"/>
      <c r="X215" s="1"/>
      <c r="Y215" s="1"/>
    </row>
    <row r="216" spans="2:25" s="3" customFormat="1" x14ac:dyDescent="0.25">
      <c r="B216" s="23"/>
      <c r="U216" s="1"/>
      <c r="V216" s="1"/>
      <c r="W216" s="1"/>
      <c r="X216" s="1"/>
      <c r="Y216" s="1"/>
    </row>
    <row r="217" spans="2:25" s="3" customFormat="1" x14ac:dyDescent="0.25">
      <c r="B217" s="23"/>
      <c r="U217" s="1"/>
      <c r="V217" s="1"/>
      <c r="W217" s="1"/>
      <c r="X217" s="1"/>
      <c r="Y217" s="1"/>
    </row>
    <row r="218" spans="2:25" s="3" customFormat="1" x14ac:dyDescent="0.25">
      <c r="B218" s="23"/>
      <c r="U218" s="1"/>
      <c r="V218" s="1"/>
      <c r="W218" s="1"/>
      <c r="X218" s="1"/>
      <c r="Y218" s="1"/>
    </row>
    <row r="219" spans="2:25" s="3" customFormat="1" x14ac:dyDescent="0.25">
      <c r="B219" s="23"/>
      <c r="U219" s="1"/>
      <c r="V219" s="1"/>
      <c r="W219" s="1"/>
      <c r="X219" s="1"/>
      <c r="Y219" s="1"/>
    </row>
    <row r="220" spans="2:25" s="3" customFormat="1" x14ac:dyDescent="0.25">
      <c r="B220" s="23"/>
      <c r="U220" s="1"/>
      <c r="V220" s="1"/>
      <c r="W220" s="1"/>
      <c r="X220" s="1"/>
      <c r="Y220" s="1"/>
    </row>
    <row r="221" spans="2:25" s="3" customFormat="1" x14ac:dyDescent="0.25">
      <c r="B221" s="23"/>
      <c r="U221" s="1"/>
      <c r="V221" s="1"/>
      <c r="W221" s="1"/>
      <c r="X221" s="1"/>
      <c r="Y221" s="1"/>
    </row>
    <row r="222" spans="2:25" s="3" customFormat="1" x14ac:dyDescent="0.25">
      <c r="B222" s="23"/>
      <c r="U222" s="1"/>
      <c r="V222" s="1"/>
      <c r="W222" s="1"/>
      <c r="X222" s="1"/>
      <c r="Y222" s="1"/>
    </row>
    <row r="223" spans="2:25" s="3" customFormat="1" x14ac:dyDescent="0.25">
      <c r="B223" s="23"/>
      <c r="U223" s="1"/>
      <c r="V223" s="1"/>
      <c r="W223" s="1"/>
      <c r="X223" s="1"/>
      <c r="Y223" s="1"/>
    </row>
    <row r="224" spans="2:25" s="3" customFormat="1" x14ac:dyDescent="0.25">
      <c r="B224" s="23"/>
      <c r="U224" s="1"/>
      <c r="V224" s="1"/>
      <c r="W224" s="1"/>
      <c r="X224" s="1"/>
      <c r="Y224" s="1"/>
    </row>
    <row r="225" spans="2:25" s="3" customFormat="1" x14ac:dyDescent="0.25">
      <c r="B225" s="23"/>
      <c r="U225" s="1"/>
      <c r="V225" s="1"/>
      <c r="W225" s="1"/>
      <c r="X225" s="1"/>
      <c r="Y225" s="1"/>
    </row>
    <row r="226" spans="2:25" s="3" customFormat="1" x14ac:dyDescent="0.25">
      <c r="B226" s="23"/>
      <c r="U226" s="1"/>
      <c r="V226" s="1"/>
      <c r="W226" s="1"/>
      <c r="X226" s="1"/>
      <c r="Y226" s="1"/>
    </row>
    <row r="227" spans="2:25" s="3" customFormat="1" x14ac:dyDescent="0.25">
      <c r="B227" s="23"/>
      <c r="U227" s="1"/>
      <c r="V227" s="1"/>
      <c r="W227" s="1"/>
      <c r="X227" s="1"/>
      <c r="Y227" s="1"/>
    </row>
    <row r="228" spans="2:25" s="3" customFormat="1" x14ac:dyDescent="0.25">
      <c r="B228" s="23"/>
      <c r="U228" s="1"/>
      <c r="V228" s="1"/>
      <c r="W228" s="1"/>
      <c r="X228" s="1"/>
      <c r="Y228" s="1"/>
    </row>
    <row r="229" spans="2:25" s="3" customFormat="1" x14ac:dyDescent="0.25">
      <c r="B229" s="23"/>
      <c r="U229" s="1"/>
      <c r="V229" s="1"/>
      <c r="W229" s="1"/>
      <c r="X229" s="1"/>
      <c r="Y229" s="1"/>
    </row>
    <row r="230" spans="2:25" s="3" customFormat="1" x14ac:dyDescent="0.25">
      <c r="B230" s="23"/>
      <c r="U230" s="1"/>
      <c r="V230" s="1"/>
      <c r="W230" s="1"/>
      <c r="X230" s="1"/>
      <c r="Y230" s="1"/>
    </row>
    <row r="231" spans="2:25" s="3" customFormat="1" x14ac:dyDescent="0.25">
      <c r="B231" s="23"/>
      <c r="U231" s="1"/>
      <c r="V231" s="1"/>
      <c r="W231" s="1"/>
      <c r="X231" s="1"/>
      <c r="Y231" s="1"/>
    </row>
    <row r="232" spans="2:25" s="3" customFormat="1" x14ac:dyDescent="0.25">
      <c r="B232" s="23"/>
      <c r="U232" s="1"/>
      <c r="V232" s="1"/>
      <c r="W232" s="1"/>
      <c r="X232" s="1"/>
      <c r="Y232" s="1"/>
    </row>
    <row r="233" spans="2:25" s="3" customFormat="1" x14ac:dyDescent="0.25">
      <c r="B233" s="23"/>
      <c r="U233" s="1"/>
      <c r="V233" s="1"/>
      <c r="W233" s="1"/>
      <c r="X233" s="1"/>
      <c r="Y233" s="1"/>
    </row>
    <row r="234" spans="2:25" s="3" customFormat="1" x14ac:dyDescent="0.25">
      <c r="B234" s="23"/>
      <c r="U234" s="1"/>
      <c r="V234" s="1"/>
      <c r="W234" s="1"/>
      <c r="X234" s="1"/>
      <c r="Y234" s="1"/>
    </row>
    <row r="235" spans="2:25" s="3" customFormat="1" x14ac:dyDescent="0.25">
      <c r="B235" s="23"/>
      <c r="K235" s="6"/>
      <c r="L235" s="6"/>
      <c r="M235" s="6"/>
      <c r="N235" s="6"/>
      <c r="U235" s="1"/>
      <c r="V235" s="1"/>
      <c r="W235" s="1"/>
      <c r="X235" s="1"/>
      <c r="Y235" s="1"/>
    </row>
    <row r="236" spans="2:25" s="3" customFormat="1" x14ac:dyDescent="0.25">
      <c r="B236" s="23"/>
      <c r="K236" s="6"/>
      <c r="L236" s="6"/>
      <c r="M236" s="6"/>
      <c r="N236" s="6"/>
      <c r="U236" s="1"/>
      <c r="V236" s="1"/>
      <c r="W236" s="1"/>
      <c r="X236" s="1"/>
      <c r="Y236" s="1"/>
    </row>
    <row r="237" spans="2:25" s="3" customFormat="1" x14ac:dyDescent="0.25">
      <c r="B237" s="23"/>
      <c r="K237" s="6"/>
      <c r="L237" s="6"/>
      <c r="M237" s="6"/>
      <c r="N237" s="6"/>
      <c r="U237" s="1"/>
      <c r="V237" s="1"/>
      <c r="W237" s="1"/>
      <c r="X237" s="1"/>
      <c r="Y237" s="1"/>
    </row>
    <row r="238" spans="2:25" s="3" customFormat="1" x14ac:dyDescent="0.25">
      <c r="B238" s="23"/>
      <c r="J238" s="6"/>
      <c r="K238" s="6"/>
      <c r="L238" s="6"/>
      <c r="M238" s="6"/>
      <c r="N238" s="6"/>
      <c r="U238" s="1"/>
      <c r="V238" s="1"/>
      <c r="W238" s="1"/>
      <c r="X238" s="1"/>
      <c r="Y238" s="1"/>
    </row>
    <row r="239" spans="2:25" s="3" customFormat="1" x14ac:dyDescent="0.25">
      <c r="B239" s="23"/>
      <c r="J239" s="6"/>
      <c r="K239" s="6"/>
      <c r="L239" s="6"/>
      <c r="M239" s="6"/>
      <c r="N239" s="6"/>
      <c r="U239" s="1"/>
      <c r="V239" s="1"/>
      <c r="W239" s="1"/>
      <c r="X239" s="1"/>
      <c r="Y239" s="1"/>
    </row>
    <row r="240" spans="2:25" s="3" customFormat="1" x14ac:dyDescent="0.25">
      <c r="B240" s="23"/>
      <c r="J240" s="6"/>
      <c r="K240" s="6"/>
      <c r="L240" s="6"/>
      <c r="M240" s="6"/>
      <c r="N240" s="6"/>
      <c r="U240" s="1"/>
      <c r="V240" s="1"/>
      <c r="W240" s="1"/>
      <c r="X240" s="1"/>
      <c r="Y240" s="1"/>
    </row>
    <row r="241" spans="1:25" s="3" customFormat="1" x14ac:dyDescent="0.25">
      <c r="B241" s="23"/>
      <c r="J241" s="6"/>
      <c r="K241" s="6"/>
      <c r="L241" s="6"/>
      <c r="M241" s="6"/>
      <c r="N241" s="6"/>
      <c r="U241" s="1"/>
      <c r="V241" s="1"/>
      <c r="W241" s="1"/>
      <c r="X241" s="1"/>
      <c r="Y241" s="1"/>
    </row>
    <row r="242" spans="1:25" s="3" customFormat="1" x14ac:dyDescent="0.25">
      <c r="B242" s="23"/>
      <c r="J242" s="6"/>
      <c r="K242" s="6"/>
      <c r="L242" s="6"/>
      <c r="M242" s="6"/>
      <c r="N242" s="6"/>
      <c r="O242" s="6"/>
      <c r="U242" s="1"/>
      <c r="V242" s="1"/>
      <c r="W242" s="1"/>
      <c r="X242" s="1"/>
      <c r="Y242" s="1"/>
    </row>
    <row r="243" spans="1:25" s="3" customFormat="1" x14ac:dyDescent="0.25">
      <c r="B243" s="23"/>
      <c r="J243" s="6"/>
      <c r="K243" s="6"/>
      <c r="L243" s="6"/>
      <c r="M243" s="6"/>
      <c r="N243" s="6"/>
      <c r="O243" s="6"/>
      <c r="U243" s="1"/>
      <c r="V243" s="1"/>
      <c r="W243" s="1"/>
      <c r="X243" s="1"/>
      <c r="Y243" s="1"/>
    </row>
    <row r="244" spans="1:25" s="3" customFormat="1" x14ac:dyDescent="0.25">
      <c r="A244" s="6"/>
      <c r="B244" s="25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Q244" s="6"/>
      <c r="R244" s="6"/>
      <c r="S244" s="6"/>
      <c r="U244" s="1"/>
      <c r="V244" s="1"/>
      <c r="W244" s="1"/>
      <c r="X244" s="1"/>
      <c r="Y244" s="1"/>
    </row>
  </sheetData>
  <sheetProtection sheet="1" objects="1" scenarios="1"/>
  <mergeCells count="193">
    <mergeCell ref="A17:C17"/>
    <mergeCell ref="A18:C18"/>
    <mergeCell ref="A19:C19"/>
    <mergeCell ref="A20:C20"/>
    <mergeCell ref="M23:N23"/>
    <mergeCell ref="D22:E22"/>
    <mergeCell ref="F22:G22"/>
    <mergeCell ref="H22:I22"/>
    <mergeCell ref="K22:L22"/>
    <mergeCell ref="M22:N22"/>
    <mergeCell ref="D17:E17"/>
    <mergeCell ref="F17:G17"/>
    <mergeCell ref="H17:I17"/>
    <mergeCell ref="D23:E23"/>
    <mergeCell ref="F23:G23"/>
    <mergeCell ref="H23:I23"/>
    <mergeCell ref="K23:L23"/>
    <mergeCell ref="F18:G18"/>
    <mergeCell ref="H18:I18"/>
    <mergeCell ref="K18:L18"/>
    <mergeCell ref="M18:N18"/>
    <mergeCell ref="D21:E21"/>
    <mergeCell ref="F21:G21"/>
    <mergeCell ref="H21:I21"/>
    <mergeCell ref="K21:L21"/>
    <mergeCell ref="M21:N21"/>
    <mergeCell ref="D20:E20"/>
    <mergeCell ref="F20:G20"/>
    <mergeCell ref="H20:I20"/>
    <mergeCell ref="K20:L20"/>
    <mergeCell ref="M20:N20"/>
    <mergeCell ref="D2:K4"/>
    <mergeCell ref="L2:N4"/>
    <mergeCell ref="K17:L17"/>
    <mergeCell ref="D19:E19"/>
    <mergeCell ref="F19:G19"/>
    <mergeCell ref="H19:I19"/>
    <mergeCell ref="K19:L19"/>
    <mergeCell ref="M19:N19"/>
    <mergeCell ref="M17:N17"/>
    <mergeCell ref="D18:E18"/>
    <mergeCell ref="R3:T3"/>
    <mergeCell ref="B5:K5"/>
    <mergeCell ref="L5:N5"/>
    <mergeCell ref="R5:T5"/>
    <mergeCell ref="K13:L13"/>
    <mergeCell ref="F15:N15"/>
    <mergeCell ref="A16:C16"/>
    <mergeCell ref="D16:E16"/>
    <mergeCell ref="F16:G16"/>
    <mergeCell ref="H16:I16"/>
    <mergeCell ref="K16:L16"/>
    <mergeCell ref="M16:N16"/>
    <mergeCell ref="C8:F8"/>
    <mergeCell ref="K8:N8"/>
    <mergeCell ref="C10:F10"/>
    <mergeCell ref="K10:N10"/>
    <mergeCell ref="C12:F12"/>
    <mergeCell ref="K12:L12"/>
    <mergeCell ref="D25:E25"/>
    <mergeCell ref="F25:G25"/>
    <mergeCell ref="H25:I25"/>
    <mergeCell ref="K25:L25"/>
    <mergeCell ref="M25:N25"/>
    <mergeCell ref="D24:E24"/>
    <mergeCell ref="F24:G24"/>
    <mergeCell ref="H24:I24"/>
    <mergeCell ref="K24:L24"/>
    <mergeCell ref="M24:N24"/>
    <mergeCell ref="D27:E27"/>
    <mergeCell ref="F27:G27"/>
    <mergeCell ref="H27:I27"/>
    <mergeCell ref="K27:L27"/>
    <mergeCell ref="M27:N27"/>
    <mergeCell ref="D26:E26"/>
    <mergeCell ref="F26:G26"/>
    <mergeCell ref="H26:I26"/>
    <mergeCell ref="K26:L26"/>
    <mergeCell ref="M26:N26"/>
    <mergeCell ref="D29:E29"/>
    <mergeCell ref="F29:G29"/>
    <mergeCell ref="H29:I29"/>
    <mergeCell ref="K29:L29"/>
    <mergeCell ref="M29:N29"/>
    <mergeCell ref="D28:E28"/>
    <mergeCell ref="F28:G28"/>
    <mergeCell ref="H28:I28"/>
    <mergeCell ref="K28:L28"/>
    <mergeCell ref="M28:N28"/>
    <mergeCell ref="A32:C32"/>
    <mergeCell ref="A33:C33"/>
    <mergeCell ref="D31:E31"/>
    <mergeCell ref="F31:G31"/>
    <mergeCell ref="H31:I31"/>
    <mergeCell ref="K31:L31"/>
    <mergeCell ref="M31:N31"/>
    <mergeCell ref="D30:E30"/>
    <mergeCell ref="F30:G30"/>
    <mergeCell ref="H30:I30"/>
    <mergeCell ref="K30:L30"/>
    <mergeCell ref="M30:N30"/>
    <mergeCell ref="A30:C30"/>
    <mergeCell ref="A31:C31"/>
    <mergeCell ref="D33:E33"/>
    <mergeCell ref="F33:G33"/>
    <mergeCell ref="H33:I33"/>
    <mergeCell ref="K33:L33"/>
    <mergeCell ref="M33:N33"/>
    <mergeCell ref="D32:E32"/>
    <mergeCell ref="F32:G32"/>
    <mergeCell ref="H32:I32"/>
    <mergeCell ref="K32:L32"/>
    <mergeCell ref="M32:N32"/>
    <mergeCell ref="A36:C36"/>
    <mergeCell ref="A37:C37"/>
    <mergeCell ref="D35:E35"/>
    <mergeCell ref="F35:G35"/>
    <mergeCell ref="H35:I35"/>
    <mergeCell ref="K35:L35"/>
    <mergeCell ref="M35:N35"/>
    <mergeCell ref="D34:E34"/>
    <mergeCell ref="F34:G34"/>
    <mergeCell ref="H34:I34"/>
    <mergeCell ref="K34:L34"/>
    <mergeCell ref="M34:N34"/>
    <mergeCell ref="A34:C34"/>
    <mergeCell ref="A35:C35"/>
    <mergeCell ref="D37:E37"/>
    <mergeCell ref="F37:G37"/>
    <mergeCell ref="H37:I37"/>
    <mergeCell ref="K37:L37"/>
    <mergeCell ref="M37:N37"/>
    <mergeCell ref="D36:E36"/>
    <mergeCell ref="F36:G36"/>
    <mergeCell ref="H36:I36"/>
    <mergeCell ref="K36:L36"/>
    <mergeCell ref="M36:N36"/>
    <mergeCell ref="A44:C44"/>
    <mergeCell ref="F42:G42"/>
    <mergeCell ref="F43:G43"/>
    <mergeCell ref="F44:G44"/>
    <mergeCell ref="D40:E40"/>
    <mergeCell ref="K40:L40"/>
    <mergeCell ref="D41:E41"/>
    <mergeCell ref="K41:L41"/>
    <mergeCell ref="D38:E38"/>
    <mergeCell ref="K38:L38"/>
    <mergeCell ref="D39:E39"/>
    <mergeCell ref="K39:L39"/>
    <mergeCell ref="A38:C38"/>
    <mergeCell ref="A39:C39"/>
    <mergeCell ref="A40:C40"/>
    <mergeCell ref="A41:C41"/>
    <mergeCell ref="F38:G38"/>
    <mergeCell ref="F39:G39"/>
    <mergeCell ref="F40:G40"/>
    <mergeCell ref="F41:G41"/>
    <mergeCell ref="D46:E46"/>
    <mergeCell ref="F46:G46"/>
    <mergeCell ref="H46:I46"/>
    <mergeCell ref="M46:N46"/>
    <mergeCell ref="B52:F57"/>
    <mergeCell ref="J52:N57"/>
    <mergeCell ref="A45:C45"/>
    <mergeCell ref="D45:E45"/>
    <mergeCell ref="F45:G45"/>
    <mergeCell ref="H45:I45"/>
    <mergeCell ref="K45:L45"/>
    <mergeCell ref="M45:N45"/>
    <mergeCell ref="M38:N38"/>
    <mergeCell ref="M39:N39"/>
    <mergeCell ref="M40:N40"/>
    <mergeCell ref="M41:N41"/>
    <mergeCell ref="M42:N42"/>
    <mergeCell ref="M43:N43"/>
    <mergeCell ref="M44:N44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D44:E44"/>
    <mergeCell ref="K44:L44"/>
    <mergeCell ref="D42:E42"/>
    <mergeCell ref="K42:L42"/>
    <mergeCell ref="D43:E43"/>
    <mergeCell ref="K43:L43"/>
    <mergeCell ref="A42:C42"/>
    <mergeCell ref="A43:C43"/>
  </mergeCells>
  <conditionalFormatting sqref="D24:D45">
    <cfRule type="expression" dxfId="3" priority="3">
      <formula>#REF!="Non"</formula>
    </cfRule>
    <cfRule type="expression" dxfId="2" priority="4">
      <formula>#REF!="Oui"</formula>
    </cfRule>
  </conditionalFormatting>
  <pageMargins left="0.70866141732283472" right="0.70866141732283472" top="0.74803149606299213" bottom="0.74803149606299213" header="0.31496062992125984" footer="0.31496062992125984"/>
  <pageSetup paperSize="9" scale="72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3E62128-D1E0-4FD7-B457-187524A39193}">
            <xm:f>'Mixte Nov'!#REF!="Non"</xm:f>
            <x14:dxf>
              <fill>
                <patternFill>
                  <bgColor theme="1"/>
                </patternFill>
              </fill>
            </x14:dxf>
          </x14:cfRule>
          <x14:cfRule type="expression" priority="2" id="{2E76DD67-7B5A-49C3-8396-A5A8CE81E29A}">
            <xm:f>'Mixte Nov'!#REF!="Oui"</xm:f>
            <x14:dxf>
              <fill>
                <patternFill>
                  <bgColor theme="1"/>
                </patternFill>
              </fill>
            </x14:dxf>
          </x14:cfRule>
          <xm:sqref>D17:D23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D4" sqref="D4"/>
    </sheetView>
  </sheetViews>
  <sheetFormatPr baseColWidth="10" defaultRowHeight="15" x14ac:dyDescent="0.25"/>
  <cols>
    <col min="4" max="4" width="41.140625" customWidth="1"/>
  </cols>
  <sheetData>
    <row r="1" spans="1:4" x14ac:dyDescent="0.25">
      <c r="A1">
        <f>A2*40%</f>
        <v>3.5200000000000005</v>
      </c>
    </row>
    <row r="2" spans="1:4" x14ac:dyDescent="0.25">
      <c r="A2">
        <v>8.8000000000000007</v>
      </c>
      <c r="D2" s="17" t="s">
        <v>4</v>
      </c>
    </row>
    <row r="3" spans="1:4" x14ac:dyDescent="0.25">
      <c r="D3" s="17" t="s">
        <v>19</v>
      </c>
    </row>
    <row r="4" spans="1:4" x14ac:dyDescent="0.25">
      <c r="D4" s="17" t="s">
        <v>8</v>
      </c>
    </row>
    <row r="5" spans="1:4" x14ac:dyDescent="0.25">
      <c r="D5" s="17" t="s">
        <v>9</v>
      </c>
    </row>
    <row r="6" spans="1:4" x14ac:dyDescent="0.25">
      <c r="D6" s="17" t="s">
        <v>12</v>
      </c>
    </row>
    <row r="7" spans="1:4" x14ac:dyDescent="0.25">
      <c r="D7" s="17" t="s">
        <v>16</v>
      </c>
    </row>
    <row r="8" spans="1:4" x14ac:dyDescent="0.25">
      <c r="D8" s="17" t="s">
        <v>13</v>
      </c>
    </row>
    <row r="9" spans="1:4" x14ac:dyDescent="0.25">
      <c r="D9" s="17" t="s">
        <v>14</v>
      </c>
    </row>
    <row r="10" spans="1:4" x14ac:dyDescent="0.25">
      <c r="D10" s="17" t="s">
        <v>10</v>
      </c>
    </row>
    <row r="11" spans="1:4" x14ac:dyDescent="0.25">
      <c r="D11" s="17" t="s">
        <v>15</v>
      </c>
    </row>
    <row r="12" spans="1:4" x14ac:dyDescent="0.25">
      <c r="D12" s="17" t="s">
        <v>11</v>
      </c>
    </row>
    <row r="13" spans="1:4" x14ac:dyDescent="0.25">
      <c r="D13" s="17" t="s">
        <v>17</v>
      </c>
    </row>
    <row r="14" spans="1:4" x14ac:dyDescent="0.25">
      <c r="D14" s="17" t="s">
        <v>18</v>
      </c>
    </row>
    <row r="15" spans="1:4" x14ac:dyDescent="0.25">
      <c r="D15" s="17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698B87D28DE24EBBE6FBC2AB52114A" ma:contentTypeVersion="1" ma:contentTypeDescription="Crée un document." ma:contentTypeScope="" ma:versionID="5712323dc6b9d814e010dcbdf3406af8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ee565551e1a1637f9df0223e78db73bd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Date de début de planification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Date de fin de planification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 ma:readOnly="true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DFADD20C-65A7-48A9-AC0F-D388E9E2090C}">
  <ds:schemaRefs>
    <ds:schemaRef ds:uri="http://schemas.microsoft.com/office/2006/documentManagement/types"/>
    <ds:schemaRef ds:uri="http://purl.org/dc/dcmitype/"/>
    <ds:schemaRef ds:uri="http://purl.org/dc/elements/1.1/"/>
    <ds:schemaRef ds:uri="http://www.w3.org/XML/1998/namespace"/>
    <ds:schemaRef ds:uri="http://purl.org/dc/terms/"/>
    <ds:schemaRef ds:uri="http://schemas.microsoft.com/sharepoint/v3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2A4728A-D231-44B1-B0D2-424C76B88F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C10F94-3109-4BF8-8C08-80BDD5D398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38</vt:i4>
      </vt:variant>
      <vt:variant>
        <vt:lpstr>Plages nommées</vt:lpstr>
      </vt:variant>
      <vt:variant>
        <vt:i4>37</vt:i4>
      </vt:variant>
    </vt:vector>
  </HeadingPairs>
  <TitlesOfParts>
    <vt:vector size="75" baseType="lpstr">
      <vt:lpstr>rému</vt:lpstr>
      <vt:lpstr>Niveau 1 Janv</vt:lpstr>
      <vt:lpstr>Niveau 2 Janv</vt:lpstr>
      <vt:lpstr>Mixte Janv</vt:lpstr>
      <vt:lpstr>Niveau 1 Fév</vt:lpstr>
      <vt:lpstr>Niveau 2 Fév</vt:lpstr>
      <vt:lpstr>Mixte Fév</vt:lpstr>
      <vt:lpstr>Niveau 1 Mars</vt:lpstr>
      <vt:lpstr>Niveau 2 Mars</vt:lpstr>
      <vt:lpstr>Mixte Mars</vt:lpstr>
      <vt:lpstr>Niveau 1 Avril</vt:lpstr>
      <vt:lpstr>Niveau 2 Avril</vt:lpstr>
      <vt:lpstr>Mixte Avril</vt:lpstr>
      <vt:lpstr>Niveau 1 Mai</vt:lpstr>
      <vt:lpstr>Niveau 2 Mai</vt:lpstr>
      <vt:lpstr>Mixte Mai</vt:lpstr>
      <vt:lpstr>Niveau 1 Juin</vt:lpstr>
      <vt:lpstr>Niveau 2 Juin</vt:lpstr>
      <vt:lpstr>Mixte Juin</vt:lpstr>
      <vt:lpstr>Niveau 1 Juillet</vt:lpstr>
      <vt:lpstr>Niveau 2 Juillet</vt:lpstr>
      <vt:lpstr>Mixte Juillet</vt:lpstr>
      <vt:lpstr>Niveau 1 Août</vt:lpstr>
      <vt:lpstr>Niveau 2 Août</vt:lpstr>
      <vt:lpstr>Mixte Août</vt:lpstr>
      <vt:lpstr>Niveau 1 Sept</vt:lpstr>
      <vt:lpstr>Niveau 2 Sept</vt:lpstr>
      <vt:lpstr>Mixte Sept</vt:lpstr>
      <vt:lpstr>Niveau 1 Oct</vt:lpstr>
      <vt:lpstr>Niveau 2 Oct</vt:lpstr>
      <vt:lpstr>Mixte Oct</vt:lpstr>
      <vt:lpstr>Niveau 1 Nov</vt:lpstr>
      <vt:lpstr>Niveau 2 Nov</vt:lpstr>
      <vt:lpstr>Mixte Nov</vt:lpstr>
      <vt:lpstr>Niveau 1 Déc</vt:lpstr>
      <vt:lpstr>Niveau 2 Déc</vt:lpstr>
      <vt:lpstr>Mixte Déc</vt:lpstr>
      <vt:lpstr>Table</vt:lpstr>
      <vt:lpstr>LISTE_TR</vt:lpstr>
      <vt:lpstr>'Mixte Août'!Zone_d_impression</vt:lpstr>
      <vt:lpstr>'Mixte Avril'!Zone_d_impression</vt:lpstr>
      <vt:lpstr>'Mixte Déc'!Zone_d_impression</vt:lpstr>
      <vt:lpstr>'Mixte Fév'!Zone_d_impression</vt:lpstr>
      <vt:lpstr>'Mixte Janv'!Zone_d_impression</vt:lpstr>
      <vt:lpstr>'Mixte Juillet'!Zone_d_impression</vt:lpstr>
      <vt:lpstr>'Mixte Juin'!Zone_d_impression</vt:lpstr>
      <vt:lpstr>'Mixte Mai'!Zone_d_impression</vt:lpstr>
      <vt:lpstr>'Mixte Mars'!Zone_d_impression</vt:lpstr>
      <vt:lpstr>'Mixte Nov'!Zone_d_impression</vt:lpstr>
      <vt:lpstr>'Mixte Oct'!Zone_d_impression</vt:lpstr>
      <vt:lpstr>'Mixte Sept'!Zone_d_impression</vt:lpstr>
      <vt:lpstr>'Niveau 1 Août'!Zone_d_impression</vt:lpstr>
      <vt:lpstr>'Niveau 1 Avril'!Zone_d_impression</vt:lpstr>
      <vt:lpstr>'Niveau 1 Déc'!Zone_d_impression</vt:lpstr>
      <vt:lpstr>'Niveau 1 Fév'!Zone_d_impression</vt:lpstr>
      <vt:lpstr>'Niveau 1 Janv'!Zone_d_impression</vt:lpstr>
      <vt:lpstr>'Niveau 1 Juillet'!Zone_d_impression</vt:lpstr>
      <vt:lpstr>'Niveau 1 Juin'!Zone_d_impression</vt:lpstr>
      <vt:lpstr>'Niveau 1 Mai'!Zone_d_impression</vt:lpstr>
      <vt:lpstr>'Niveau 1 Mars'!Zone_d_impression</vt:lpstr>
      <vt:lpstr>'Niveau 1 Nov'!Zone_d_impression</vt:lpstr>
      <vt:lpstr>'Niveau 1 Oct'!Zone_d_impression</vt:lpstr>
      <vt:lpstr>'Niveau 1 Sept'!Zone_d_impression</vt:lpstr>
      <vt:lpstr>'Niveau 2 Août'!Zone_d_impression</vt:lpstr>
      <vt:lpstr>'Niveau 2 Avril'!Zone_d_impression</vt:lpstr>
      <vt:lpstr>'Niveau 2 Déc'!Zone_d_impression</vt:lpstr>
      <vt:lpstr>'Niveau 2 Fév'!Zone_d_impression</vt:lpstr>
      <vt:lpstr>'Niveau 2 Janv'!Zone_d_impression</vt:lpstr>
      <vt:lpstr>'Niveau 2 Juillet'!Zone_d_impression</vt:lpstr>
      <vt:lpstr>'Niveau 2 Juin'!Zone_d_impression</vt:lpstr>
      <vt:lpstr>'Niveau 2 Mai'!Zone_d_impression</vt:lpstr>
      <vt:lpstr>'Niveau 2 Mars'!Zone_d_impression</vt:lpstr>
      <vt:lpstr>'Niveau 2 Nov'!Zone_d_impression</vt:lpstr>
      <vt:lpstr>'Niveau 2 Oct'!Zone_d_impression</vt:lpstr>
      <vt:lpstr>'Niveau 2 Sept'!Zone_d_impression</vt:lpstr>
    </vt:vector>
  </TitlesOfParts>
  <Company>Groupe SAUR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MCOICAUD</dc:creator>
  <cp:lastModifiedBy>Administrateur</cp:lastModifiedBy>
  <cp:lastPrinted>2024-01-29T12:57:36Z</cp:lastPrinted>
  <dcterms:created xsi:type="dcterms:W3CDTF">2012-02-23T09:23:39Z</dcterms:created>
  <dcterms:modified xsi:type="dcterms:W3CDTF">2024-01-29T12:59:45Z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0x01010044698B87D28DE24EBBE6FBC2AB52114A</vt:lpwstr>
  </property>
</Properties>
</file>