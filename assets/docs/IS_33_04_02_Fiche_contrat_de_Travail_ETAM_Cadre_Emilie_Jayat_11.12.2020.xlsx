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r-stsvgen100\CovedSulpice\Commun\DIREX Midi-Pyrénées\_09ARIEGE_DECHETS\01-Ressources Humaines\Dossiers des salariés\Emilie Jayat\"/>
    </mc:Choice>
  </mc:AlternateContent>
  <bookViews>
    <workbookView xWindow="-4605" yWindow="405" windowWidth="15600" windowHeight="9645"/>
  </bookViews>
  <sheets>
    <sheet name="ETAM CADRE" sheetId="10" r:id="rId1"/>
    <sheet name="Feuil1" sheetId="11" state="hidden" r:id="rId2"/>
  </sheets>
  <definedNames>
    <definedName name="CCN">Feuil1!$A$2:$A$4</definedName>
    <definedName name="DIREX">Feuil1!$C$2:$C$15</definedName>
    <definedName name="ECHELON">Feuil1!$J$2:$J$6</definedName>
    <definedName name="interim">Feuil1!$B$2:$B$91</definedName>
    <definedName name="NIVEAU">Feuil1!$I$2:$I$8</definedName>
    <definedName name="SERVICE">Feuil1!$K$2:$K$9</definedName>
    <definedName name="STATUT">Feuil1!$D$2:$D$3</definedName>
    <definedName name="_xlnm.Print_Area" localSheetId="0">'ETAM CADRE'!$A$1:$T$49</definedName>
  </definedNames>
  <calcPr calcId="162913"/>
</workbook>
</file>

<file path=xl/calcChain.xml><?xml version="1.0" encoding="utf-8"?>
<calcChain xmlns="http://schemas.openxmlformats.org/spreadsheetml/2006/main">
  <c r="J14" i="10" l="1"/>
  <c r="B25" i="10" s="1"/>
  <c r="B26" i="10" l="1"/>
  <c r="G25" i="10"/>
  <c r="B27" i="10"/>
  <c r="G28" i="10"/>
  <c r="B28" i="10"/>
  <c r="G27" i="10"/>
  <c r="G26" i="10"/>
</calcChain>
</file>

<file path=xl/sharedStrings.xml><?xml version="1.0" encoding="utf-8"?>
<sst xmlns="http://schemas.openxmlformats.org/spreadsheetml/2006/main" count="179" uniqueCount="160">
  <si>
    <t>CDD</t>
  </si>
  <si>
    <t>CDI</t>
  </si>
  <si>
    <t xml:space="preserve">Adresse  : </t>
  </si>
  <si>
    <t xml:space="preserve">Date et lieu de naissance : </t>
  </si>
  <si>
    <t xml:space="preserve">TYPE DE CONTRAT : </t>
  </si>
  <si>
    <t>ELEMENTS DU CONTRAT</t>
  </si>
  <si>
    <t xml:space="preserve">N° Sécurité Sociale : </t>
  </si>
  <si>
    <t>à</t>
  </si>
  <si>
    <t>DATE DE CONTRAT</t>
  </si>
  <si>
    <t>Date de début de contrat</t>
  </si>
  <si>
    <t xml:space="preserve">Nom et Prénom : </t>
  </si>
  <si>
    <t>Remplacement</t>
  </si>
  <si>
    <t>[</t>
  </si>
  <si>
    <t>PERIODE D'ESSAI</t>
  </si>
  <si>
    <t xml:space="preserve">OUI     </t>
  </si>
  <si>
    <t xml:space="preserve">NON     </t>
  </si>
  <si>
    <t>REPRISE ANCIENNETE</t>
  </si>
  <si>
    <t>DEPUIS LE :</t>
  </si>
  <si>
    <t>TEMPS DE TRAVAIL</t>
  </si>
  <si>
    <t>RESPONSABLE HIERARCHIQUE</t>
  </si>
  <si>
    <t>ASTREINTES</t>
  </si>
  <si>
    <t>NON</t>
  </si>
  <si>
    <t xml:space="preserve">   OUI</t>
  </si>
  <si>
    <t>VEHICULE</t>
  </si>
  <si>
    <t>SERVICE</t>
  </si>
  <si>
    <t xml:space="preserve"> FONCTION</t>
  </si>
  <si>
    <t>SIGNATURES</t>
  </si>
  <si>
    <t>DELEGATAIRE
SAISIE CONGES</t>
  </si>
  <si>
    <r>
      <t xml:space="preserve">Date de fin de contrat 
</t>
    </r>
    <r>
      <rPr>
        <i/>
        <sz val="9"/>
        <rFont val="Calibri"/>
        <family val="2"/>
      </rPr>
      <t>(pour les contrats CDD)</t>
    </r>
  </si>
  <si>
    <r>
      <t xml:space="preserve">MOTIF DU CONTRAT
 </t>
    </r>
    <r>
      <rPr>
        <sz val="11"/>
        <rFont val="Calibri"/>
        <family val="2"/>
      </rPr>
      <t>(Cas de CDD)</t>
    </r>
  </si>
  <si>
    <t>Forfait jours</t>
  </si>
  <si>
    <t>1 mois (pas de renouvellement)</t>
  </si>
  <si>
    <t>Employé (coeff&gt;110)</t>
  </si>
  <si>
    <t>1 mois (renouvelable 1 mois)</t>
  </si>
  <si>
    <t>Technicien, Agent de maitrise (coeff &gt;= 125)</t>
  </si>
  <si>
    <t>2 mois (renouvelable 2 mois)</t>
  </si>
  <si>
    <t>Cadres (Coeff 170)</t>
  </si>
  <si>
    <t>3 mois (renouvelable 3 mois)</t>
  </si>
  <si>
    <t>Embauche en CDD</t>
  </si>
  <si>
    <t>CDD &lt;= 6 mois</t>
  </si>
  <si>
    <t>CDD &gt; 6 mois</t>
  </si>
  <si>
    <t>1 jour /semaine de contrat (2 sem. max)</t>
  </si>
  <si>
    <t xml:space="preserve">1 mois </t>
  </si>
  <si>
    <t xml:space="preserve">Embauche en CDI </t>
  </si>
  <si>
    <t>CENTRE IMPUTATION ANALYTIQUE</t>
  </si>
  <si>
    <t>Direction d'Exploitation :</t>
  </si>
  <si>
    <r>
      <t xml:space="preserve">Motif du surcroit 
</t>
    </r>
    <r>
      <rPr>
        <i/>
        <sz val="7"/>
        <rFont val="Calibri"/>
        <family val="2"/>
        <scheme val="minor"/>
      </rPr>
      <t xml:space="preserve">( fournir justificatifs le cas échéant) </t>
    </r>
    <r>
      <rPr>
        <sz val="7"/>
        <rFont val="Calibri"/>
        <family val="2"/>
        <scheme val="minor"/>
      </rPr>
      <t>:</t>
    </r>
  </si>
  <si>
    <t xml:space="preserve"> Intérim : fournir la copie des contrats de mise à disposition des 3 mois précédant l'embauche pour reconstitution de l'ancienneté.</t>
  </si>
  <si>
    <t>CONVENTION COLLECTIVE</t>
  </si>
  <si>
    <t>Activités du déchet</t>
  </si>
  <si>
    <t>Industries et Commerces de la Récupération</t>
  </si>
  <si>
    <t>Assainissement et Maintenance Industrielle</t>
  </si>
  <si>
    <t>La durée des missions accomplies au cours des 3 mois précédants est déduite de la période d'essai</t>
  </si>
  <si>
    <t>Nationalité :</t>
  </si>
  <si>
    <t xml:space="preserve"> fournir une copie du titre de séjour en cours de validité</t>
  </si>
  <si>
    <t>Temps partiel : compléter la répartition hebdomadaire ci-dessous</t>
  </si>
  <si>
    <r>
      <rPr>
        <b/>
        <sz val="10"/>
        <rFont val="Calibri"/>
        <family val="2"/>
      </rPr>
      <t>Lundi</t>
    </r>
    <r>
      <rPr>
        <sz val="10"/>
        <rFont val="Calibri"/>
        <family val="2"/>
      </rPr>
      <t xml:space="preserve"> : de xx à xx</t>
    </r>
  </si>
  <si>
    <r>
      <rPr>
        <b/>
        <sz val="10"/>
        <rFont val="Calibri"/>
        <family val="2"/>
      </rPr>
      <t>Mardi</t>
    </r>
    <r>
      <rPr>
        <sz val="10"/>
        <rFont val="Calibri"/>
        <family val="2"/>
      </rPr>
      <t xml:space="preserve"> : de xx à xx</t>
    </r>
  </si>
  <si>
    <r>
      <t xml:space="preserve">Mercredi : </t>
    </r>
    <r>
      <rPr>
        <sz val="10"/>
        <rFont val="Calibri"/>
        <family val="2"/>
        <scheme val="minor"/>
      </rPr>
      <t>de xx à xx</t>
    </r>
  </si>
  <si>
    <r>
      <rPr>
        <b/>
        <sz val="10"/>
        <rFont val="Calibri"/>
        <family val="2"/>
        <scheme val="minor"/>
      </rPr>
      <t>Jeudi :</t>
    </r>
    <r>
      <rPr>
        <sz val="10"/>
        <rFont val="Calibri"/>
        <family val="2"/>
        <scheme val="minor"/>
      </rPr>
      <t xml:space="preserve"> de xx à xx</t>
    </r>
  </si>
  <si>
    <r>
      <rPr>
        <b/>
        <sz val="10"/>
        <rFont val="Calibri"/>
        <family val="2"/>
        <scheme val="minor"/>
      </rPr>
      <t>Vendredi</t>
    </r>
    <r>
      <rPr>
        <sz val="10"/>
        <rFont val="Calibri"/>
        <family val="2"/>
        <scheme val="minor"/>
      </rPr>
      <t xml:space="preserve"> : de xx à xx</t>
    </r>
  </si>
  <si>
    <r>
      <rPr>
        <b/>
        <sz val="10"/>
        <rFont val="Calibri"/>
        <family val="2"/>
        <scheme val="minor"/>
      </rPr>
      <t>Samedi</t>
    </r>
    <r>
      <rPr>
        <sz val="10"/>
        <rFont val="Calibri"/>
        <family val="2"/>
        <scheme val="minor"/>
      </rPr>
      <t xml:space="preserve"> : de xx à xx</t>
    </r>
  </si>
  <si>
    <r>
      <rPr>
        <b/>
        <sz val="10"/>
        <rFont val="Calibri"/>
        <family val="2"/>
        <scheme val="minor"/>
      </rPr>
      <t>Dimanche</t>
    </r>
    <r>
      <rPr>
        <sz val="10"/>
        <rFont val="Calibri"/>
        <family val="2"/>
        <scheme val="minor"/>
      </rPr>
      <t xml:space="preserve"> : de xx à xx</t>
    </r>
  </si>
  <si>
    <r>
      <t xml:space="preserve">Embauche en CDD ou CDI suite à </t>
    </r>
    <r>
      <rPr>
        <u/>
        <sz val="7"/>
        <rFont val="Calibri"/>
        <family val="2"/>
        <scheme val="minor"/>
      </rPr>
      <t>intérim</t>
    </r>
  </si>
  <si>
    <t>Employé (coeff 100 à 110)</t>
  </si>
  <si>
    <t>2 mois (pas de renouvellement)</t>
  </si>
  <si>
    <t>Intérim</t>
  </si>
  <si>
    <t>Annonce</t>
  </si>
  <si>
    <t>Candidature spontanée</t>
  </si>
  <si>
    <t>Stage</t>
  </si>
  <si>
    <t>ORIGINE DE LA CANDIDATURE</t>
  </si>
  <si>
    <t>Alternance</t>
  </si>
  <si>
    <r>
      <t xml:space="preserve">Autre : </t>
    </r>
    <r>
      <rPr>
        <i/>
        <sz val="10"/>
        <rFont val="Calibri"/>
        <family val="2"/>
        <scheme val="minor"/>
      </rPr>
      <t>préciser</t>
    </r>
  </si>
  <si>
    <t xml:space="preserve">Employé </t>
  </si>
  <si>
    <t>Technicien, Agent de maitrise</t>
  </si>
  <si>
    <t xml:space="preserve">Technicien, Agent de maitrise </t>
  </si>
  <si>
    <t>3 mois (renouvelable 1 mois)</t>
  </si>
  <si>
    <t>3 mois (pas de renouvellement)</t>
  </si>
  <si>
    <t>4 mois (renouvelable 3 mois)</t>
  </si>
  <si>
    <t>Cadres</t>
  </si>
  <si>
    <t>4 mois (renouvelable 2 mois)</t>
  </si>
  <si>
    <t xml:space="preserve">Nombre de jours d'intérim :  </t>
  </si>
  <si>
    <t>Direx Bearn Landes</t>
  </si>
  <si>
    <t>Direx BCA</t>
  </si>
  <si>
    <t>Direx Centre</t>
  </si>
  <si>
    <t>Direx Estuaire</t>
  </si>
  <si>
    <t>Direx Hérault</t>
  </si>
  <si>
    <t>Direx IDF</t>
  </si>
  <si>
    <t>Direx Midi-Pyrénnées</t>
  </si>
  <si>
    <t>Direx Nord</t>
  </si>
  <si>
    <t>Direx Normandie</t>
  </si>
  <si>
    <t>Direx Ouest</t>
  </si>
  <si>
    <t>Direx RAA</t>
  </si>
  <si>
    <t>Direx Sud-Est</t>
  </si>
  <si>
    <t>Jours</t>
  </si>
  <si>
    <t>Direx Traitement</t>
  </si>
  <si>
    <t>STATUT</t>
  </si>
  <si>
    <t>ETAM</t>
  </si>
  <si>
    <t>CADRE</t>
  </si>
  <si>
    <t>Demandeur
(DEX / Responsable de Service)</t>
  </si>
  <si>
    <t>Directeur des Ressources Humaines</t>
  </si>
  <si>
    <t>Directeur Général</t>
  </si>
  <si>
    <t xml:space="preserve">Nom : </t>
  </si>
  <si>
    <t xml:space="preserve">Date et signature : </t>
  </si>
  <si>
    <t>I</t>
  </si>
  <si>
    <t>A</t>
  </si>
  <si>
    <t>II</t>
  </si>
  <si>
    <t>B</t>
  </si>
  <si>
    <t>III</t>
  </si>
  <si>
    <t>C</t>
  </si>
  <si>
    <t>IV</t>
  </si>
  <si>
    <t>D</t>
  </si>
  <si>
    <t>V</t>
  </si>
  <si>
    <t>VI</t>
  </si>
  <si>
    <t>VII</t>
  </si>
  <si>
    <t>Echelon</t>
  </si>
  <si>
    <t>Niveau</t>
  </si>
  <si>
    <t>Validation
(Directeur Délégué / Directeur de Service)</t>
  </si>
  <si>
    <r>
      <t>Numéro du titre de séjour
(</t>
    </r>
    <r>
      <rPr>
        <b/>
        <sz val="8"/>
        <rFont val="Calibri"/>
        <family val="2"/>
        <scheme val="minor"/>
      </rPr>
      <t>si nationalité étrangère</t>
    </r>
    <r>
      <rPr>
        <b/>
        <sz val="11"/>
        <rFont val="Calibri"/>
        <family val="2"/>
        <scheme val="minor"/>
      </rPr>
      <t xml:space="preserve">) : </t>
    </r>
  </si>
  <si>
    <t>Saisissez votre exploitation ou choisissez votre service</t>
  </si>
  <si>
    <t>Administratif et Financier</t>
  </si>
  <si>
    <t>Commercial</t>
  </si>
  <si>
    <t>International</t>
  </si>
  <si>
    <t>Matériel</t>
  </si>
  <si>
    <t>Négoce</t>
  </si>
  <si>
    <t>Performance</t>
  </si>
  <si>
    <t>Ressources Humaines</t>
  </si>
  <si>
    <t xml:space="preserve">Exploitation
ou Service : </t>
  </si>
  <si>
    <t>OUI</t>
  </si>
  <si>
    <t>ADRESSE LIEU DE TRAVAIL REEL</t>
  </si>
  <si>
    <r>
      <rPr>
        <b/>
        <sz val="11"/>
        <rFont val="Calibri"/>
        <family val="2"/>
        <scheme val="minor"/>
      </rPr>
      <t>FILIERE</t>
    </r>
    <r>
      <rPr>
        <b/>
        <sz val="10"/>
        <rFont val="Calibri"/>
        <family val="2"/>
        <scheme val="minor"/>
      </rPr>
      <t xml:space="preserve"> 
(Exploitation, RH, Finance…)</t>
    </r>
  </si>
  <si>
    <t xml:space="preserve">Nom Prénom Fonction </t>
  </si>
  <si>
    <r>
      <rPr>
        <b/>
        <sz val="11"/>
        <rFont val="Calibri"/>
        <family val="2"/>
      </rPr>
      <t xml:space="preserve">ACTIVITE </t>
    </r>
    <r>
      <rPr>
        <b/>
        <sz val="10"/>
        <rFont val="Calibri"/>
        <family val="2"/>
      </rPr>
      <t xml:space="preserve">/ </t>
    </r>
    <r>
      <rPr>
        <b/>
        <sz val="11"/>
        <rFont val="Calibri"/>
        <family val="2"/>
      </rPr>
      <t xml:space="preserve">METIER 
</t>
    </r>
    <r>
      <rPr>
        <b/>
        <sz val="9"/>
        <rFont val="Calibri"/>
        <family val="2"/>
      </rPr>
      <t>(Collecte, Déchetterie, ISDND…)</t>
    </r>
  </si>
  <si>
    <t>35H (avec RTT)</t>
  </si>
  <si>
    <t>35h00 (sans RTT)</t>
  </si>
  <si>
    <t xml:space="preserve">SALAIRE DE BASE MENSUEL </t>
  </si>
  <si>
    <r>
      <t xml:space="preserve">Surcroit </t>
    </r>
    <r>
      <rPr>
        <sz val="8"/>
        <rFont val="Calibri"/>
        <family val="2"/>
        <scheme val="minor"/>
      </rPr>
      <t>(dont saisonnier)</t>
    </r>
  </si>
  <si>
    <t xml:space="preserve">Temps partiel : </t>
  </si>
  <si>
    <t>heures/sem</t>
  </si>
  <si>
    <t>X</t>
  </si>
  <si>
    <r>
      <rPr>
        <u/>
        <sz val="10"/>
        <color rgb="FFFF0000"/>
        <rFont val="Calibri"/>
        <family val="2"/>
        <scheme val="minor"/>
      </rPr>
      <t xml:space="preserve">Motif </t>
    </r>
    <r>
      <rPr>
        <sz val="10"/>
        <rFont val="Calibri"/>
        <family val="2"/>
        <scheme val="minor"/>
      </rPr>
      <t>et nom de la personne remplacée :</t>
    </r>
  </si>
  <si>
    <t>Direx ALFC</t>
  </si>
  <si>
    <r>
      <t>EMPLOI 
(</t>
    </r>
    <r>
      <rPr>
        <b/>
        <sz val="8"/>
        <rFont val="Calibri"/>
        <family val="2"/>
        <scheme val="minor"/>
      </rPr>
      <t>Niveau de responsabilité)</t>
    </r>
  </si>
  <si>
    <t xml:space="preserve">Date : </t>
  </si>
  <si>
    <t>Vérification DRHA</t>
  </si>
  <si>
    <r>
      <t xml:space="preserve">Date et signature : 
</t>
    </r>
    <r>
      <rPr>
        <i/>
        <sz val="10"/>
        <rFont val="Calibri"/>
        <family val="2"/>
        <scheme val="minor"/>
      </rPr>
      <t>à partir de Chef de service</t>
    </r>
  </si>
  <si>
    <t>Coefficient/                            Niveau de resp.</t>
  </si>
  <si>
    <t>Française</t>
  </si>
  <si>
    <t>Exploitation</t>
  </si>
  <si>
    <t>JAYAT Emilie</t>
  </si>
  <si>
    <t>Assistante d'Exploitation</t>
  </si>
  <si>
    <t>Assistante Exploitation</t>
  </si>
  <si>
    <t>Moulin d'Enfour 09600 Laroque d'Olmes</t>
  </si>
  <si>
    <t>Jérémy Pegossoff (Responsable de Site)</t>
  </si>
  <si>
    <t>Paprec Sud Ouest - Ariège Déchets</t>
  </si>
  <si>
    <t>TARTAIX Richard
Responsable d'Agence</t>
  </si>
  <si>
    <t>Ariège Déchets</t>
  </si>
  <si>
    <t>2 87 06 09 160 023 76</t>
  </si>
  <si>
    <t>Les Peyrots 09300 Belesta</t>
  </si>
  <si>
    <t>Lavelanet (09)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</si>
</sst>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C]d\ mmmm\ yyyy;@"/>
    <numFmt numFmtId="165" formatCode="dd/mm/yy;@"/>
    <numFmt numFmtId="166" formatCode="#,##0.00\ &quot;€&quot;"/>
  </numFmts>
  <fonts count="36" x14ac:knownFonts="1">
    <font>
      <sz val="10"/>
      <name val="Arial"/>
    </font>
    <font>
      <sz val="11"/>
      <name val="Calibri"/>
      <family val="2"/>
    </font>
    <font>
      <b/>
      <sz val="12"/>
      <name val="Calibri"/>
      <family val="2"/>
    </font>
    <font>
      <i/>
      <sz val="9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u/>
      <sz val="10"/>
      <name val="Calibri"/>
      <family val="2"/>
      <scheme val="minor"/>
    </font>
    <font>
      <b/>
      <sz val="12"/>
      <name val="Calibri"/>
      <family val="2"/>
      <scheme val="minor"/>
    </font>
    <font>
      <sz val="7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i/>
      <sz val="10"/>
      <name val="Calibri"/>
      <family val="2"/>
      <scheme val="minor"/>
    </font>
    <font>
      <b/>
      <u/>
      <sz val="18"/>
      <name val="Calibri"/>
      <family val="2"/>
      <scheme val="minor"/>
    </font>
    <font>
      <b/>
      <strike/>
      <sz val="18"/>
      <name val="Calibri"/>
      <family val="2"/>
      <scheme val="minor"/>
    </font>
    <font>
      <sz val="7"/>
      <color rgb="FFFF0000"/>
      <name val="Calibri"/>
      <family val="2"/>
      <scheme val="minor"/>
    </font>
    <font>
      <i/>
      <sz val="7"/>
      <name val="Calibri"/>
      <family val="2"/>
      <scheme val="minor"/>
    </font>
    <font>
      <sz val="10"/>
      <name val="Arial"/>
      <family val="2"/>
    </font>
    <font>
      <b/>
      <sz val="8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</font>
    <font>
      <b/>
      <sz val="7"/>
      <name val="Calibri"/>
      <family val="2"/>
      <scheme val="minor"/>
    </font>
    <font>
      <u/>
      <sz val="7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</font>
    <font>
      <sz val="8"/>
      <name val="Wingdings 3"/>
      <family val="1"/>
      <charset val="2"/>
    </font>
    <font>
      <sz val="6"/>
      <name val="Calibri"/>
      <family val="2"/>
      <scheme val="minor"/>
    </font>
    <font>
      <sz val="9"/>
      <name val="Calibri"/>
      <family val="2"/>
      <scheme val="minor"/>
    </font>
    <font>
      <sz val="10"/>
      <color theme="8" tint="0.39997558519241921"/>
      <name val="Arial"/>
      <family val="2"/>
    </font>
    <font>
      <sz val="11"/>
      <name val="Arial"/>
      <family val="2"/>
    </font>
    <font>
      <u/>
      <sz val="10"/>
      <color rgb="FFFF0000"/>
      <name val="Calibri"/>
      <family val="2"/>
      <scheme val="minor"/>
    </font>
    <font>
      <b/>
      <sz val="9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9"/>
      </left>
      <right/>
      <top/>
      <bottom style="hair">
        <color theme="1"/>
      </bottom>
      <diagonal/>
    </border>
    <border>
      <left/>
      <right/>
      <top/>
      <bottom style="hair">
        <color theme="1"/>
      </bottom>
      <diagonal/>
    </border>
    <border>
      <left/>
      <right style="medium">
        <color indexed="64"/>
      </right>
      <top/>
      <bottom style="hair">
        <color theme="1"/>
      </bottom>
      <diagonal/>
    </border>
    <border>
      <left style="thin">
        <color indexed="9"/>
      </left>
      <right/>
      <top style="medium">
        <color indexed="64"/>
      </top>
      <bottom style="hair">
        <color theme="1"/>
      </bottom>
      <diagonal/>
    </border>
    <border>
      <left/>
      <right/>
      <top style="medium">
        <color indexed="64"/>
      </top>
      <bottom style="hair">
        <color theme="1"/>
      </bottom>
      <diagonal/>
    </border>
    <border>
      <left/>
      <right/>
      <top style="hair">
        <color theme="1"/>
      </top>
      <bottom style="hair">
        <color indexed="64"/>
      </bottom>
      <diagonal/>
    </border>
    <border>
      <left style="thin">
        <color theme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8">
    <xf numFmtId="0" fontId="0" fillId="0" borderId="0" xfId="0"/>
    <xf numFmtId="0" fontId="6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 wrapText="1"/>
    </xf>
    <xf numFmtId="0" fontId="9" fillId="0" borderId="0" xfId="0" applyFont="1" applyBorder="1" applyAlignment="1">
      <alignment horizontal="left" vertical="center"/>
    </xf>
    <xf numFmtId="0" fontId="7" fillId="0" borderId="5" xfId="0" applyFont="1" applyBorder="1" applyAlignment="1">
      <alignment vertical="center"/>
    </xf>
    <xf numFmtId="165" fontId="8" fillId="0" borderId="0" xfId="0" applyNumberFormat="1" applyFont="1" applyBorder="1" applyAlignment="1" applyProtection="1">
      <alignment vertical="center"/>
      <protection locked="0"/>
    </xf>
    <xf numFmtId="165" fontId="8" fillId="0" borderId="0" xfId="0" applyNumberFormat="1" applyFont="1" applyBorder="1" applyAlignment="1">
      <alignment vertical="center"/>
    </xf>
    <xf numFmtId="0" fontId="7" fillId="0" borderId="16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17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8" xfId="0" applyFont="1" applyBorder="1" applyAlignment="1"/>
    <xf numFmtId="0" fontId="7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19" fillId="0" borderId="0" xfId="0" applyFont="1"/>
    <xf numFmtId="0" fontId="26" fillId="0" borderId="0" xfId="0" applyFont="1" applyBorder="1" applyAlignment="1">
      <alignment horizontal="left" vertical="center"/>
    </xf>
    <xf numFmtId="0" fontId="27" fillId="0" borderId="0" xfId="0" applyFont="1" applyBorder="1" applyAlignment="1" applyProtection="1">
      <alignment horizontal="right" vertical="top"/>
      <protection locked="0"/>
    </xf>
    <xf numFmtId="0" fontId="13" fillId="0" borderId="0" xfId="0" applyFont="1" applyBorder="1" applyAlignment="1" applyProtection="1">
      <alignment vertical="top"/>
      <protection locked="0"/>
    </xf>
    <xf numFmtId="0" fontId="26" fillId="0" borderId="0" xfId="0" applyFont="1" applyBorder="1" applyAlignment="1">
      <alignment vertical="center"/>
    </xf>
    <xf numFmtId="0" fontId="0" fillId="0" borderId="0" xfId="0" applyBorder="1"/>
    <xf numFmtId="0" fontId="7" fillId="2" borderId="49" xfId="0" applyFont="1" applyFill="1" applyBorder="1" applyAlignment="1" applyProtection="1">
      <alignment horizontal="center" vertical="center"/>
    </xf>
    <xf numFmtId="0" fontId="7" fillId="2" borderId="22" xfId="0" applyFont="1" applyFill="1" applyBorder="1" applyAlignment="1" applyProtection="1">
      <alignment horizontal="center" vertical="center"/>
    </xf>
    <xf numFmtId="0" fontId="7" fillId="2" borderId="22" xfId="0" applyFont="1" applyFill="1" applyBorder="1" applyAlignment="1" applyProtection="1">
      <alignment horizontal="center" vertical="center" wrapText="1"/>
    </xf>
    <xf numFmtId="0" fontId="8" fillId="0" borderId="7" xfId="0" applyFont="1" applyBorder="1" applyAlignment="1" applyProtection="1">
      <alignment horizontal="left" vertical="center" wrapText="1"/>
    </xf>
    <xf numFmtId="0" fontId="8" fillId="0" borderId="12" xfId="0" applyFont="1" applyBorder="1" applyAlignment="1" applyProtection="1">
      <alignment horizontal="left" vertical="center" wrapText="1"/>
    </xf>
    <xf numFmtId="0" fontId="8" fillId="0" borderId="19" xfId="0" applyFont="1" applyBorder="1" applyAlignment="1" applyProtection="1">
      <alignment vertical="center"/>
    </xf>
    <xf numFmtId="0" fontId="0" fillId="0" borderId="8" xfId="0" applyBorder="1" applyAlignment="1" applyProtection="1">
      <alignment vertical="center"/>
    </xf>
    <xf numFmtId="0" fontId="6" fillId="0" borderId="8" xfId="0" applyFont="1" applyBorder="1" applyAlignment="1" applyProtection="1">
      <alignment vertical="center"/>
    </xf>
    <xf numFmtId="0" fontId="0" fillId="0" borderId="20" xfId="0" applyBorder="1" applyAlignment="1" applyProtection="1">
      <alignment vertical="center"/>
    </xf>
    <xf numFmtId="0" fontId="4" fillId="0" borderId="8" xfId="0" applyFont="1" applyBorder="1" applyAlignment="1" applyProtection="1">
      <alignment vertical="center"/>
    </xf>
    <xf numFmtId="0" fontId="2" fillId="0" borderId="8" xfId="0" applyFont="1" applyBorder="1" applyAlignment="1" applyProtection="1">
      <alignment vertical="center"/>
    </xf>
    <xf numFmtId="0" fontId="6" fillId="0" borderId="8" xfId="0" applyFont="1" applyBorder="1" applyAlignment="1" applyProtection="1">
      <alignment vertical="top"/>
    </xf>
    <xf numFmtId="0" fontId="12" fillId="0" borderId="8" xfId="0" applyFont="1" applyBorder="1" applyAlignment="1" applyProtection="1">
      <alignment vertical="center"/>
    </xf>
    <xf numFmtId="0" fontId="10" fillId="0" borderId="8" xfId="0" applyFont="1" applyBorder="1" applyAlignment="1" applyProtection="1">
      <alignment vertical="center"/>
    </xf>
    <xf numFmtId="0" fontId="12" fillId="0" borderId="20" xfId="0" applyFont="1" applyBorder="1" applyAlignment="1" applyProtection="1">
      <alignment vertical="center"/>
    </xf>
    <xf numFmtId="0" fontId="23" fillId="0" borderId="0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center"/>
    </xf>
    <xf numFmtId="0" fontId="23" fillId="0" borderId="41" xfId="0" applyFont="1" applyBorder="1" applyAlignment="1" applyProtection="1">
      <alignment vertical="top"/>
    </xf>
    <xf numFmtId="0" fontId="1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top"/>
    </xf>
    <xf numFmtId="0" fontId="6" fillId="0" borderId="3" xfId="0" applyFont="1" applyBorder="1" applyAlignment="1" applyProtection="1"/>
    <xf numFmtId="0" fontId="6" fillId="0" borderId="41" xfId="0" applyFont="1" applyBorder="1" applyAlignment="1" applyProtection="1">
      <alignment vertical="top"/>
    </xf>
    <xf numFmtId="0" fontId="6" fillId="0" borderId="48" xfId="0" applyFont="1" applyBorder="1" applyAlignment="1" applyProtection="1">
      <alignment vertical="top"/>
    </xf>
    <xf numFmtId="0" fontId="11" fillId="0" borderId="0" xfId="0" applyFont="1" applyBorder="1" applyAlignment="1" applyProtection="1">
      <alignment vertical="top"/>
    </xf>
    <xf numFmtId="0" fontId="26" fillId="0" borderId="0" xfId="0" applyFont="1" applyBorder="1" applyAlignment="1" applyProtection="1">
      <alignment vertical="center"/>
    </xf>
    <xf numFmtId="0" fontId="27" fillId="0" borderId="0" xfId="0" applyFont="1" applyBorder="1" applyAlignment="1" applyProtection="1">
      <alignment horizontal="right" vertical="top"/>
    </xf>
    <xf numFmtId="0" fontId="13" fillId="0" borderId="0" xfId="0" applyFont="1" applyBorder="1" applyAlignment="1" applyProtection="1">
      <alignment vertical="top"/>
    </xf>
    <xf numFmtId="0" fontId="29" fillId="0" borderId="41" xfId="0" applyFont="1" applyBorder="1" applyAlignment="1" applyProtection="1">
      <alignment vertical="top"/>
    </xf>
    <xf numFmtId="0" fontId="12" fillId="3" borderId="0" xfId="0" applyFont="1" applyFill="1" applyBorder="1" applyAlignment="1" applyProtection="1">
      <alignment horizontal="center" vertical="center"/>
    </xf>
    <xf numFmtId="0" fontId="6" fillId="0" borderId="20" xfId="0" applyFont="1" applyBorder="1" applyAlignment="1" applyProtection="1">
      <alignment vertical="top"/>
    </xf>
    <xf numFmtId="0" fontId="4" fillId="0" borderId="6" xfId="0" applyFont="1" applyBorder="1" applyAlignment="1" applyProtection="1">
      <alignment vertical="center"/>
    </xf>
    <xf numFmtId="0" fontId="1" fillId="0" borderId="7" xfId="0" applyFont="1" applyBorder="1" applyAlignment="1" applyProtection="1">
      <alignment vertical="center"/>
    </xf>
    <xf numFmtId="0" fontId="6" fillId="0" borderId="7" xfId="0" applyFont="1" applyBorder="1" applyAlignment="1" applyProtection="1"/>
    <xf numFmtId="0" fontId="6" fillId="0" borderId="7" xfId="0" applyFont="1" applyBorder="1" applyAlignment="1" applyProtection="1">
      <alignment vertical="top"/>
    </xf>
    <xf numFmtId="0" fontId="6" fillId="0" borderId="7" xfId="0" applyFont="1" applyBorder="1" applyAlignment="1" applyProtection="1">
      <alignment vertical="center"/>
    </xf>
    <xf numFmtId="0" fontId="6" fillId="0" borderId="12" xfId="0" applyFont="1" applyBorder="1" applyAlignment="1" applyProtection="1"/>
    <xf numFmtId="0" fontId="13" fillId="0" borderId="8" xfId="0" applyFont="1" applyBorder="1" applyAlignment="1" applyProtection="1">
      <alignment vertical="center"/>
    </xf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/>
    <xf numFmtId="0" fontId="5" fillId="2" borderId="22" xfId="0" applyFont="1" applyFill="1" applyBorder="1" applyAlignment="1" applyProtection="1">
      <alignment horizontal="center" vertical="center" wrapText="1"/>
    </xf>
    <xf numFmtId="0" fontId="4" fillId="2" borderId="22" xfId="0" applyFont="1" applyFill="1" applyBorder="1" applyAlignment="1" applyProtection="1">
      <alignment horizontal="center" vertical="center" wrapText="1"/>
    </xf>
    <xf numFmtId="0" fontId="7" fillId="0" borderId="2" xfId="0" applyFont="1" applyBorder="1" applyAlignment="1" applyProtection="1">
      <alignment vertical="center" wrapText="1"/>
    </xf>
    <xf numFmtId="0" fontId="7" fillId="0" borderId="9" xfId="0" applyFont="1" applyBorder="1" applyAlignment="1" applyProtection="1">
      <alignment vertical="center" wrapText="1"/>
    </xf>
    <xf numFmtId="0" fontId="7" fillId="0" borderId="11" xfId="0" applyFont="1" applyBorder="1" applyAlignment="1" applyProtection="1">
      <alignment vertical="center" wrapText="1"/>
    </xf>
    <xf numFmtId="0" fontId="4" fillId="2" borderId="23" xfId="0" applyFont="1" applyFill="1" applyBorder="1" applyAlignment="1" applyProtection="1">
      <alignment horizontal="center" vertical="center" wrapText="1"/>
    </xf>
    <xf numFmtId="0" fontId="1" fillId="0" borderId="13" xfId="0" applyFont="1" applyBorder="1" applyAlignment="1" applyProtection="1">
      <alignment vertical="center" wrapText="1"/>
    </xf>
    <xf numFmtId="0" fontId="1" fillId="0" borderId="14" xfId="0" applyFont="1" applyBorder="1" applyAlignment="1" applyProtection="1">
      <alignment vertical="center" wrapText="1"/>
    </xf>
    <xf numFmtId="0" fontId="1" fillId="0" borderId="15" xfId="0" applyFont="1" applyBorder="1" applyAlignment="1" applyProtection="1">
      <alignment vertical="center" wrapText="1"/>
    </xf>
    <xf numFmtId="0" fontId="12" fillId="3" borderId="0" xfId="0" applyFont="1" applyFill="1" applyBorder="1" applyAlignment="1" applyProtection="1">
      <alignment vertical="top"/>
      <protection locked="0"/>
    </xf>
    <xf numFmtId="0" fontId="7" fillId="0" borderId="30" xfId="0" applyFont="1" applyBorder="1" applyAlignment="1" applyProtection="1">
      <alignment horizontal="center" vertical="center"/>
    </xf>
    <xf numFmtId="0" fontId="13" fillId="0" borderId="30" xfId="0" applyFont="1" applyBorder="1" applyAlignment="1" applyProtection="1">
      <alignment vertical="center"/>
    </xf>
    <xf numFmtId="0" fontId="6" fillId="0" borderId="30" xfId="0" applyFont="1" applyBorder="1" applyAlignment="1" applyProtection="1">
      <alignment vertical="center"/>
    </xf>
    <xf numFmtId="0" fontId="6" fillId="0" borderId="30" xfId="0" applyFont="1" applyBorder="1" applyAlignment="1" applyProtection="1">
      <alignment horizontal="left" vertical="center" wrapText="1"/>
    </xf>
    <xf numFmtId="0" fontId="6" fillId="0" borderId="47" xfId="0" applyFont="1" applyBorder="1" applyAlignment="1" applyProtection="1">
      <alignment horizontal="left" vertical="center" wrapText="1"/>
    </xf>
    <xf numFmtId="0" fontId="7" fillId="0" borderId="0" xfId="0" applyFont="1" applyAlignment="1" applyProtection="1"/>
    <xf numFmtId="164" fontId="8" fillId="0" borderId="0" xfId="0" applyNumberFormat="1" applyFont="1" applyBorder="1" applyAlignment="1" applyProtection="1"/>
    <xf numFmtId="0" fontId="8" fillId="0" borderId="0" xfId="0" applyFont="1" applyBorder="1" applyAlignment="1" applyProtection="1">
      <alignment horizontal="center" vertical="center" wrapText="1"/>
    </xf>
    <xf numFmtId="0" fontId="8" fillId="0" borderId="0" xfId="0" applyFont="1" applyBorder="1" applyAlignment="1" applyProtection="1">
      <alignment vertical="center" wrapText="1"/>
    </xf>
    <xf numFmtId="0" fontId="10" fillId="0" borderId="0" xfId="0" applyFont="1" applyAlignment="1" applyProtection="1">
      <alignment horizontal="right" vertical="center"/>
    </xf>
    <xf numFmtId="0" fontId="10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 wrapText="1"/>
    </xf>
    <xf numFmtId="0" fontId="8" fillId="0" borderId="0" xfId="0" applyFont="1" applyAlignment="1" applyProtection="1">
      <alignment vertical="center"/>
    </xf>
    <xf numFmtId="0" fontId="6" fillId="0" borderId="7" xfId="0" applyFont="1" applyBorder="1" applyAlignment="1" applyProtection="1">
      <alignment vertical="top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9" fillId="0" borderId="5" xfId="0" applyFont="1" applyBorder="1" applyAlignment="1" applyProtection="1">
      <alignment vertical="top" wrapText="1"/>
    </xf>
    <xf numFmtId="0" fontId="25" fillId="0" borderId="0" xfId="0" applyFont="1" applyBorder="1" applyAlignment="1" applyProtection="1">
      <alignment vertical="top" wrapText="1"/>
    </xf>
    <xf numFmtId="0" fontId="6" fillId="0" borderId="0" xfId="0" applyFont="1" applyBorder="1" applyAlignment="1" applyProtection="1">
      <alignment vertical="top" wrapText="1"/>
    </xf>
    <xf numFmtId="0" fontId="6" fillId="0" borderId="50" xfId="0" applyFont="1" applyBorder="1" applyAlignment="1" applyProtection="1">
      <alignment vertical="top" wrapText="1"/>
    </xf>
    <xf numFmtId="0" fontId="6" fillId="0" borderId="0" xfId="0" applyFont="1" applyBorder="1" applyAlignment="1" applyProtection="1">
      <alignment vertical="center"/>
      <protection locked="0"/>
    </xf>
    <xf numFmtId="164" fontId="8" fillId="0" borderId="1" xfId="0" applyNumberFormat="1" applyFont="1" applyBorder="1" applyAlignment="1" applyProtection="1"/>
    <xf numFmtId="0" fontId="8" fillId="0" borderId="1" xfId="0" applyFont="1" applyBorder="1" applyAlignment="1" applyProtection="1">
      <alignment horizontal="center" vertical="center" wrapText="1"/>
    </xf>
    <xf numFmtId="0" fontId="8" fillId="0" borderId="1" xfId="0" applyFont="1" applyBorder="1" applyAlignment="1" applyProtection="1">
      <alignment vertical="center" wrapText="1"/>
    </xf>
    <xf numFmtId="0" fontId="10" fillId="0" borderId="1" xfId="0" applyFont="1" applyBorder="1" applyAlignment="1" applyProtection="1">
      <alignment horizontal="right" vertical="center"/>
    </xf>
    <xf numFmtId="0" fontId="10" fillId="0" borderId="1" xfId="0" applyFont="1" applyBorder="1" applyAlignment="1" applyProtection="1">
      <alignment vertical="center"/>
    </xf>
    <xf numFmtId="0" fontId="6" fillId="0" borderId="1" xfId="0" applyFont="1" applyBorder="1" applyAlignment="1" applyProtection="1">
      <alignment horizontal="left" vertical="center" wrapText="1"/>
    </xf>
    <xf numFmtId="0" fontId="8" fillId="0" borderId="4" xfId="0" applyFont="1" applyBorder="1" applyAlignment="1" applyProtection="1">
      <alignment vertical="center"/>
    </xf>
    <xf numFmtId="0" fontId="7" fillId="4" borderId="9" xfId="0" applyFont="1" applyFill="1" applyBorder="1" applyAlignment="1" applyProtection="1">
      <alignment vertical="center"/>
    </xf>
    <xf numFmtId="0" fontId="4" fillId="0" borderId="14" xfId="0" applyFont="1" applyBorder="1" applyAlignment="1" applyProtection="1">
      <alignment vertical="center" wrapText="1"/>
    </xf>
    <xf numFmtId="0" fontId="4" fillId="0" borderId="14" xfId="0" applyFont="1" applyBorder="1" applyAlignment="1" applyProtection="1">
      <alignment horizontal="center" vertical="center" wrapText="1"/>
    </xf>
    <xf numFmtId="0" fontId="7" fillId="0" borderId="7" xfId="0" applyFont="1" applyBorder="1" applyAlignment="1" applyProtection="1">
      <alignment vertical="center"/>
    </xf>
    <xf numFmtId="0" fontId="1" fillId="0" borderId="19" xfId="0" applyFont="1" applyBorder="1" applyAlignment="1" applyProtection="1">
      <alignment vertical="center"/>
    </xf>
    <xf numFmtId="0" fontId="7" fillId="0" borderId="8" xfId="0" applyFont="1" applyBorder="1" applyAlignment="1" applyProtection="1">
      <alignment vertical="center"/>
    </xf>
    <xf numFmtId="0" fontId="12" fillId="3" borderId="8" xfId="0" applyFont="1" applyFill="1" applyBorder="1" applyAlignment="1" applyProtection="1">
      <alignment horizontal="center" wrapText="1"/>
      <protection locked="0"/>
    </xf>
    <xf numFmtId="0" fontId="6" fillId="0" borderId="8" xfId="0" applyFont="1" applyBorder="1" applyAlignment="1" applyProtection="1">
      <alignment vertical="top"/>
      <protection locked="0"/>
    </xf>
    <xf numFmtId="0" fontId="8" fillId="0" borderId="6" xfId="0" applyFont="1" applyBorder="1" applyAlignment="1" applyProtection="1">
      <alignment horizontal="left" vertical="center"/>
    </xf>
    <xf numFmtId="0" fontId="7" fillId="0" borderId="9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horizontal="left" vertical="top"/>
    </xf>
    <xf numFmtId="0" fontId="35" fillId="0" borderId="16" xfId="0" applyFont="1" applyBorder="1" applyAlignment="1">
      <alignment horizontal="center" vertical="center"/>
    </xf>
    <xf numFmtId="0" fontId="8" fillId="0" borderId="26" xfId="0" applyFont="1" applyBorder="1" applyAlignment="1">
      <alignment vertical="center"/>
    </xf>
    <xf numFmtId="0" fontId="34" fillId="0" borderId="26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8" fillId="0" borderId="2" xfId="0" applyFont="1" applyBorder="1" applyAlignment="1" applyProtection="1">
      <alignment horizontal="center" vertical="center"/>
      <protection locked="0"/>
    </xf>
    <xf numFmtId="0" fontId="8" fillId="0" borderId="9" xfId="0" applyFont="1" applyBorder="1" applyAlignment="1" applyProtection="1">
      <alignment horizontal="center" vertical="center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0" fontId="7" fillId="2" borderId="29" xfId="0" applyFont="1" applyFill="1" applyBorder="1" applyAlignment="1" applyProtection="1">
      <alignment horizontal="center" vertical="center"/>
    </xf>
    <xf numFmtId="0" fontId="8" fillId="0" borderId="7" xfId="0" applyFont="1" applyBorder="1" applyAlignment="1" applyProtection="1">
      <alignment vertical="center" wrapText="1"/>
      <protection locked="0"/>
    </xf>
    <xf numFmtId="0" fontId="7" fillId="2" borderId="53" xfId="0" applyFont="1" applyFill="1" applyBorder="1" applyAlignment="1" applyProtection="1">
      <alignment horizontal="center" vertical="center" wrapText="1"/>
    </xf>
    <xf numFmtId="0" fontId="8" fillId="0" borderId="12" xfId="0" applyFont="1" applyBorder="1" applyAlignment="1" applyProtection="1">
      <alignment vertical="center" wrapText="1"/>
      <protection locked="0"/>
    </xf>
    <xf numFmtId="164" fontId="8" fillId="0" borderId="7" xfId="0" applyNumberFormat="1" applyFont="1" applyBorder="1" applyAlignment="1" applyProtection="1"/>
    <xf numFmtId="0" fontId="8" fillId="0" borderId="7" xfId="0" applyFont="1" applyBorder="1" applyAlignment="1" applyProtection="1">
      <alignment vertical="center" wrapText="1"/>
    </xf>
    <xf numFmtId="0" fontId="10" fillId="0" borderId="7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/>
    </xf>
    <xf numFmtId="0" fontId="8" fillId="0" borderId="7" xfId="0" applyFont="1" applyBorder="1" applyAlignment="1" applyProtection="1">
      <alignment vertical="center"/>
    </xf>
    <xf numFmtId="0" fontId="8" fillId="0" borderId="12" xfId="0" applyFont="1" applyBorder="1" applyAlignment="1" applyProtection="1">
      <alignment vertical="center"/>
    </xf>
    <xf numFmtId="0" fontId="12" fillId="2" borderId="22" xfId="0" applyFont="1" applyFill="1" applyBorder="1" applyAlignment="1" applyProtection="1">
      <alignment horizontal="center" vertical="center" wrapText="1"/>
    </xf>
    <xf numFmtId="0" fontId="15" fillId="2" borderId="17" xfId="0" applyFont="1" applyFill="1" applyBorder="1" applyAlignment="1" applyProtection="1">
      <alignment horizontal="center" vertical="center"/>
    </xf>
    <xf numFmtId="0" fontId="16" fillId="2" borderId="30" xfId="0" applyFont="1" applyFill="1" applyBorder="1" applyAlignment="1" applyProtection="1">
      <alignment horizontal="center" vertical="center"/>
    </xf>
    <xf numFmtId="0" fontId="16" fillId="2" borderId="47" xfId="0" applyFont="1" applyFill="1" applyBorder="1" applyAlignment="1" applyProtection="1">
      <alignment horizontal="center" vertical="center"/>
    </xf>
    <xf numFmtId="0" fontId="14" fillId="2" borderId="2" xfId="0" applyFont="1" applyFill="1" applyBorder="1" applyAlignment="1" applyProtection="1">
      <alignment horizontal="left" vertical="center"/>
    </xf>
    <xf numFmtId="0" fontId="14" fillId="2" borderId="9" xfId="0" applyFont="1" applyFill="1" applyBorder="1" applyAlignment="1" applyProtection="1">
      <alignment horizontal="left" vertical="center"/>
    </xf>
    <xf numFmtId="0" fontId="14" fillId="2" borderId="10" xfId="0" applyFont="1" applyFill="1" applyBorder="1" applyAlignment="1" applyProtection="1">
      <alignment horizontal="left" vertical="center"/>
    </xf>
    <xf numFmtId="14" fontId="8" fillId="0" borderId="2" xfId="0" applyNumberFormat="1" applyFont="1" applyBorder="1" applyAlignment="1" applyProtection="1">
      <alignment horizontal="center" vertical="center" wrapText="1"/>
      <protection locked="0"/>
    </xf>
    <xf numFmtId="0" fontId="8" fillId="0" borderId="9" xfId="0" applyFont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 applyProtection="1">
      <alignment horizontal="center" vertical="center" wrapText="1"/>
      <protection locked="0"/>
    </xf>
    <xf numFmtId="0" fontId="14" fillId="2" borderId="2" xfId="0" applyFont="1" applyFill="1" applyBorder="1" applyAlignment="1" applyProtection="1">
      <alignment horizontal="center" vertical="center" wrapText="1"/>
    </xf>
    <xf numFmtId="0" fontId="14" fillId="2" borderId="9" xfId="0" applyFont="1" applyFill="1" applyBorder="1" applyAlignment="1" applyProtection="1">
      <alignment horizontal="center" vertical="center" wrapText="1"/>
    </xf>
    <xf numFmtId="0" fontId="14" fillId="2" borderId="10" xfId="0" applyFont="1" applyFill="1" applyBorder="1" applyAlignment="1" applyProtection="1">
      <alignment horizontal="center" vertical="center" wrapText="1"/>
    </xf>
    <xf numFmtId="0" fontId="7" fillId="2" borderId="2" xfId="0" applyFont="1" applyFill="1" applyBorder="1" applyAlignment="1" applyProtection="1">
      <alignment horizontal="center" vertical="center" wrapText="1"/>
    </xf>
    <xf numFmtId="0" fontId="7" fillId="2" borderId="9" xfId="0" applyFont="1" applyFill="1" applyBorder="1" applyAlignment="1" applyProtection="1">
      <alignment horizontal="center" vertical="center" wrapText="1"/>
    </xf>
    <xf numFmtId="0" fontId="7" fillId="2" borderId="10" xfId="0" applyFont="1" applyFill="1" applyBorder="1" applyAlignment="1" applyProtection="1">
      <alignment horizontal="center" vertical="center" wrapText="1"/>
    </xf>
    <xf numFmtId="0" fontId="19" fillId="0" borderId="2" xfId="0" applyFont="1" applyBorder="1" applyAlignment="1" applyProtection="1">
      <alignment horizontal="center" vertical="center" wrapText="1"/>
      <protection locked="0"/>
    </xf>
    <xf numFmtId="0" fontId="0" fillId="0" borderId="9" xfId="0" applyBorder="1" applyAlignment="1" applyProtection="1">
      <alignment vertical="center" wrapText="1"/>
      <protection locked="0"/>
    </xf>
    <xf numFmtId="0" fontId="0" fillId="0" borderId="11" xfId="0" applyBorder="1" applyAlignment="1" applyProtection="1">
      <alignment vertical="center" wrapText="1"/>
      <protection locked="0"/>
    </xf>
    <xf numFmtId="0" fontId="9" fillId="0" borderId="43" xfId="0" applyFont="1" applyBorder="1" applyAlignment="1" applyProtection="1">
      <alignment horizontal="left" vertical="top" wrapText="1"/>
    </xf>
    <xf numFmtId="0" fontId="9" fillId="0" borderId="7" xfId="0" applyFont="1" applyBorder="1" applyAlignment="1" applyProtection="1">
      <alignment horizontal="left" vertical="top" wrapText="1"/>
    </xf>
    <xf numFmtId="0" fontId="9" fillId="0" borderId="44" xfId="0" applyFont="1" applyBorder="1" applyAlignment="1" applyProtection="1">
      <alignment horizontal="left" vertical="top" wrapText="1"/>
    </xf>
    <xf numFmtId="0" fontId="9" fillId="0" borderId="6" xfId="0" applyFont="1" applyBorder="1" applyAlignment="1" applyProtection="1">
      <alignment horizontal="left" vertical="top" wrapText="1"/>
    </xf>
    <xf numFmtId="0" fontId="7" fillId="2" borderId="6" xfId="0" applyFont="1" applyFill="1" applyBorder="1" applyAlignment="1" applyProtection="1">
      <alignment horizontal="center" vertical="center" wrapText="1"/>
    </xf>
    <xf numFmtId="0" fontId="7" fillId="2" borderId="7" xfId="0" applyFont="1" applyFill="1" applyBorder="1" applyAlignment="1" applyProtection="1">
      <alignment horizontal="center" vertical="center" wrapText="1"/>
    </xf>
    <xf numFmtId="0" fontId="7" fillId="2" borderId="44" xfId="0" applyFont="1" applyFill="1" applyBorder="1" applyAlignment="1" applyProtection="1">
      <alignment horizontal="center" vertical="center" wrapText="1"/>
    </xf>
    <xf numFmtId="0" fontId="8" fillId="0" borderId="6" xfId="0" applyFont="1" applyBorder="1" applyAlignment="1" applyProtection="1">
      <alignment horizontal="center" vertical="center" wrapText="1"/>
      <protection locked="0"/>
    </xf>
    <xf numFmtId="0" fontId="8" fillId="0" borderId="44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left" vertical="center"/>
    </xf>
    <xf numFmtId="0" fontId="12" fillId="0" borderId="3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28" fillId="0" borderId="0" xfId="0" applyFont="1" applyBorder="1" applyAlignment="1" applyProtection="1">
      <alignment horizontal="left" vertical="top" wrapText="1"/>
    </xf>
    <xf numFmtId="0" fontId="28" fillId="0" borderId="3" xfId="0" applyFont="1" applyBorder="1" applyAlignment="1" applyProtection="1">
      <alignment horizontal="left" vertical="top" wrapText="1"/>
    </xf>
    <xf numFmtId="0" fontId="7" fillId="2" borderId="29" xfId="0" applyFont="1" applyFill="1" applyBorder="1" applyAlignment="1" applyProtection="1">
      <alignment horizontal="center" vertical="center" wrapText="1"/>
    </xf>
    <xf numFmtId="0" fontId="7" fillId="2" borderId="21" xfId="0" applyFont="1" applyFill="1" applyBorder="1" applyAlignment="1" applyProtection="1">
      <alignment horizontal="center" vertical="center" wrapText="1"/>
    </xf>
    <xf numFmtId="0" fontId="4" fillId="2" borderId="29" xfId="0" applyFont="1" applyFill="1" applyBorder="1" applyAlignment="1" applyProtection="1">
      <alignment horizontal="center" vertical="center"/>
    </xf>
    <xf numFmtId="0" fontId="4" fillId="2" borderId="28" xfId="0" applyFont="1" applyFill="1" applyBorder="1" applyAlignment="1" applyProtection="1">
      <alignment horizontal="center" vertical="center"/>
    </xf>
    <xf numFmtId="0" fontId="4" fillId="2" borderId="21" xfId="0" applyFont="1" applyFill="1" applyBorder="1" applyAlignment="1" applyProtection="1">
      <alignment horizontal="center" vertical="center"/>
    </xf>
    <xf numFmtId="0" fontId="22" fillId="0" borderId="6" xfId="0" applyFont="1" applyBorder="1" applyAlignment="1" applyProtection="1">
      <alignment vertical="center"/>
      <protection locked="0"/>
    </xf>
    <xf numFmtId="0" fontId="19" fillId="0" borderId="7" xfId="0" applyFont="1" applyBorder="1" applyAlignment="1" applyProtection="1">
      <alignment vertical="center"/>
      <protection locked="0"/>
    </xf>
    <xf numFmtId="0" fontId="19" fillId="0" borderId="7" xfId="0" applyFont="1" applyBorder="1" applyAlignment="1" applyProtection="1">
      <protection locked="0"/>
    </xf>
    <xf numFmtId="0" fontId="12" fillId="0" borderId="7" xfId="0" applyFont="1" applyBorder="1" applyAlignment="1" applyProtection="1">
      <alignment vertical="top"/>
      <protection locked="0"/>
    </xf>
    <xf numFmtId="0" fontId="21" fillId="0" borderId="7" xfId="0" applyFont="1" applyBorder="1" applyAlignment="1" applyProtection="1"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0" fillId="0" borderId="7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0" fontId="22" fillId="0" borderId="19" xfId="0" applyFont="1" applyBorder="1" applyAlignment="1" applyProtection="1">
      <alignment vertical="center"/>
      <protection locked="0"/>
    </xf>
    <xf numFmtId="0" fontId="19" fillId="0" borderId="8" xfId="0" applyFont="1" applyBorder="1" applyAlignment="1" applyProtection="1">
      <alignment vertical="center"/>
      <protection locked="0"/>
    </xf>
    <xf numFmtId="0" fontId="19" fillId="0" borderId="8" xfId="0" applyFont="1" applyBorder="1" applyAlignment="1" applyProtection="1">
      <protection locked="0"/>
    </xf>
    <xf numFmtId="0" fontId="8" fillId="0" borderId="7" xfId="0" applyFont="1" applyBorder="1" applyAlignment="1" applyProtection="1">
      <alignment horizontal="center" vertical="center" wrapText="1"/>
      <protection locked="0"/>
    </xf>
    <xf numFmtId="0" fontId="7" fillId="2" borderId="2" xfId="0" applyFont="1" applyFill="1" applyBorder="1" applyAlignment="1" applyProtection="1">
      <alignment horizontal="left" vertical="center" wrapText="1"/>
    </xf>
    <xf numFmtId="0" fontId="7" fillId="2" borderId="9" xfId="0" applyFont="1" applyFill="1" applyBorder="1" applyAlignment="1" applyProtection="1">
      <alignment horizontal="left" vertical="center" wrapText="1"/>
    </xf>
    <xf numFmtId="0" fontId="7" fillId="2" borderId="10" xfId="0" applyFont="1" applyFill="1" applyBorder="1" applyAlignment="1" applyProtection="1">
      <alignment horizontal="left" vertical="center" wrapText="1"/>
    </xf>
    <xf numFmtId="0" fontId="7" fillId="0" borderId="26" xfId="0" applyFont="1" applyBorder="1" applyAlignment="1" applyProtection="1">
      <alignment horizontal="left" vertical="center" wrapText="1"/>
      <protection locked="0"/>
    </xf>
    <xf numFmtId="0" fontId="7" fillId="0" borderId="27" xfId="0" applyFont="1" applyBorder="1" applyAlignment="1" applyProtection="1">
      <alignment horizontal="left" vertical="center" wrapText="1"/>
      <protection locked="0"/>
    </xf>
    <xf numFmtId="0" fontId="7" fillId="0" borderId="16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6" xfId="0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8" fillId="0" borderId="38" xfId="0" applyFont="1" applyBorder="1" applyAlignment="1" applyProtection="1">
      <alignment horizontal="left" vertical="center" wrapText="1"/>
      <protection locked="0"/>
    </xf>
    <xf numFmtId="0" fontId="8" fillId="0" borderId="39" xfId="0" applyFont="1" applyBorder="1" applyAlignment="1" applyProtection="1">
      <alignment horizontal="left" vertical="center" wrapText="1"/>
      <protection locked="0"/>
    </xf>
    <xf numFmtId="0" fontId="8" fillId="0" borderId="40" xfId="0" applyFont="1" applyBorder="1" applyAlignment="1" applyProtection="1">
      <alignment horizontal="left" vertical="center" wrapText="1"/>
      <protection locked="0"/>
    </xf>
    <xf numFmtId="0" fontId="31" fillId="0" borderId="40" xfId="0" applyFont="1" applyBorder="1" applyAlignment="1" applyProtection="1">
      <alignment horizontal="left" vertical="center" wrapText="1"/>
      <protection locked="0"/>
    </xf>
    <xf numFmtId="0" fontId="7" fillId="0" borderId="0" xfId="0" applyFont="1" applyBorder="1" applyAlignment="1">
      <alignment horizontal="center" vertical="center" wrapText="1"/>
    </xf>
    <xf numFmtId="0" fontId="8" fillId="0" borderId="33" xfId="0" applyFont="1" applyBorder="1" applyAlignment="1" applyProtection="1">
      <alignment horizontal="left" vertical="center" wrapText="1"/>
      <protection locked="0"/>
    </xf>
    <xf numFmtId="0" fontId="8" fillId="0" borderId="34" xfId="0" applyFont="1" applyBorder="1" applyAlignment="1" applyProtection="1">
      <alignment horizontal="left" vertical="center" wrapText="1"/>
      <protection locked="0"/>
    </xf>
    <xf numFmtId="0" fontId="8" fillId="0" borderId="35" xfId="0" applyFont="1" applyBorder="1" applyAlignment="1" applyProtection="1">
      <alignment horizontal="left" vertical="center" wrapText="1"/>
      <protection locked="0"/>
    </xf>
    <xf numFmtId="0" fontId="8" fillId="0" borderId="36" xfId="0" applyFont="1" applyBorder="1" applyAlignment="1" applyProtection="1">
      <alignment horizontal="left" vertical="center" wrapText="1"/>
      <protection locked="0"/>
    </xf>
    <xf numFmtId="0" fontId="8" fillId="0" borderId="37" xfId="0" applyFont="1" applyBorder="1" applyAlignment="1" applyProtection="1">
      <alignment horizontal="left" vertical="center" wrapText="1"/>
      <protection locked="0"/>
    </xf>
    <xf numFmtId="14" fontId="8" fillId="0" borderId="19" xfId="0" applyNumberFormat="1" applyFont="1" applyBorder="1" applyAlignment="1" applyProtection="1">
      <alignment horizontal="center" vertical="center" wrapText="1"/>
      <protection locked="0"/>
    </xf>
    <xf numFmtId="0" fontId="8" fillId="0" borderId="32" xfId="0" applyFont="1" applyBorder="1" applyAlignment="1" applyProtection="1">
      <alignment horizontal="center" vertical="center" wrapText="1"/>
      <protection locked="0"/>
    </xf>
    <xf numFmtId="0" fontId="7" fillId="0" borderId="0" xfId="0" applyFont="1" applyBorder="1" applyAlignment="1">
      <alignment horizontal="center" vertical="center"/>
    </xf>
    <xf numFmtId="1" fontId="8" fillId="0" borderId="33" xfId="0" applyNumberFormat="1" applyFont="1" applyBorder="1" applyAlignment="1" applyProtection="1">
      <alignment horizontal="left" vertical="center" wrapText="1"/>
      <protection locked="0"/>
    </xf>
    <xf numFmtId="1" fontId="8" fillId="0" borderId="34" xfId="0" applyNumberFormat="1" applyFont="1" applyBorder="1" applyAlignment="1" applyProtection="1">
      <alignment horizontal="left" vertical="center" wrapText="1"/>
      <protection locked="0"/>
    </xf>
    <xf numFmtId="0" fontId="17" fillId="0" borderId="0" xfId="0" applyFont="1" applyBorder="1" applyAlignment="1" applyProtection="1">
      <alignment horizontal="left" vertical="top" wrapText="1"/>
      <protection locked="0"/>
    </xf>
    <xf numFmtId="0" fontId="0" fillId="0" borderId="0" xfId="0" applyBorder="1"/>
    <xf numFmtId="0" fontId="0" fillId="0" borderId="0" xfId="0" applyBorder="1" applyAlignment="1">
      <alignment vertical="top"/>
    </xf>
    <xf numFmtId="0" fontId="4" fillId="0" borderId="7" xfId="0" applyFont="1" applyBorder="1" applyAlignment="1" applyProtection="1">
      <alignment horizontal="center" vertical="center"/>
    </xf>
    <xf numFmtId="0" fontId="4" fillId="2" borderId="29" xfId="0" applyFont="1" applyFill="1" applyBorder="1" applyAlignment="1" applyProtection="1">
      <alignment horizontal="center" vertical="center" wrapText="1"/>
    </xf>
    <xf numFmtId="0" fontId="4" fillId="2" borderId="28" xfId="0" applyFont="1" applyFill="1" applyBorder="1" applyAlignment="1" applyProtection="1">
      <alignment horizontal="center" vertical="center" wrapText="1"/>
    </xf>
    <xf numFmtId="0" fontId="11" fillId="0" borderId="0" xfId="0" applyFont="1" applyBorder="1" applyAlignment="1" applyProtection="1">
      <alignment horizontal="left" vertical="top"/>
    </xf>
    <xf numFmtId="0" fontId="11" fillId="0" borderId="3" xfId="0" applyFont="1" applyBorder="1" applyAlignment="1" applyProtection="1">
      <alignment horizontal="left" vertical="top"/>
    </xf>
    <xf numFmtId="0" fontId="26" fillId="0" borderId="48" xfId="0" applyFont="1" applyBorder="1" applyAlignment="1" applyProtection="1">
      <alignment horizontal="left" vertical="center"/>
    </xf>
    <xf numFmtId="0" fontId="26" fillId="0" borderId="0" xfId="0" applyFont="1" applyBorder="1" applyAlignment="1" applyProtection="1">
      <alignment horizontal="left" vertical="center"/>
    </xf>
    <xf numFmtId="0" fontId="13" fillId="0" borderId="0" xfId="0" applyFont="1" applyBorder="1" applyAlignment="1" applyProtection="1">
      <alignment horizontal="left" vertical="top"/>
    </xf>
    <xf numFmtId="0" fontId="13" fillId="0" borderId="51" xfId="0" applyFont="1" applyBorder="1" applyAlignment="1" applyProtection="1">
      <alignment horizontal="left" vertical="top"/>
    </xf>
    <xf numFmtId="0" fontId="11" fillId="0" borderId="41" xfId="0" applyFont="1" applyBorder="1" applyAlignment="1" applyProtection="1">
      <alignment horizontal="center" vertical="top" wrapText="1"/>
    </xf>
    <xf numFmtId="0" fontId="11" fillId="0" borderId="0" xfId="0" applyFont="1" applyBorder="1" applyAlignment="1" applyProtection="1">
      <alignment horizontal="center" vertical="top" wrapText="1"/>
    </xf>
    <xf numFmtId="14" fontId="25" fillId="0" borderId="18" xfId="0" applyNumberFormat="1" applyFont="1" applyBorder="1" applyAlignment="1" applyProtection="1">
      <alignment horizontal="left" vertical="top" wrapText="1"/>
      <protection locked="0"/>
    </xf>
    <xf numFmtId="0" fontId="25" fillId="0" borderId="1" xfId="0" applyFont="1" applyBorder="1" applyAlignment="1" applyProtection="1">
      <alignment horizontal="left" vertical="top" wrapText="1"/>
      <protection locked="0"/>
    </xf>
    <xf numFmtId="0" fontId="25" fillId="0" borderId="45" xfId="0" applyFont="1" applyBorder="1" applyAlignment="1" applyProtection="1">
      <alignment horizontal="left" vertical="top" wrapText="1"/>
      <protection locked="0"/>
    </xf>
    <xf numFmtId="0" fontId="25" fillId="0" borderId="46" xfId="0" applyFont="1" applyBorder="1" applyAlignment="1" applyProtection="1">
      <alignment horizontal="left" vertical="top" wrapText="1"/>
      <protection locked="0"/>
    </xf>
    <xf numFmtId="0" fontId="9" fillId="0" borderId="48" xfId="0" applyFont="1" applyBorder="1" applyAlignment="1" applyProtection="1">
      <alignment horizontal="left" vertical="top" wrapText="1"/>
      <protection locked="0"/>
    </xf>
    <xf numFmtId="0" fontId="9" fillId="0" borderId="0" xfId="0" applyFont="1" applyBorder="1" applyAlignment="1" applyProtection="1">
      <alignment horizontal="left" vertical="top" wrapText="1"/>
      <protection locked="0"/>
    </xf>
    <xf numFmtId="0" fontId="9" fillId="0" borderId="50" xfId="0" applyFont="1" applyBorder="1" applyAlignment="1" applyProtection="1">
      <alignment horizontal="left" vertical="top" wrapText="1"/>
      <protection locked="0"/>
    </xf>
    <xf numFmtId="0" fontId="9" fillId="0" borderId="46" xfId="0" applyFont="1" applyBorder="1" applyAlignment="1" applyProtection="1">
      <alignment horizontal="left" vertical="top" wrapText="1"/>
      <protection locked="0"/>
    </xf>
    <xf numFmtId="0" fontId="9" fillId="0" borderId="1" xfId="0" applyFont="1" applyBorder="1" applyAlignment="1" applyProtection="1">
      <alignment horizontal="left" vertical="top" wrapText="1"/>
      <protection locked="0"/>
    </xf>
    <xf numFmtId="0" fontId="9" fillId="0" borderId="45" xfId="0" applyFont="1" applyBorder="1" applyAlignment="1" applyProtection="1">
      <alignment horizontal="left" vertical="top" wrapText="1"/>
      <protection locked="0"/>
    </xf>
    <xf numFmtId="0" fontId="6" fillId="0" borderId="48" xfId="0" applyFont="1" applyBorder="1" applyAlignment="1" applyProtection="1">
      <alignment horizontal="left" vertical="center"/>
      <protection locked="0"/>
    </xf>
    <xf numFmtId="0" fontId="6" fillId="0" borderId="0" xfId="0" applyFont="1" applyBorder="1" applyAlignment="1" applyProtection="1">
      <alignment horizontal="left" vertical="center"/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0" fontId="6" fillId="0" borderId="46" xfId="0" applyFont="1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left" vertical="center"/>
      <protection locked="0"/>
    </xf>
    <xf numFmtId="0" fontId="6" fillId="0" borderId="4" xfId="0" applyFont="1" applyBorder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center" vertical="center" wrapText="1"/>
    </xf>
    <xf numFmtId="0" fontId="0" fillId="0" borderId="9" xfId="0" applyBorder="1" applyProtection="1"/>
    <xf numFmtId="0" fontId="0" fillId="0" borderId="10" xfId="0" applyBorder="1" applyProtection="1"/>
    <xf numFmtId="0" fontId="1" fillId="0" borderId="2" xfId="0" applyFont="1" applyBorder="1" applyAlignment="1" applyProtection="1">
      <alignment horizontal="left" vertical="center" wrapText="1"/>
      <protection locked="0"/>
    </xf>
    <xf numFmtId="0" fontId="1" fillId="0" borderId="9" xfId="0" applyFont="1" applyBorder="1" applyAlignment="1" applyProtection="1">
      <alignment horizontal="left" vertical="center" wrapText="1"/>
      <protection locked="0"/>
    </xf>
    <xf numFmtId="0" fontId="1" fillId="0" borderId="11" xfId="0" applyFont="1" applyBorder="1" applyAlignment="1" applyProtection="1">
      <alignment horizontal="left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</xf>
    <xf numFmtId="0" fontId="9" fillId="0" borderId="48" xfId="0" applyFont="1" applyBorder="1" applyAlignment="1" applyProtection="1">
      <alignment horizontal="left" vertical="top" wrapText="1"/>
    </xf>
    <xf numFmtId="0" fontId="9" fillId="0" borderId="0" xfId="0" applyFont="1" applyBorder="1" applyAlignment="1" applyProtection="1">
      <alignment horizontal="left" vertical="top" wrapText="1"/>
    </xf>
    <xf numFmtId="0" fontId="1" fillId="0" borderId="14" xfId="0" applyFont="1" applyBorder="1" applyAlignment="1" applyProtection="1">
      <alignment horizontal="left" vertical="center" wrapText="1"/>
    </xf>
    <xf numFmtId="0" fontId="7" fillId="2" borderId="42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164" fontId="8" fillId="3" borderId="52" xfId="0" applyNumberFormat="1" applyFont="1" applyFill="1" applyBorder="1" applyAlignment="1" applyProtection="1">
      <alignment horizontal="left" vertical="center"/>
      <protection locked="0"/>
    </xf>
    <xf numFmtId="164" fontId="8" fillId="3" borderId="24" xfId="0" applyNumberFormat="1" applyFont="1" applyFill="1" applyBorder="1" applyAlignment="1" applyProtection="1">
      <alignment horizontal="left" vertical="center"/>
      <protection locked="0"/>
    </xf>
    <xf numFmtId="0" fontId="30" fillId="3" borderId="24" xfId="0" applyFont="1" applyFill="1" applyBorder="1" applyAlignment="1" applyProtection="1">
      <alignment horizontal="center" vertical="center"/>
    </xf>
    <xf numFmtId="0" fontId="30" fillId="3" borderId="25" xfId="0" applyFont="1" applyFill="1" applyBorder="1" applyAlignment="1" applyProtection="1">
      <alignment horizontal="center" vertical="center"/>
    </xf>
    <xf numFmtId="0" fontId="8" fillId="0" borderId="6" xfId="0" applyFont="1" applyBorder="1" applyAlignment="1" applyProtection="1">
      <alignment horizontal="left" vertical="center"/>
    </xf>
    <xf numFmtId="0" fontId="8" fillId="0" borderId="7" xfId="0" applyFont="1" applyBorder="1" applyAlignment="1" applyProtection="1">
      <alignment horizontal="left" vertical="center"/>
    </xf>
    <xf numFmtId="0" fontId="8" fillId="0" borderId="44" xfId="0" applyFont="1" applyBorder="1" applyAlignment="1" applyProtection="1">
      <alignment horizontal="left" vertical="center"/>
    </xf>
    <xf numFmtId="0" fontId="8" fillId="0" borderId="2" xfId="0" applyFont="1" applyBorder="1" applyAlignment="1" applyProtection="1">
      <alignment horizontal="left" vertical="center" wrapText="1"/>
      <protection locked="0"/>
    </xf>
    <xf numFmtId="0" fontId="8" fillId="0" borderId="9" xfId="0" applyFont="1" applyBorder="1" applyAlignment="1" applyProtection="1">
      <alignment horizontal="left" vertical="center" wrapText="1"/>
      <protection locked="0"/>
    </xf>
    <xf numFmtId="0" fontId="8" fillId="0" borderId="10" xfId="0" applyFont="1" applyBorder="1" applyAlignment="1" applyProtection="1">
      <alignment horizontal="left" vertical="center" wrapText="1"/>
      <protection locked="0"/>
    </xf>
    <xf numFmtId="2" fontId="7" fillId="2" borderId="2" xfId="0" applyNumberFormat="1" applyFont="1" applyFill="1" applyBorder="1" applyAlignment="1" applyProtection="1">
      <alignment horizontal="center" vertical="center" wrapText="1"/>
    </xf>
    <xf numFmtId="2" fontId="7" fillId="2" borderId="9" xfId="0" applyNumberFormat="1" applyFont="1" applyFill="1" applyBorder="1" applyAlignment="1" applyProtection="1">
      <alignment horizontal="center" vertical="center" wrapText="1"/>
    </xf>
    <xf numFmtId="2" fontId="7" fillId="2" borderId="10" xfId="0" applyNumberFormat="1" applyFont="1" applyFill="1" applyBorder="1" applyAlignment="1" applyProtection="1">
      <alignment horizontal="center" vertical="center" wrapText="1"/>
    </xf>
    <xf numFmtId="0" fontId="8" fillId="0" borderId="11" xfId="0" applyFont="1" applyBorder="1" applyAlignment="1" applyProtection="1">
      <alignment horizontal="left" vertical="center" wrapText="1"/>
      <protection locked="0"/>
    </xf>
    <xf numFmtId="0" fontId="6" fillId="0" borderId="7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left" vertical="center" wrapText="1"/>
    </xf>
    <xf numFmtId="0" fontId="9" fillId="0" borderId="5" xfId="0" applyFont="1" applyBorder="1" applyAlignment="1" applyProtection="1">
      <alignment horizontal="left" vertical="top" wrapText="1"/>
      <protection locked="0"/>
    </xf>
    <xf numFmtId="0" fontId="6" fillId="0" borderId="7" xfId="0" applyFont="1" applyBorder="1" applyAlignment="1" applyProtection="1">
      <alignment horizontal="center" vertical="center" wrapText="1"/>
    </xf>
    <xf numFmtId="0" fontId="0" fillId="0" borderId="9" xfId="0" applyBorder="1" applyAlignment="1" applyProtection="1">
      <alignment horizontal="left" vertical="center" wrapText="1"/>
      <protection locked="0"/>
    </xf>
    <xf numFmtId="0" fontId="7" fillId="2" borderId="28" xfId="0" applyFont="1" applyFill="1" applyBorder="1" applyAlignment="1" applyProtection="1">
      <alignment horizontal="center" vertical="center" wrapText="1"/>
    </xf>
    <xf numFmtId="0" fontId="8" fillId="0" borderId="19" xfId="0" applyFont="1" applyBorder="1" applyAlignment="1" applyProtection="1">
      <alignment horizontal="left" vertical="center"/>
    </xf>
    <xf numFmtId="0" fontId="8" fillId="0" borderId="8" xfId="0" applyFont="1" applyBorder="1" applyAlignment="1" applyProtection="1">
      <alignment horizontal="left" vertical="center"/>
    </xf>
    <xf numFmtId="0" fontId="8" fillId="0" borderId="32" xfId="0" applyFont="1" applyBorder="1" applyAlignment="1" applyProtection="1">
      <alignment horizontal="left" vertical="center"/>
    </xf>
    <xf numFmtId="0" fontId="6" fillId="0" borderId="2" xfId="0" applyFont="1" applyBorder="1" applyAlignment="1" applyProtection="1">
      <alignment horizontal="center" vertical="center" wrapText="1"/>
    </xf>
    <xf numFmtId="0" fontId="6" fillId="0" borderId="9" xfId="0" applyFont="1" applyBorder="1" applyAlignment="1" applyProtection="1">
      <alignment horizontal="center" vertical="center" wrapText="1"/>
    </xf>
    <xf numFmtId="0" fontId="6" fillId="0" borderId="10" xfId="0" applyFont="1" applyBorder="1" applyAlignment="1" applyProtection="1">
      <alignment horizontal="center" vertical="center" wrapText="1"/>
    </xf>
    <xf numFmtId="166" fontId="1" fillId="0" borderId="2" xfId="0" applyNumberFormat="1" applyFont="1" applyBorder="1" applyAlignment="1" applyProtection="1">
      <alignment horizontal="left" vertical="center" wrapText="1"/>
      <protection locked="0"/>
    </xf>
    <xf numFmtId="166" fontId="1" fillId="0" borderId="9" xfId="0" applyNumberFormat="1" applyFont="1" applyBorder="1" applyAlignment="1" applyProtection="1">
      <alignment horizontal="left" vertical="center" wrapText="1"/>
      <protection locked="0"/>
    </xf>
    <xf numFmtId="166" fontId="1" fillId="0" borderId="11" xfId="0" applyNumberFormat="1" applyFont="1" applyBorder="1" applyAlignment="1" applyProtection="1">
      <alignment horizontal="left" vertical="center" wrapText="1"/>
      <protection locked="0"/>
    </xf>
    <xf numFmtId="0" fontId="10" fillId="2" borderId="6" xfId="0" applyFont="1" applyFill="1" applyBorder="1" applyAlignment="1" applyProtection="1">
      <alignment horizontal="center" vertical="center"/>
    </xf>
    <xf numFmtId="0" fontId="10" fillId="2" borderId="7" xfId="0" applyFont="1" applyFill="1" applyBorder="1" applyAlignment="1" applyProtection="1">
      <alignment horizontal="center" vertical="center"/>
    </xf>
    <xf numFmtId="0" fontId="10" fillId="2" borderId="44" xfId="0" applyFont="1" applyFill="1" applyBorder="1" applyAlignment="1" applyProtection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7" fillId="0" borderId="9" xfId="0" applyFont="1" applyBorder="1" applyAlignment="1" applyProtection="1">
      <alignment horizontal="left" vertical="center" wrapText="1"/>
    </xf>
    <xf numFmtId="0" fontId="5" fillId="0" borderId="7" xfId="0" applyFont="1" applyBorder="1" applyAlignment="1" applyProtection="1">
      <alignment horizontal="left" vertical="center"/>
    </xf>
    <xf numFmtId="0" fontId="5" fillId="0" borderId="8" xfId="0" applyFont="1" applyBorder="1" applyAlignment="1" applyProtection="1">
      <alignment horizontal="left" vertical="center"/>
    </xf>
    <xf numFmtId="0" fontId="12" fillId="0" borderId="7" xfId="0" applyFont="1" applyBorder="1" applyAlignment="1" applyProtection="1">
      <alignment horizontal="left" vertical="center"/>
    </xf>
    <xf numFmtId="0" fontId="12" fillId="0" borderId="8" xfId="0" applyFont="1" applyBorder="1" applyAlignment="1" applyProtection="1">
      <alignment horizontal="left" vertical="center"/>
    </xf>
    <xf numFmtId="0" fontId="12" fillId="0" borderId="8" xfId="0" applyFont="1" applyBorder="1" applyAlignment="1">
      <alignment horizontal="right"/>
    </xf>
    <xf numFmtId="0" fontId="13" fillId="0" borderId="7" xfId="0" applyFont="1" applyBorder="1" applyAlignment="1" applyProtection="1">
      <alignment horizontal="right" vertical="center" wrapText="1"/>
    </xf>
    <xf numFmtId="0" fontId="13" fillId="0" borderId="12" xfId="0" applyFont="1" applyBorder="1" applyAlignment="1" applyProtection="1">
      <alignment horizontal="right" vertical="center" wrapText="1"/>
    </xf>
    <xf numFmtId="0" fontId="13" fillId="0" borderId="8" xfId="0" applyFont="1" applyBorder="1" applyAlignment="1" applyProtection="1">
      <alignment horizontal="right" vertical="center" wrapText="1"/>
    </xf>
    <xf numFmtId="0" fontId="13" fillId="0" borderId="20" xfId="0" applyFont="1" applyBorder="1" applyAlignment="1" applyProtection="1">
      <alignment horizontal="right" vertical="center" wrapText="1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20" xfId="0" applyFont="1" applyBorder="1" applyAlignment="1" applyProtection="1">
      <alignment horizontal="left" vertical="center"/>
      <protection locked="0"/>
    </xf>
    <xf numFmtId="0" fontId="6" fillId="0" borderId="8" xfId="0" applyFont="1" applyBorder="1" applyAlignment="1" applyProtection="1">
      <alignment vertical="top"/>
      <protection locked="0"/>
    </xf>
    <xf numFmtId="0" fontId="0" fillId="0" borderId="8" xfId="0" applyBorder="1" applyAlignment="1" applyProtection="1">
      <protection locked="0"/>
    </xf>
    <xf numFmtId="0" fontId="12" fillId="0" borderId="7" xfId="0" applyFont="1" applyBorder="1" applyAlignment="1" applyProtection="1">
      <alignment horizontal="right" wrapText="1"/>
    </xf>
    <xf numFmtId="0" fontId="0" fillId="0" borderId="7" xfId="0" applyBorder="1" applyAlignment="1">
      <alignment horizontal="right"/>
    </xf>
    <xf numFmtId="0" fontId="6" fillId="0" borderId="7" xfId="0" applyFont="1" applyBorder="1" applyAlignment="1" applyProtection="1">
      <alignment horizontal="left" vertical="top"/>
      <protection locked="0"/>
    </xf>
    <xf numFmtId="0" fontId="6" fillId="0" borderId="8" xfId="0" applyFont="1" applyBorder="1" applyAlignment="1" applyProtection="1">
      <alignment horizontal="left" vertical="top"/>
      <protection locked="0"/>
    </xf>
    <xf numFmtId="0" fontId="8" fillId="0" borderId="11" xfId="0" applyFont="1" applyBorder="1" applyAlignment="1" applyProtection="1">
      <alignment horizontal="center" vertical="center" wrapText="1"/>
      <protection locked="0"/>
    </xf>
    <xf numFmtId="0" fontId="9" fillId="0" borderId="12" xfId="0" applyFont="1" applyBorder="1" applyAlignment="1" applyProtection="1">
      <alignment horizontal="left" vertical="top" wrapText="1"/>
    </xf>
    <xf numFmtId="0" fontId="9" fillId="0" borderId="3" xfId="0" applyFont="1" applyBorder="1" applyAlignment="1" applyProtection="1">
      <alignment horizontal="left" vertical="top" wrapText="1"/>
    </xf>
  </cellXfs>
  <cellStyles count="1">
    <cellStyle name="Normal" xfId="0" builtinId="0"/>
  </cellStyles>
  <dxfs count="7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>
          <bgColor theme="0"/>
        </patternFill>
      </fill>
      <border>
        <left/>
        <right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vertical/>
        <horizontal/>
      </border>
    </dxf>
    <dxf>
      <font>
        <color theme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checked="Checked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checked="Checked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checked="Checked" lockText="1"/>
</file>

<file path=xl/ctrlProps/ctrlProp9.xml><?xml version="1.0" encoding="utf-8"?>
<formControlPr xmlns="http://schemas.microsoft.com/office/spreadsheetml/2009/9/main" objectType="CheckBox" lockText="1"/>
</file>

<file path=xl/ctrlProps/ctrlProp10.xml><?xml version="1.0" encoding="utf-8"?>
<formControlPr xmlns="http://schemas.microsoft.com/office/spreadsheetml/2009/9/main" objectType="CheckBox" lockText="1"/>
</file>

<file path=xl/ctrlProps/ctrlProp11.xml><?xml version="1.0" encoding="utf-8"?>
<formControlPr xmlns="http://schemas.microsoft.com/office/spreadsheetml/2009/9/main" objectType="CheckBox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checked="Checked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checked="Checked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CheckBox" lockText="1"/>
</file>

<file path=xl/ctrlProps/ctrlProp25.xml><?xml version="1.0" encoding="utf-8"?>
<formControlPr xmlns="http://schemas.microsoft.com/office/spreadsheetml/2009/9/main" objectType="CheckBox" lockText="1"/>
</file>

<file path=xl/ctrlProps/ctrlProp26.xml><?xml version="1.0" encoding="utf-8"?>
<formControlPr xmlns="http://schemas.microsoft.com/office/spreadsheetml/2009/9/main" objectType="CheckBox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CheckBox" lockText="1"/>
</file>

<file path=xl/ctrlProps/ctrlProp29.xml><?xml version="1.0" encoding="utf-8"?>
<formControlPr xmlns="http://schemas.microsoft.com/office/spreadsheetml/2009/9/main" objectType="CheckBox" lockText="1"/>
</file>

<file path=xl/ctrlProps/ctrlProp30.xml><?xml version="1.0" encoding="utf-8"?>
<formControlPr xmlns="http://schemas.microsoft.com/office/spreadsheetml/2009/9/main" objectType="CheckBox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104774</xdr:colOff>
      <xdr:row>31</xdr:row>
      <xdr:rowOff>57150</xdr:rowOff>
    </xdr:from>
    <xdr:to>
      <xdr:col>16</xdr:col>
      <xdr:colOff>438149</xdr:colOff>
      <xdr:row>32</xdr:row>
      <xdr:rowOff>114301</xdr:rowOff>
    </xdr:to>
    <xdr:pic>
      <xdr:nvPicPr>
        <xdr:cNvPr id="8" name="Image 7" descr="panneau-attention.gif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19924" y="7924800"/>
          <a:ext cx="333375" cy="238126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952500</xdr:colOff>
      <xdr:row>0</xdr:row>
      <xdr:rowOff>0</xdr:rowOff>
    </xdr:from>
    <xdr:to>
      <xdr:col>19</xdr:col>
      <xdr:colOff>285750</xdr:colOff>
      <xdr:row>3</xdr:row>
      <xdr:rowOff>227893</xdr:rowOff>
    </xdr:to>
    <xdr:pic>
      <xdr:nvPicPr>
        <xdr:cNvPr id="2" name="Image 1" descr="BandeauCovedAllongé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381375" y="0"/>
          <a:ext cx="5676900" cy="8660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21167</xdr:rowOff>
    </xdr:from>
    <xdr:to>
      <xdr:col>7</xdr:col>
      <xdr:colOff>197909</xdr:colOff>
      <xdr:row>3</xdr:row>
      <xdr:rowOff>227893</xdr:rowOff>
    </xdr:to>
    <xdr:pic>
      <xdr:nvPicPr>
        <xdr:cNvPr id="3" name="Image 2" descr="BandeauCovedAllongé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 t="9812" r="26381"/>
        <a:stretch>
          <a:fillRect/>
        </a:stretch>
      </xdr:blipFill>
      <xdr:spPr>
        <a:xfrm>
          <a:off x="0" y="87842"/>
          <a:ext cx="4131734" cy="778226"/>
        </a:xfrm>
        <a:prstGeom prst="rect">
          <a:avLst/>
        </a:prstGeom>
      </xdr:spPr>
    </xdr:pic>
    <xdr:clientData/>
  </xdr:twoCellAnchor>
  <xdr:twoCellAnchor>
    <xdr:from>
      <xdr:col>0</xdr:col>
      <xdr:colOff>17318</xdr:colOff>
      <xdr:row>0</xdr:row>
      <xdr:rowOff>40696</xdr:rowOff>
    </xdr:from>
    <xdr:to>
      <xdr:col>18</xdr:col>
      <xdr:colOff>0</xdr:colOff>
      <xdr:row>4</xdr:row>
      <xdr:rowOff>31172</xdr:rowOff>
    </xdr:to>
    <xdr:sp macro="" textlink="">
      <xdr:nvSpPr>
        <xdr:cNvPr id="4" name="Rectangle 3"/>
        <xdr:cNvSpPr>
          <a:spLocks noGrp="1" noChangeArrowheads="1"/>
        </xdr:cNvSpPr>
      </xdr:nvSpPr>
      <xdr:spPr bwMode="auto">
        <a:xfrm>
          <a:off x="17318" y="40696"/>
          <a:ext cx="7802707" cy="9048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l" rtl="0" eaLnBrk="0" fontAlgn="base" hangingPunct="0">
            <a:spcBef>
              <a:spcPct val="0"/>
            </a:spcBef>
            <a:spcAft>
              <a:spcPct val="0"/>
            </a:spcAft>
            <a:defRPr sz="2400">
              <a:solidFill>
                <a:schemeClr val="bg1"/>
              </a:solidFill>
              <a:latin typeface="+mj-lt"/>
              <a:ea typeface="+mj-ea"/>
              <a:cs typeface="+mj-cs"/>
            </a:defRPr>
          </a:lvl1pPr>
          <a:lvl2pPr algn="l" rtl="0" eaLnBrk="0" fontAlgn="base" hangingPunct="0">
            <a:spcBef>
              <a:spcPct val="0"/>
            </a:spcBef>
            <a:spcAft>
              <a:spcPct val="0"/>
            </a:spcAft>
            <a:defRPr sz="2400">
              <a:solidFill>
                <a:schemeClr val="bg1"/>
              </a:solidFill>
              <a:latin typeface="Arial" charset="0"/>
            </a:defRPr>
          </a:lvl2pPr>
          <a:lvl3pPr algn="l" rtl="0" eaLnBrk="0" fontAlgn="base" hangingPunct="0">
            <a:spcBef>
              <a:spcPct val="0"/>
            </a:spcBef>
            <a:spcAft>
              <a:spcPct val="0"/>
            </a:spcAft>
            <a:defRPr sz="2400">
              <a:solidFill>
                <a:schemeClr val="bg1"/>
              </a:solidFill>
              <a:latin typeface="Arial" charset="0"/>
            </a:defRPr>
          </a:lvl3pPr>
          <a:lvl4pPr algn="l" rtl="0" eaLnBrk="0" fontAlgn="base" hangingPunct="0">
            <a:spcBef>
              <a:spcPct val="0"/>
            </a:spcBef>
            <a:spcAft>
              <a:spcPct val="0"/>
            </a:spcAft>
            <a:defRPr sz="2400">
              <a:solidFill>
                <a:schemeClr val="bg1"/>
              </a:solidFill>
              <a:latin typeface="Arial" charset="0"/>
            </a:defRPr>
          </a:lvl4pPr>
          <a:lvl5pPr algn="l" rtl="0" eaLnBrk="0" fontAlgn="base" hangingPunct="0">
            <a:spcBef>
              <a:spcPct val="0"/>
            </a:spcBef>
            <a:spcAft>
              <a:spcPct val="0"/>
            </a:spcAft>
            <a:defRPr sz="2400">
              <a:solidFill>
                <a:schemeClr val="bg1"/>
              </a:solidFill>
              <a:latin typeface="Arial" charset="0"/>
            </a:defRPr>
          </a:lvl5pPr>
          <a:lvl6pPr marL="457200" algn="ctr" rtl="0" fontAlgn="base">
            <a:spcBef>
              <a:spcPct val="0"/>
            </a:spcBef>
            <a:spcAft>
              <a:spcPct val="0"/>
            </a:spcAft>
            <a:defRPr sz="4400">
              <a:solidFill>
                <a:schemeClr val="tx2"/>
              </a:solidFill>
              <a:latin typeface="Arial" charset="0"/>
            </a:defRPr>
          </a:lvl6pPr>
          <a:lvl7pPr marL="914400" algn="ctr" rtl="0" fontAlgn="base">
            <a:spcBef>
              <a:spcPct val="0"/>
            </a:spcBef>
            <a:spcAft>
              <a:spcPct val="0"/>
            </a:spcAft>
            <a:defRPr sz="4400">
              <a:solidFill>
                <a:schemeClr val="tx2"/>
              </a:solidFill>
              <a:latin typeface="Arial" charset="0"/>
            </a:defRPr>
          </a:lvl7pPr>
          <a:lvl8pPr marL="1371600" algn="ctr" rtl="0" fontAlgn="base">
            <a:spcBef>
              <a:spcPct val="0"/>
            </a:spcBef>
            <a:spcAft>
              <a:spcPct val="0"/>
            </a:spcAft>
            <a:defRPr sz="4400">
              <a:solidFill>
                <a:schemeClr val="tx2"/>
              </a:solidFill>
              <a:latin typeface="Arial" charset="0"/>
            </a:defRPr>
          </a:lvl8pPr>
          <a:lvl9pPr marL="1828800" algn="ctr" rtl="0" fontAlgn="base">
            <a:spcBef>
              <a:spcPct val="0"/>
            </a:spcBef>
            <a:spcAft>
              <a:spcPct val="0"/>
            </a:spcAft>
            <a:defRPr sz="4400">
              <a:solidFill>
                <a:schemeClr val="tx2"/>
              </a:solidFill>
              <a:latin typeface="Arial" charset="0"/>
            </a:defRPr>
          </a:lvl9pPr>
        </a:lstStyle>
        <a:p>
          <a:pPr lvl="0"/>
          <a:endParaRPr lang="fr-FR" sz="2400" b="1">
            <a:solidFill>
              <a:srgbClr val="002060"/>
            </a:solidFill>
            <a:latin typeface="+mn-lt"/>
          </a:endParaRPr>
        </a:p>
        <a:p>
          <a:pPr lvl="0"/>
          <a:r>
            <a:rPr lang="fr-FR" sz="1800" b="0" baseline="0">
              <a:latin typeface="Arial" pitchFamily="34" charset="0"/>
              <a:cs typeface="Arial" pitchFamily="34" charset="0"/>
            </a:rPr>
            <a:t>IS 33 04_02 : Fiche Contrat de Travail - ETAM / CADRE</a:t>
          </a:r>
          <a:endParaRPr lang="fr-FR" sz="1800" b="0"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1</xdr:col>
      <xdr:colOff>57150</xdr:colOff>
      <xdr:row>29</xdr:row>
      <xdr:rowOff>152400</xdr:rowOff>
    </xdr:from>
    <xdr:to>
      <xdr:col>1</xdr:col>
      <xdr:colOff>304800</xdr:colOff>
      <xdr:row>31</xdr:row>
      <xdr:rowOff>0</xdr:rowOff>
    </xdr:to>
    <xdr:pic>
      <xdr:nvPicPr>
        <xdr:cNvPr id="5" name="Image 4" descr="panneau-attention.gif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57350" y="7715250"/>
          <a:ext cx="247650" cy="285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38100</xdr:rowOff>
    </xdr:from>
    <xdr:to>
      <xdr:col>9</xdr:col>
      <xdr:colOff>142875</xdr:colOff>
      <xdr:row>2</xdr:row>
      <xdr:rowOff>285750</xdr:rowOff>
    </xdr:to>
    <xdr:sp macro="" textlink="">
      <xdr:nvSpPr>
        <xdr:cNvPr id="6" name="Text Box 22"/>
        <xdr:cNvSpPr txBox="1">
          <a:spLocks noChangeArrowheads="1"/>
        </xdr:cNvSpPr>
      </xdr:nvSpPr>
      <xdr:spPr bwMode="auto">
        <a:xfrm>
          <a:off x="0" y="104775"/>
          <a:ext cx="4829175" cy="4095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fr-FR" sz="1600" b="1" i="0" u="none" strike="noStrike" baseline="0">
              <a:solidFill>
                <a:srgbClr val="365F91"/>
              </a:solidFill>
              <a:latin typeface="Arial" pitchFamily="34" charset="0"/>
              <a:cs typeface="Arial" pitchFamily="34" charset="0"/>
            </a:rPr>
            <a:t>Direction des Ressources Humaines</a:t>
          </a:r>
        </a:p>
        <a:p>
          <a:pPr algn="l" rtl="0">
            <a:defRPr sz="1000"/>
          </a:pPr>
          <a:endParaRPr lang="fr-FR" sz="1600" b="1" i="0" u="none" strike="noStrike" baseline="0">
            <a:solidFill>
              <a:srgbClr val="365F91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11</xdr:col>
      <xdr:colOff>885825</xdr:colOff>
      <xdr:row>6</xdr:row>
      <xdr:rowOff>66674</xdr:rowOff>
    </xdr:from>
    <xdr:to>
      <xdr:col>12</xdr:col>
      <xdr:colOff>133350</xdr:colOff>
      <xdr:row>6</xdr:row>
      <xdr:rowOff>323849</xdr:rowOff>
    </xdr:to>
    <xdr:pic>
      <xdr:nvPicPr>
        <xdr:cNvPr id="7" name="Image 6" descr="panneau-attention.gif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76925" y="1495424"/>
          <a:ext cx="247650" cy="2571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41</xdr:row>
          <xdr:rowOff>85725</xdr:rowOff>
        </xdr:from>
        <xdr:to>
          <xdr:col>11</xdr:col>
          <xdr:colOff>114300</xdr:colOff>
          <xdr:row>41</xdr:row>
          <xdr:rowOff>304800</xdr:rowOff>
        </xdr:to>
        <xdr:sp macro="" textlink="">
          <xdr:nvSpPr>
            <xdr:cNvPr id="9217" name="Check Box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247650</xdr:colOff>
          <xdr:row>14</xdr:row>
          <xdr:rowOff>19050</xdr:rowOff>
        </xdr:from>
        <xdr:to>
          <xdr:col>4</xdr:col>
          <xdr:colOff>76200</xdr:colOff>
          <xdr:row>14</xdr:row>
          <xdr:rowOff>247650</xdr:rowOff>
        </xdr:to>
        <xdr:sp macro="" textlink="">
          <xdr:nvSpPr>
            <xdr:cNvPr id="9219" name="Check Box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457200</xdr:colOff>
          <xdr:row>18</xdr:row>
          <xdr:rowOff>85725</xdr:rowOff>
        </xdr:from>
        <xdr:to>
          <xdr:col>4</xdr:col>
          <xdr:colOff>771525</xdr:colOff>
          <xdr:row>18</xdr:row>
          <xdr:rowOff>314325</xdr:rowOff>
        </xdr:to>
        <xdr:sp macro="" textlink="">
          <xdr:nvSpPr>
            <xdr:cNvPr id="9221" name="Check Box 5" hidden="1">
              <a:extLst>
                <a:ext uri="{63B3BB69-23CF-44E3-9099-C40C66FF867C}">
                  <a14:compatExt spid="_x0000_s92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466725</xdr:colOff>
          <xdr:row>19</xdr:row>
          <xdr:rowOff>66675</xdr:rowOff>
        </xdr:from>
        <xdr:to>
          <xdr:col>4</xdr:col>
          <xdr:colOff>781050</xdr:colOff>
          <xdr:row>19</xdr:row>
          <xdr:rowOff>295275</xdr:rowOff>
        </xdr:to>
        <xdr:sp macro="" textlink="">
          <xdr:nvSpPr>
            <xdr:cNvPr id="9222" name="Check Box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466725</xdr:colOff>
          <xdr:row>22</xdr:row>
          <xdr:rowOff>0</xdr:rowOff>
        </xdr:from>
        <xdr:to>
          <xdr:col>4</xdr:col>
          <xdr:colOff>771525</xdr:colOff>
          <xdr:row>23</xdr:row>
          <xdr:rowOff>66675</xdr:rowOff>
        </xdr:to>
        <xdr:sp macro="" textlink="">
          <xdr:nvSpPr>
            <xdr:cNvPr id="9225" name="Check Box 9" hidden="1">
              <a:extLst>
                <a:ext uri="{63B3BB69-23CF-44E3-9099-C40C66FF867C}">
                  <a14:compatExt spid="_x0000_s92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933450</xdr:colOff>
          <xdr:row>22</xdr:row>
          <xdr:rowOff>0</xdr:rowOff>
        </xdr:from>
        <xdr:to>
          <xdr:col>13</xdr:col>
          <xdr:colOff>28575</xdr:colOff>
          <xdr:row>23</xdr:row>
          <xdr:rowOff>66675</xdr:rowOff>
        </xdr:to>
        <xdr:sp macro="" textlink="">
          <xdr:nvSpPr>
            <xdr:cNvPr id="9226" name="Check Box 10" hidden="1">
              <a:extLst>
                <a:ext uri="{63B3BB69-23CF-44E3-9099-C40C66FF867C}">
                  <a14:compatExt spid="_x0000_s92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31</xdr:row>
          <xdr:rowOff>9525</xdr:rowOff>
        </xdr:from>
        <xdr:to>
          <xdr:col>2</xdr:col>
          <xdr:colOff>95250</xdr:colOff>
          <xdr:row>33</xdr:row>
          <xdr:rowOff>0</xdr:rowOff>
        </xdr:to>
        <xdr:sp macro="" textlink="">
          <xdr:nvSpPr>
            <xdr:cNvPr id="9227" name="Check Box 11" hidden="1">
              <a:extLst>
                <a:ext uri="{63B3BB69-23CF-44E3-9099-C40C66FF867C}">
                  <a14:compatExt spid="_x0000_s92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123825</xdr:colOff>
          <xdr:row>40</xdr:row>
          <xdr:rowOff>0</xdr:rowOff>
        </xdr:from>
        <xdr:to>
          <xdr:col>11</xdr:col>
          <xdr:colOff>123825</xdr:colOff>
          <xdr:row>40</xdr:row>
          <xdr:rowOff>342900</xdr:rowOff>
        </xdr:to>
        <xdr:sp macro="" textlink="">
          <xdr:nvSpPr>
            <xdr:cNvPr id="9229" name="Check Box 13" hidden="1">
              <a:extLst>
                <a:ext uri="{63B3BB69-23CF-44E3-9099-C40C66FF867C}">
                  <a14:compatExt spid="_x0000_s92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228600</xdr:colOff>
          <xdr:row>41</xdr:row>
          <xdr:rowOff>76200</xdr:rowOff>
        </xdr:from>
        <xdr:to>
          <xdr:col>4</xdr:col>
          <xdr:colOff>38100</xdr:colOff>
          <xdr:row>41</xdr:row>
          <xdr:rowOff>304800</xdr:rowOff>
        </xdr:to>
        <xdr:sp macro="" textlink="">
          <xdr:nvSpPr>
            <xdr:cNvPr id="9232" name="Check Box 16" hidden="1">
              <a:extLst>
                <a:ext uri="{63B3BB69-23CF-44E3-9099-C40C66FF867C}">
                  <a14:compatExt spid="_x0000_s92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26</xdr:row>
          <xdr:rowOff>66675</xdr:rowOff>
        </xdr:from>
        <xdr:to>
          <xdr:col>16</xdr:col>
          <xdr:colOff>381000</xdr:colOff>
          <xdr:row>27</xdr:row>
          <xdr:rowOff>133350</xdr:rowOff>
        </xdr:to>
        <xdr:sp macro="" textlink="">
          <xdr:nvSpPr>
            <xdr:cNvPr id="9234" name="Check Box 18" hidden="1">
              <a:extLst>
                <a:ext uri="{63B3BB69-23CF-44E3-9099-C40C66FF867C}">
                  <a14:compatExt spid="_x0000_s92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23</xdr:row>
          <xdr:rowOff>95250</xdr:rowOff>
        </xdr:from>
        <xdr:to>
          <xdr:col>16</xdr:col>
          <xdr:colOff>390525</xdr:colOff>
          <xdr:row>25</xdr:row>
          <xdr:rowOff>28575</xdr:rowOff>
        </xdr:to>
        <xdr:sp macro="" textlink="">
          <xdr:nvSpPr>
            <xdr:cNvPr id="9235" name="Check Box 19" hidden="1">
              <a:extLst>
                <a:ext uri="{63B3BB69-23CF-44E3-9099-C40C66FF867C}">
                  <a14:compatExt spid="_x0000_s92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24</xdr:row>
          <xdr:rowOff>114300</xdr:rowOff>
        </xdr:from>
        <xdr:to>
          <xdr:col>16</xdr:col>
          <xdr:colOff>390525</xdr:colOff>
          <xdr:row>26</xdr:row>
          <xdr:rowOff>19050</xdr:rowOff>
        </xdr:to>
        <xdr:sp macro="" textlink="">
          <xdr:nvSpPr>
            <xdr:cNvPr id="9236" name="Check Box 20" hidden="1">
              <a:extLst>
                <a:ext uri="{63B3BB69-23CF-44E3-9099-C40C66FF867C}">
                  <a14:compatExt spid="_x0000_s92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31</xdr:row>
          <xdr:rowOff>9525</xdr:rowOff>
        </xdr:from>
        <xdr:to>
          <xdr:col>9</xdr:col>
          <xdr:colOff>95250</xdr:colOff>
          <xdr:row>33</xdr:row>
          <xdr:rowOff>0</xdr:rowOff>
        </xdr:to>
        <xdr:sp macro="" textlink="">
          <xdr:nvSpPr>
            <xdr:cNvPr id="9240" name="Check Box 24" hidden="1">
              <a:extLst>
                <a:ext uri="{63B3BB69-23CF-44E3-9099-C40C66FF867C}">
                  <a14:compatExt spid="_x0000_s92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762000</xdr:colOff>
          <xdr:row>31</xdr:row>
          <xdr:rowOff>9525</xdr:rowOff>
        </xdr:from>
        <xdr:to>
          <xdr:col>12</xdr:col>
          <xdr:colOff>66675</xdr:colOff>
          <xdr:row>33</xdr:row>
          <xdr:rowOff>0</xdr:rowOff>
        </xdr:to>
        <xdr:sp macro="" textlink="">
          <xdr:nvSpPr>
            <xdr:cNvPr id="9241" name="Check Box 25" hidden="1">
              <a:extLst>
                <a:ext uri="{63B3BB69-23CF-44E3-9099-C40C66FF867C}">
                  <a14:compatExt spid="_x0000_s9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628650</xdr:colOff>
          <xdr:row>30</xdr:row>
          <xdr:rowOff>180975</xdr:rowOff>
        </xdr:from>
        <xdr:to>
          <xdr:col>5</xdr:col>
          <xdr:colOff>28575</xdr:colOff>
          <xdr:row>33</xdr:row>
          <xdr:rowOff>28575</xdr:rowOff>
        </xdr:to>
        <xdr:sp macro="" textlink="">
          <xdr:nvSpPr>
            <xdr:cNvPr id="9242" name="Check Box 26" hidden="1">
              <a:extLst>
                <a:ext uri="{63B3BB69-23CF-44E3-9099-C40C66FF867C}">
                  <a14:compatExt spid="_x0000_s92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266700</xdr:colOff>
          <xdr:row>19</xdr:row>
          <xdr:rowOff>342900</xdr:rowOff>
        </xdr:from>
        <xdr:to>
          <xdr:col>4</xdr:col>
          <xdr:colOff>95250</xdr:colOff>
          <xdr:row>21</xdr:row>
          <xdr:rowOff>57150</xdr:rowOff>
        </xdr:to>
        <xdr:sp macro="" textlink="">
          <xdr:nvSpPr>
            <xdr:cNvPr id="9243" name="Check Box 27" hidden="1">
              <a:extLst>
                <a:ext uri="{63B3BB69-23CF-44E3-9099-C40C66FF867C}">
                  <a14:compatExt spid="_x0000_s92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</xdr:colOff>
          <xdr:row>19</xdr:row>
          <xdr:rowOff>333375</xdr:rowOff>
        </xdr:from>
        <xdr:to>
          <xdr:col>6</xdr:col>
          <xdr:colOff>114300</xdr:colOff>
          <xdr:row>21</xdr:row>
          <xdr:rowOff>47625</xdr:rowOff>
        </xdr:to>
        <xdr:sp macro="" textlink="">
          <xdr:nvSpPr>
            <xdr:cNvPr id="9244" name="Check Box 28" hidden="1">
              <a:extLst>
                <a:ext uri="{63B3BB69-23CF-44E3-9099-C40C66FF867C}">
                  <a14:compatExt spid="_x0000_s92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19</xdr:row>
          <xdr:rowOff>342900</xdr:rowOff>
        </xdr:from>
        <xdr:to>
          <xdr:col>11</xdr:col>
          <xdr:colOff>9525</xdr:colOff>
          <xdr:row>21</xdr:row>
          <xdr:rowOff>57150</xdr:rowOff>
        </xdr:to>
        <xdr:sp macro="" textlink="">
          <xdr:nvSpPr>
            <xdr:cNvPr id="9245" name="Check Box 29" hidden="1">
              <a:extLst>
                <a:ext uri="{63B3BB69-23CF-44E3-9099-C40C66FF867C}">
                  <a14:compatExt spid="_x0000_s92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28575</xdr:colOff>
          <xdr:row>19</xdr:row>
          <xdr:rowOff>342900</xdr:rowOff>
        </xdr:from>
        <xdr:to>
          <xdr:col>16</xdr:col>
          <xdr:colOff>342900</xdr:colOff>
          <xdr:row>21</xdr:row>
          <xdr:rowOff>57150</xdr:rowOff>
        </xdr:to>
        <xdr:sp macro="" textlink="">
          <xdr:nvSpPr>
            <xdr:cNvPr id="9246" name="Check Box 30" hidden="1">
              <a:extLst>
                <a:ext uri="{63B3BB69-23CF-44E3-9099-C40C66FF867C}">
                  <a14:compatExt spid="_x0000_s92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266700</xdr:colOff>
          <xdr:row>21</xdr:row>
          <xdr:rowOff>19050</xdr:rowOff>
        </xdr:from>
        <xdr:to>
          <xdr:col>4</xdr:col>
          <xdr:colOff>95250</xdr:colOff>
          <xdr:row>22</xdr:row>
          <xdr:rowOff>9525</xdr:rowOff>
        </xdr:to>
        <xdr:sp macro="" textlink="">
          <xdr:nvSpPr>
            <xdr:cNvPr id="9247" name="Check Box 31" hidden="1">
              <a:extLst>
                <a:ext uri="{63B3BB69-23CF-44E3-9099-C40C66FF867C}">
                  <a14:compatExt spid="_x0000_s92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</xdr:colOff>
          <xdr:row>21</xdr:row>
          <xdr:rowOff>19050</xdr:rowOff>
        </xdr:from>
        <xdr:to>
          <xdr:col>6</xdr:col>
          <xdr:colOff>114300</xdr:colOff>
          <xdr:row>22</xdr:row>
          <xdr:rowOff>9525</xdr:rowOff>
        </xdr:to>
        <xdr:sp macro="" textlink="">
          <xdr:nvSpPr>
            <xdr:cNvPr id="9248" name="Check Box 32" hidden="1">
              <a:extLst>
                <a:ext uri="{63B3BB69-23CF-44E3-9099-C40C66FF867C}">
                  <a14:compatExt spid="_x0000_s92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409575</xdr:colOff>
          <xdr:row>23</xdr:row>
          <xdr:rowOff>114300</xdr:rowOff>
        </xdr:from>
        <xdr:to>
          <xdr:col>11</xdr:col>
          <xdr:colOff>723900</xdr:colOff>
          <xdr:row>25</xdr:row>
          <xdr:rowOff>47625</xdr:rowOff>
        </xdr:to>
        <xdr:sp macro="" textlink="">
          <xdr:nvSpPr>
            <xdr:cNvPr id="9250" name="Check Box 34" hidden="1">
              <a:extLst>
                <a:ext uri="{63B3BB69-23CF-44E3-9099-C40C66FF867C}">
                  <a14:compatExt spid="_x0000_s92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409575</xdr:colOff>
          <xdr:row>24</xdr:row>
          <xdr:rowOff>114300</xdr:rowOff>
        </xdr:from>
        <xdr:to>
          <xdr:col>11</xdr:col>
          <xdr:colOff>723900</xdr:colOff>
          <xdr:row>26</xdr:row>
          <xdr:rowOff>38100</xdr:rowOff>
        </xdr:to>
        <xdr:sp macro="" textlink="">
          <xdr:nvSpPr>
            <xdr:cNvPr id="9251" name="Check Box 35" hidden="1">
              <a:extLst>
                <a:ext uri="{63B3BB69-23CF-44E3-9099-C40C66FF867C}">
                  <a14:compatExt spid="_x0000_s92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409575</xdr:colOff>
          <xdr:row>25</xdr:row>
          <xdr:rowOff>104775</xdr:rowOff>
        </xdr:from>
        <xdr:to>
          <xdr:col>11</xdr:col>
          <xdr:colOff>723900</xdr:colOff>
          <xdr:row>27</xdr:row>
          <xdr:rowOff>28575</xdr:rowOff>
        </xdr:to>
        <xdr:sp macro="" textlink="">
          <xdr:nvSpPr>
            <xdr:cNvPr id="9252" name="Check Box 36" hidden="1">
              <a:extLst>
                <a:ext uri="{63B3BB69-23CF-44E3-9099-C40C66FF867C}">
                  <a14:compatExt spid="_x0000_s92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409575</xdr:colOff>
          <xdr:row>26</xdr:row>
          <xdr:rowOff>104775</xdr:rowOff>
        </xdr:from>
        <xdr:to>
          <xdr:col>11</xdr:col>
          <xdr:colOff>723900</xdr:colOff>
          <xdr:row>28</xdr:row>
          <xdr:rowOff>28575</xdr:rowOff>
        </xdr:to>
        <xdr:sp macro="" textlink="">
          <xdr:nvSpPr>
            <xdr:cNvPr id="9253" name="Check Box 37" hidden="1">
              <a:extLst>
                <a:ext uri="{63B3BB69-23CF-44E3-9099-C40C66FF867C}">
                  <a14:compatExt spid="_x0000_s92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209550</xdr:colOff>
          <xdr:row>14</xdr:row>
          <xdr:rowOff>9525</xdr:rowOff>
        </xdr:from>
        <xdr:to>
          <xdr:col>14</xdr:col>
          <xdr:colOff>19050</xdr:colOff>
          <xdr:row>14</xdr:row>
          <xdr:rowOff>238125</xdr:rowOff>
        </xdr:to>
        <xdr:sp macro="" textlink="">
          <xdr:nvSpPr>
            <xdr:cNvPr id="9255" name="Check Box 39" hidden="1">
              <a:extLst>
                <a:ext uri="{63B3BB69-23CF-44E3-9099-C40C66FF867C}">
                  <a14:compatExt spid="_x0000_s92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123825</xdr:colOff>
          <xdr:row>14</xdr:row>
          <xdr:rowOff>9525</xdr:rowOff>
        </xdr:from>
        <xdr:to>
          <xdr:col>18</xdr:col>
          <xdr:colOff>47625</xdr:colOff>
          <xdr:row>14</xdr:row>
          <xdr:rowOff>238125</xdr:rowOff>
        </xdr:to>
        <xdr:sp macro="" textlink="">
          <xdr:nvSpPr>
            <xdr:cNvPr id="9256" name="Check Box 40" hidden="1">
              <a:extLst>
                <a:ext uri="{63B3BB69-23CF-44E3-9099-C40C66FF867C}">
                  <a14:compatExt spid="_x0000_s92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14</xdr:row>
          <xdr:rowOff>19050</xdr:rowOff>
        </xdr:from>
        <xdr:to>
          <xdr:col>6</xdr:col>
          <xdr:colOff>47625</xdr:colOff>
          <xdr:row>14</xdr:row>
          <xdr:rowOff>247650</xdr:rowOff>
        </xdr:to>
        <xdr:sp macro="" textlink="">
          <xdr:nvSpPr>
            <xdr:cNvPr id="9257" name="Check Box 41" hidden="1">
              <a:extLst>
                <a:ext uri="{63B3BB69-23CF-44E3-9099-C40C66FF867C}">
                  <a14:compatExt spid="_x0000_s92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228600</xdr:colOff>
          <xdr:row>40</xdr:row>
          <xdr:rowOff>0</xdr:rowOff>
        </xdr:from>
        <xdr:to>
          <xdr:col>4</xdr:col>
          <xdr:colOff>47625</xdr:colOff>
          <xdr:row>40</xdr:row>
          <xdr:rowOff>342900</xdr:rowOff>
        </xdr:to>
        <xdr:sp macro="" textlink="">
          <xdr:nvSpPr>
            <xdr:cNvPr id="9258" name="Check Box 42" hidden="1">
              <a:extLst>
                <a:ext uri="{63B3BB69-23CF-44E3-9099-C40C66FF867C}">
                  <a14:compatExt spid="_x0000_s92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42</xdr:row>
          <xdr:rowOff>76200</xdr:rowOff>
        </xdr:from>
        <xdr:to>
          <xdr:col>2</xdr:col>
          <xdr:colOff>66675</xdr:colOff>
          <xdr:row>42</xdr:row>
          <xdr:rowOff>304800</xdr:rowOff>
        </xdr:to>
        <xdr:sp macro="" textlink="">
          <xdr:nvSpPr>
            <xdr:cNvPr id="9260" name="Check Box 44" hidden="1">
              <a:extLst>
                <a:ext uri="{63B3BB69-23CF-44E3-9099-C40C66FF867C}">
                  <a14:compatExt spid="_x0000_s92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8" Type="http://schemas.openxmlformats.org/officeDocument/2006/relationships/ctrlProp" Target="../ctrlProps/ctrlProp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X54"/>
  <sheetViews>
    <sheetView showGridLines="0" tabSelected="1" topLeftCell="A7" zoomScaleNormal="100" zoomScaleSheetLayoutView="110" zoomScalePageLayoutView="90" workbookViewId="0">
      <selection activeCell="B9" sqref="B9:T9"/>
    </sheetView>
  </sheetViews>
  <sheetFormatPr baseColWidth="10" defaultRowHeight="12.75" x14ac:dyDescent="0.2"/>
  <cols>
    <col min="1" max="1" width="24" style="1" customWidth="1"/>
    <col min="2" max="2" width="5.140625" style="1" customWidth="1"/>
    <col min="3" max="3" width="5.42578125" style="1" customWidth="1"/>
    <col min="4" max="4" width="1.85546875" style="1" customWidth="1"/>
    <col min="5" max="5" width="14.42578125" style="1" customWidth="1"/>
    <col min="6" max="6" width="4.140625" style="1" customWidth="1"/>
    <col min="7" max="7" width="4" style="1" customWidth="1"/>
    <col min="8" max="8" width="7.28515625" style="1" customWidth="1"/>
    <col min="9" max="9" width="3.140625" style="1" customWidth="1"/>
    <col min="10" max="10" width="3.7109375" style="1" customWidth="1"/>
    <col min="11" max="11" width="0.85546875" style="1" customWidth="1"/>
    <col min="12" max="12" width="15" style="1" customWidth="1"/>
    <col min="13" max="13" width="3.140625" style="1" customWidth="1"/>
    <col min="14" max="14" width="7.5703125" style="1" customWidth="1"/>
    <col min="15" max="15" width="3.140625" style="1" customWidth="1"/>
    <col min="16" max="16" width="0.85546875" style="1" customWidth="1"/>
    <col min="17" max="17" width="8.140625" style="1" customWidth="1"/>
    <col min="18" max="18" width="5.85546875" style="1" customWidth="1"/>
    <col min="19" max="19" width="13.85546875" style="1" customWidth="1"/>
    <col min="20" max="20" width="5.7109375" style="1" customWidth="1"/>
    <col min="21" max="16384" width="11.42578125" style="1"/>
  </cols>
  <sheetData>
    <row r="1" spans="1:20" ht="5.25" customHeight="1" x14ac:dyDescent="0.2"/>
    <row r="2" spans="1:20" ht="12.75" customHeight="1" x14ac:dyDescent="0.2"/>
    <row r="3" spans="1:20" ht="32.25" customHeight="1" x14ac:dyDescent="0.2"/>
    <row r="4" spans="1:20" ht="21.75" customHeight="1" thickBot="1" x14ac:dyDescent="0.25"/>
    <row r="5" spans="1:20" s="2" customFormat="1" ht="30.75" customHeight="1" thickBot="1" x14ac:dyDescent="0.25">
      <c r="A5" s="13" t="s">
        <v>45</v>
      </c>
      <c r="B5" s="190" t="s">
        <v>88</v>
      </c>
      <c r="C5" s="190"/>
      <c r="D5" s="190"/>
      <c r="E5" s="190"/>
      <c r="F5" s="190"/>
      <c r="G5" s="190"/>
      <c r="H5" s="190"/>
      <c r="I5" s="190"/>
      <c r="J5" s="191"/>
      <c r="K5" s="7"/>
      <c r="L5" s="192" t="s">
        <v>127</v>
      </c>
      <c r="M5" s="193"/>
      <c r="N5" s="194" t="s">
        <v>156</v>
      </c>
      <c r="O5" s="194"/>
      <c r="P5" s="194"/>
      <c r="Q5" s="194"/>
      <c r="R5" s="194"/>
      <c r="S5" s="194"/>
      <c r="T5" s="195"/>
    </row>
    <row r="6" spans="1:20" s="2" customFormat="1" ht="9.9499999999999993" customHeight="1" thickBot="1" x14ac:dyDescent="0.25">
      <c r="A6" s="14"/>
      <c r="B6" s="15"/>
      <c r="C6" s="15"/>
      <c r="D6" s="15"/>
      <c r="E6" s="15"/>
      <c r="F6" s="15"/>
      <c r="G6" s="15"/>
      <c r="H6" s="15"/>
      <c r="I6" s="15"/>
      <c r="J6" s="15"/>
      <c r="K6" s="7"/>
      <c r="L6" s="20"/>
      <c r="M6" s="20"/>
      <c r="N6" s="19"/>
      <c r="O6" s="19"/>
      <c r="P6" s="19"/>
      <c r="Q6" s="19"/>
      <c r="R6" s="19"/>
      <c r="S6" s="19"/>
      <c r="T6" s="19"/>
    </row>
    <row r="7" spans="1:20" s="2" customFormat="1" ht="27.75" customHeight="1" x14ac:dyDescent="0.2">
      <c r="A7" s="16" t="s">
        <v>10</v>
      </c>
      <c r="B7" s="196" t="s">
        <v>149</v>
      </c>
      <c r="C7" s="197"/>
      <c r="D7" s="197"/>
      <c r="E7" s="197"/>
      <c r="F7" s="197"/>
      <c r="G7" s="197"/>
      <c r="H7" s="197"/>
      <c r="I7" s="197"/>
      <c r="J7" s="197"/>
      <c r="K7" s="197"/>
      <c r="L7" s="76"/>
      <c r="M7" s="76"/>
      <c r="N7" s="77" t="s">
        <v>54</v>
      </c>
      <c r="O7" s="78"/>
      <c r="P7" s="79"/>
      <c r="Q7" s="79"/>
      <c r="R7" s="79"/>
      <c r="S7" s="79"/>
      <c r="T7" s="80"/>
    </row>
    <row r="8" spans="1:20" s="2" customFormat="1" ht="33" customHeight="1" x14ac:dyDescent="0.2">
      <c r="A8" s="17" t="s">
        <v>53</v>
      </c>
      <c r="B8" s="198" t="s">
        <v>147</v>
      </c>
      <c r="C8" s="198"/>
      <c r="D8" s="198"/>
      <c r="E8" s="198"/>
      <c r="F8" s="198"/>
      <c r="G8" s="198"/>
      <c r="H8" s="199"/>
      <c r="I8" s="199"/>
      <c r="J8" s="199"/>
      <c r="K8" s="199"/>
      <c r="L8" s="200" t="s">
        <v>118</v>
      </c>
      <c r="M8" s="200"/>
      <c r="N8" s="200"/>
      <c r="O8" s="201"/>
      <c r="P8" s="201"/>
      <c r="Q8" s="201"/>
      <c r="R8" s="201"/>
      <c r="S8" s="201"/>
      <c r="T8" s="202"/>
    </row>
    <row r="9" spans="1:20" s="2" customFormat="1" ht="27.75" customHeight="1" x14ac:dyDescent="0.2">
      <c r="A9" s="17" t="s">
        <v>2</v>
      </c>
      <c r="B9" s="203" t="s">
        <v>158</v>
      </c>
      <c r="C9" s="204"/>
      <c r="D9" s="204"/>
      <c r="E9" s="204"/>
      <c r="F9" s="204"/>
      <c r="G9" s="204"/>
      <c r="H9" s="204"/>
      <c r="I9" s="204"/>
      <c r="J9" s="204"/>
      <c r="K9" s="204"/>
      <c r="L9" s="204"/>
      <c r="M9" s="204"/>
      <c r="N9" s="204"/>
      <c r="O9" s="204"/>
      <c r="P9" s="204"/>
      <c r="Q9" s="204"/>
      <c r="R9" s="204"/>
      <c r="S9" s="204"/>
      <c r="T9" s="205"/>
    </row>
    <row r="10" spans="1:20" s="2" customFormat="1" ht="27.75" customHeight="1" x14ac:dyDescent="0.2">
      <c r="A10" s="10" t="s">
        <v>3</v>
      </c>
      <c r="B10" s="206">
        <v>31953</v>
      </c>
      <c r="C10" s="207"/>
      <c r="D10" s="8" t="s">
        <v>7</v>
      </c>
      <c r="E10" s="198" t="s">
        <v>159</v>
      </c>
      <c r="F10" s="198"/>
      <c r="G10" s="198"/>
      <c r="H10" s="198"/>
      <c r="I10" s="198"/>
      <c r="J10" s="198"/>
      <c r="K10" s="198"/>
      <c r="L10" s="208" t="s">
        <v>6</v>
      </c>
      <c r="M10" s="208"/>
      <c r="N10" s="208"/>
      <c r="O10" s="209" t="s">
        <v>157</v>
      </c>
      <c r="P10" s="209"/>
      <c r="Q10" s="209"/>
      <c r="R10" s="209"/>
      <c r="S10" s="209"/>
      <c r="T10" s="210"/>
    </row>
    <row r="11" spans="1:20" s="2" customFormat="1" ht="11.25" customHeight="1" thickBot="1" x14ac:dyDescent="0.3">
      <c r="A11" s="18"/>
      <c r="B11" s="97"/>
      <c r="C11" s="98"/>
      <c r="D11" s="98"/>
      <c r="E11" s="98"/>
      <c r="F11" s="98"/>
      <c r="G11" s="99"/>
      <c r="H11" s="100"/>
      <c r="I11" s="101"/>
      <c r="J11" s="102"/>
      <c r="K11" s="102"/>
      <c r="L11" s="102"/>
      <c r="M11" s="102"/>
      <c r="N11" s="102"/>
      <c r="O11" s="102"/>
      <c r="P11" s="102"/>
      <c r="Q11" s="102"/>
      <c r="R11" s="102"/>
      <c r="S11" s="99"/>
      <c r="T11" s="103"/>
    </row>
    <row r="12" spans="1:20" s="2" customFormat="1" ht="9.9499999999999993" customHeight="1" thickBot="1" x14ac:dyDescent="0.3">
      <c r="A12" s="81"/>
      <c r="B12" s="82"/>
      <c r="C12" s="83"/>
      <c r="D12" s="83"/>
      <c r="E12" s="83"/>
      <c r="F12" s="83"/>
      <c r="G12" s="84"/>
      <c r="H12" s="85"/>
      <c r="I12" s="86"/>
      <c r="J12" s="87"/>
      <c r="K12" s="87"/>
      <c r="L12" s="87"/>
      <c r="M12" s="87"/>
      <c r="N12" s="87"/>
      <c r="O12" s="87"/>
      <c r="P12" s="87"/>
      <c r="Q12" s="87"/>
      <c r="R12" s="87"/>
      <c r="S12" s="85"/>
      <c r="T12" s="88"/>
    </row>
    <row r="13" spans="1:20" s="2" customFormat="1" ht="25.5" customHeight="1" thickBot="1" x14ac:dyDescent="0.25">
      <c r="A13" s="133" t="s">
        <v>5</v>
      </c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5"/>
    </row>
    <row r="14" spans="1:20" s="2" customFormat="1" ht="24.75" customHeight="1" x14ac:dyDescent="0.2">
      <c r="A14" s="27" t="s">
        <v>48</v>
      </c>
      <c r="B14" s="254" t="s">
        <v>49</v>
      </c>
      <c r="C14" s="255"/>
      <c r="D14" s="255"/>
      <c r="E14" s="255"/>
      <c r="F14" s="255"/>
      <c r="G14" s="255"/>
      <c r="H14" s="255"/>
      <c r="I14" s="255"/>
      <c r="J14" s="256" t="str">
        <f>IF(B14="Activités du déchet","CCNAD",IF(B14="Industries et Commerces de la Récupération","CCNICR",IF(B14="Assainissement et Maintenance Industrielle","CCNAMI","")))</f>
        <v>CCNAD</v>
      </c>
      <c r="K14" s="256"/>
      <c r="L14" s="256"/>
      <c r="M14" s="256"/>
      <c r="N14" s="256"/>
      <c r="O14" s="256"/>
      <c r="P14" s="256"/>
      <c r="Q14" s="256"/>
      <c r="R14" s="256"/>
      <c r="S14" s="256"/>
      <c r="T14" s="257"/>
    </row>
    <row r="15" spans="1:20" s="2" customFormat="1" ht="20.25" customHeight="1" x14ac:dyDescent="0.25">
      <c r="A15" s="122" t="s">
        <v>4</v>
      </c>
      <c r="B15" s="126"/>
      <c r="C15" s="127"/>
      <c r="D15" s="127"/>
      <c r="E15" s="128" t="s">
        <v>1</v>
      </c>
      <c r="F15" s="127"/>
      <c r="G15" s="129" t="s">
        <v>0</v>
      </c>
      <c r="H15" s="61"/>
      <c r="I15" s="283" t="s">
        <v>71</v>
      </c>
      <c r="J15" s="284"/>
      <c r="K15" s="284"/>
      <c r="L15" s="285"/>
      <c r="M15" s="107"/>
      <c r="N15" s="286" t="s">
        <v>128</v>
      </c>
      <c r="O15" s="286"/>
      <c r="P15" s="286"/>
      <c r="Q15" s="129"/>
      <c r="R15" s="130"/>
      <c r="S15" s="107" t="s">
        <v>21</v>
      </c>
      <c r="T15" s="131"/>
    </row>
    <row r="16" spans="1:20" s="2" customFormat="1" ht="30" customHeight="1" x14ac:dyDescent="0.2">
      <c r="A16" s="132" t="s">
        <v>130</v>
      </c>
      <c r="B16" s="261" t="s">
        <v>148</v>
      </c>
      <c r="C16" s="262"/>
      <c r="D16" s="262"/>
      <c r="E16" s="262"/>
      <c r="F16" s="262"/>
      <c r="G16" s="262"/>
      <c r="H16" s="262"/>
      <c r="I16" s="263"/>
      <c r="J16" s="264" t="s">
        <v>142</v>
      </c>
      <c r="K16" s="265"/>
      <c r="L16" s="266"/>
      <c r="M16" s="261" t="s">
        <v>150</v>
      </c>
      <c r="N16" s="262"/>
      <c r="O16" s="262"/>
      <c r="P16" s="262"/>
      <c r="Q16" s="262"/>
      <c r="R16" s="262"/>
      <c r="S16" s="262"/>
      <c r="T16" s="267"/>
    </row>
    <row r="17" spans="1:24" s="2" customFormat="1" ht="30" customHeight="1" x14ac:dyDescent="0.2">
      <c r="A17" s="122" t="s">
        <v>96</v>
      </c>
      <c r="B17" s="158" t="s">
        <v>97</v>
      </c>
      <c r="C17" s="186"/>
      <c r="D17" s="186"/>
      <c r="E17" s="186"/>
      <c r="F17" s="186"/>
      <c r="G17" s="186"/>
      <c r="H17" s="186"/>
      <c r="I17" s="159"/>
      <c r="J17" s="187" t="s">
        <v>146</v>
      </c>
      <c r="K17" s="188"/>
      <c r="L17" s="189"/>
      <c r="M17" s="158"/>
      <c r="N17" s="159"/>
      <c r="O17" s="155" t="s">
        <v>115</v>
      </c>
      <c r="P17" s="156"/>
      <c r="Q17" s="157"/>
      <c r="R17" s="123"/>
      <c r="S17" s="124" t="s">
        <v>116</v>
      </c>
      <c r="T17" s="125"/>
    </row>
    <row r="18" spans="1:24" s="2" customFormat="1" ht="24.75" customHeight="1" x14ac:dyDescent="0.2">
      <c r="A18" s="29" t="s">
        <v>8</v>
      </c>
      <c r="B18" s="136" t="s">
        <v>9</v>
      </c>
      <c r="C18" s="137"/>
      <c r="D18" s="137"/>
      <c r="E18" s="137"/>
      <c r="F18" s="138"/>
      <c r="G18" s="139">
        <v>44197</v>
      </c>
      <c r="H18" s="140"/>
      <c r="I18" s="141"/>
      <c r="J18" s="142" t="s">
        <v>28</v>
      </c>
      <c r="K18" s="143"/>
      <c r="L18" s="143"/>
      <c r="M18" s="143"/>
      <c r="N18" s="144"/>
      <c r="O18" s="139"/>
      <c r="P18" s="140"/>
      <c r="Q18" s="140"/>
      <c r="R18" s="140"/>
      <c r="S18" s="140"/>
      <c r="T18" s="305"/>
    </row>
    <row r="19" spans="1:24" s="2" customFormat="1" ht="33.75" customHeight="1" x14ac:dyDescent="0.2">
      <c r="A19" s="273" t="s">
        <v>29</v>
      </c>
      <c r="B19" s="274" t="s">
        <v>136</v>
      </c>
      <c r="C19" s="275"/>
      <c r="D19" s="275"/>
      <c r="E19" s="276"/>
      <c r="F19" s="277" t="s">
        <v>46</v>
      </c>
      <c r="G19" s="278"/>
      <c r="H19" s="278"/>
      <c r="I19" s="279"/>
      <c r="J19" s="119"/>
      <c r="K19" s="120"/>
      <c r="L19" s="120"/>
      <c r="M19" s="120"/>
      <c r="N19" s="120"/>
      <c r="O19" s="120"/>
      <c r="P19" s="120"/>
      <c r="Q19" s="120"/>
      <c r="R19" s="120"/>
      <c r="S19" s="120"/>
      <c r="T19" s="121"/>
    </row>
    <row r="20" spans="1:24" s="2" customFormat="1" ht="28.5" customHeight="1" x14ac:dyDescent="0.2">
      <c r="A20" s="273"/>
      <c r="B20" s="258" t="s">
        <v>11</v>
      </c>
      <c r="C20" s="259"/>
      <c r="D20" s="259"/>
      <c r="E20" s="260"/>
      <c r="F20" s="277" t="s">
        <v>140</v>
      </c>
      <c r="G20" s="278"/>
      <c r="H20" s="278"/>
      <c r="I20" s="279"/>
      <c r="J20" s="261"/>
      <c r="K20" s="262"/>
      <c r="L20" s="262"/>
      <c r="M20" s="262"/>
      <c r="N20" s="262"/>
      <c r="O20" s="262"/>
      <c r="P20" s="262"/>
      <c r="Q20" s="262"/>
      <c r="R20" s="262"/>
      <c r="S20" s="262"/>
      <c r="T20" s="267"/>
    </row>
    <row r="21" spans="1:24" s="2" customFormat="1" ht="12" customHeight="1" x14ac:dyDescent="0.2">
      <c r="A21" s="170" t="s">
        <v>70</v>
      </c>
      <c r="B21" s="112"/>
      <c r="C21" s="268" t="s">
        <v>66</v>
      </c>
      <c r="D21" s="268"/>
      <c r="E21" s="268"/>
      <c r="F21" s="30"/>
      <c r="G21" s="269" t="s">
        <v>67</v>
      </c>
      <c r="H21" s="269"/>
      <c r="I21" s="30"/>
      <c r="J21" s="30"/>
      <c r="K21" s="30"/>
      <c r="L21" s="269" t="s">
        <v>68</v>
      </c>
      <c r="M21" s="269"/>
      <c r="N21" s="269"/>
      <c r="O21" s="30"/>
      <c r="P21" s="30"/>
      <c r="Q21" s="271" t="s">
        <v>69</v>
      </c>
      <c r="R21" s="271"/>
      <c r="S21" s="30"/>
      <c r="T21" s="31"/>
    </row>
    <row r="22" spans="1:24" s="2" customFormat="1" ht="18.75" customHeight="1" x14ac:dyDescent="0.2">
      <c r="A22" s="171"/>
      <c r="B22" s="32"/>
      <c r="C22" s="33"/>
      <c r="D22" s="33"/>
      <c r="E22" s="34" t="s">
        <v>71</v>
      </c>
      <c r="F22" s="34"/>
      <c r="G22" s="160" t="s">
        <v>72</v>
      </c>
      <c r="H22" s="160"/>
      <c r="I22" s="160"/>
      <c r="J22" s="160"/>
      <c r="K22" s="160"/>
      <c r="L22" s="160"/>
      <c r="M22" s="160"/>
      <c r="N22" s="160"/>
      <c r="O22" s="33"/>
      <c r="P22" s="33"/>
      <c r="Q22" s="33"/>
      <c r="R22" s="33"/>
      <c r="S22" s="33"/>
      <c r="T22" s="35"/>
    </row>
    <row r="23" spans="1:24" s="3" customFormat="1" ht="21.75" customHeight="1" x14ac:dyDescent="0.2">
      <c r="A23" s="215" t="s">
        <v>13</v>
      </c>
      <c r="B23" s="36"/>
      <c r="C23" s="36"/>
      <c r="D23" s="36"/>
      <c r="E23" s="36"/>
      <c r="F23" s="36"/>
      <c r="G23" s="37" t="s">
        <v>14</v>
      </c>
      <c r="H23" s="36"/>
      <c r="I23" s="36"/>
      <c r="J23" s="38"/>
      <c r="K23" s="38"/>
      <c r="L23" s="38"/>
      <c r="M23" s="39"/>
      <c r="N23" s="40" t="s">
        <v>15</v>
      </c>
      <c r="O23" s="39"/>
      <c r="P23" s="39"/>
      <c r="Q23" s="39"/>
      <c r="R23" s="39"/>
      <c r="S23" s="39"/>
      <c r="T23" s="41"/>
    </row>
    <row r="24" spans="1:24" s="3" customFormat="1" ht="11.25" customHeight="1" x14ac:dyDescent="0.2">
      <c r="A24" s="216"/>
      <c r="B24" s="42" t="s">
        <v>43</v>
      </c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4" t="s">
        <v>38</v>
      </c>
      <c r="N24" s="45"/>
      <c r="O24" s="46"/>
      <c r="P24" s="46"/>
      <c r="Q24" s="46"/>
      <c r="R24" s="46"/>
      <c r="S24" s="46"/>
      <c r="T24" s="47"/>
    </row>
    <row r="25" spans="1:24" s="3" customFormat="1" ht="12" customHeight="1" x14ac:dyDescent="0.2">
      <c r="A25" s="216"/>
      <c r="B25" s="219" t="str">
        <f>IF($J$14="CCNAD","Employé (coeff 100 à 110)",IF($J$14="CCNICR","Employé",IF($J$14="CCNAMI","Employé","")))</f>
        <v>Employé (coeff 100 à 110)</v>
      </c>
      <c r="C25" s="220"/>
      <c r="D25" s="220"/>
      <c r="E25" s="220"/>
      <c r="F25" s="220"/>
      <c r="G25" s="221" t="str">
        <f>IF($J$14="CCNAD","1 mois (pas de renouvellement)",IF($J$14="CCNICR","2 mois (pas de renouvellement)",IF($J$14="CCNAMI","2 mois (pas de renouvellement)")))</f>
        <v>1 mois (pas de renouvellement)</v>
      </c>
      <c r="H25" s="221"/>
      <c r="I25" s="221"/>
      <c r="J25" s="221"/>
      <c r="K25" s="221"/>
      <c r="L25" s="222"/>
      <c r="M25" s="48"/>
      <c r="N25" s="45" t="s">
        <v>39</v>
      </c>
      <c r="O25" s="46"/>
      <c r="P25" s="46"/>
      <c r="Q25" s="46"/>
      <c r="R25" s="217" t="s">
        <v>41</v>
      </c>
      <c r="S25" s="217"/>
      <c r="T25" s="218"/>
    </row>
    <row r="26" spans="1:24" s="3" customFormat="1" ht="12" customHeight="1" x14ac:dyDescent="0.2">
      <c r="A26" s="216"/>
      <c r="B26" s="219" t="str">
        <f>IF($J$14="CCNAD","Employé (coeff 114 à 118)",IF($J$14="CCNICR","",IF($J$14="CCNAMI","","")))</f>
        <v>Employé (coeff 114 à 118)</v>
      </c>
      <c r="C26" s="220"/>
      <c r="D26" s="220"/>
      <c r="E26" s="220"/>
      <c r="F26" s="220"/>
      <c r="G26" s="221" t="str">
        <f>IF($J$14="CCNAD","1 mois (renouvelable 1 mois)",IF($J$14="CCNICR","",IF($J$14="CCNAMI","")))</f>
        <v>1 mois (renouvelable 1 mois)</v>
      </c>
      <c r="H26" s="221"/>
      <c r="I26" s="221"/>
      <c r="J26" s="221"/>
      <c r="K26" s="221"/>
      <c r="L26" s="222"/>
      <c r="M26" s="49"/>
      <c r="N26" s="45" t="s">
        <v>40</v>
      </c>
      <c r="O26" s="46"/>
      <c r="P26" s="46"/>
      <c r="Q26" s="46"/>
      <c r="R26" s="50" t="s">
        <v>42</v>
      </c>
      <c r="S26" s="46"/>
      <c r="T26" s="114"/>
    </row>
    <row r="27" spans="1:24" s="3" customFormat="1" ht="12" customHeight="1" x14ac:dyDescent="0.2">
      <c r="A27" s="216"/>
      <c r="B27" s="219" t="str">
        <f>IF($J$14="CCNAD","Technicien, Agent de maîtrise (coeff &gt;=125)",IF($J$14="CCNICR","Technicien, Agent de maîtrise",IF($J$14="CCNAMI","Technicien, Agent de maîtrise","")))</f>
        <v>Technicien, Agent de maîtrise (coeff &gt;=125)</v>
      </c>
      <c r="C27" s="220"/>
      <c r="D27" s="220"/>
      <c r="E27" s="220"/>
      <c r="F27" s="220"/>
      <c r="G27" s="221" t="str">
        <f>IF($J$14="CCNAD","2 mois (renouvelable 2 mois)",IF($J$14="CCNICR","3 mois (renouvelable 1 mois)",IF($J$14="CCNAMI","3 mois (pas de renouvellement)")))</f>
        <v>2 mois (renouvelable 2 mois)</v>
      </c>
      <c r="H27" s="221"/>
      <c r="I27" s="221"/>
      <c r="J27" s="221"/>
      <c r="K27" s="221"/>
      <c r="L27" s="222"/>
      <c r="M27" s="223" t="s">
        <v>63</v>
      </c>
      <c r="N27" s="224"/>
      <c r="O27" s="224"/>
      <c r="P27" s="224"/>
      <c r="Q27" s="45"/>
      <c r="R27" s="168" t="s">
        <v>52</v>
      </c>
      <c r="S27" s="168"/>
      <c r="T27" s="169"/>
      <c r="V27" s="211"/>
      <c r="W27" s="212"/>
      <c r="X27" s="212"/>
    </row>
    <row r="28" spans="1:24" s="3" customFormat="1" ht="12" customHeight="1" x14ac:dyDescent="0.2">
      <c r="A28" s="216"/>
      <c r="B28" s="219" t="str">
        <f>IF($J$14="CCNAD","Cadre (coeff 170)",IF($J$14="CCNICR","Cadre",IF($J$14="CCNAMI","Cadre","")))</f>
        <v>Cadre (coeff 170)</v>
      </c>
      <c r="C28" s="220"/>
      <c r="D28" s="220"/>
      <c r="E28" s="220"/>
      <c r="F28" s="220"/>
      <c r="G28" s="221" t="str">
        <f>IF($J$14="CCNAD","3 mois (renouvelable 3 mois)",IF($J$14="CCNICR","4 mois (renouvelable 2 mois)",IF($J$14="CCNAMI","4 mois (renouvelable 3 mois)")))</f>
        <v>3 mois (renouvelable 3 mois)</v>
      </c>
      <c r="H28" s="221"/>
      <c r="I28" s="221"/>
      <c r="J28" s="221"/>
      <c r="K28" s="221"/>
      <c r="L28" s="222"/>
      <c r="M28" s="223"/>
      <c r="N28" s="224"/>
      <c r="O28" s="224"/>
      <c r="P28" s="224"/>
      <c r="Q28" s="45"/>
      <c r="R28" s="168"/>
      <c r="S28" s="168"/>
      <c r="T28" s="169"/>
      <c r="V28" s="212"/>
      <c r="W28" s="212"/>
      <c r="X28" s="212"/>
    </row>
    <row r="29" spans="1:24" s="3" customFormat="1" ht="12" customHeight="1" x14ac:dyDescent="0.2">
      <c r="A29" s="216"/>
      <c r="B29" s="51"/>
      <c r="C29" s="51"/>
      <c r="D29" s="51"/>
      <c r="E29" s="52"/>
      <c r="F29" s="52"/>
      <c r="G29" s="52"/>
      <c r="H29" s="53"/>
      <c r="I29" s="53"/>
      <c r="J29" s="53"/>
      <c r="K29" s="53"/>
      <c r="L29" s="53"/>
      <c r="M29" s="54" t="s">
        <v>81</v>
      </c>
      <c r="N29" s="46"/>
      <c r="O29" s="46"/>
      <c r="P29" s="46"/>
      <c r="Q29" s="46"/>
      <c r="R29" s="75"/>
      <c r="S29" s="55" t="s">
        <v>94</v>
      </c>
      <c r="T29" s="56"/>
      <c r="V29" s="212"/>
      <c r="W29" s="212"/>
      <c r="X29" s="212"/>
    </row>
    <row r="30" spans="1:24" s="3" customFormat="1" ht="20.100000000000001" customHeight="1" x14ac:dyDescent="0.2">
      <c r="A30" s="172" t="s">
        <v>16</v>
      </c>
      <c r="B30" s="57"/>
      <c r="C30" s="58"/>
      <c r="D30" s="58"/>
      <c r="E30" s="59"/>
      <c r="F30" s="214" t="s">
        <v>17</v>
      </c>
      <c r="G30" s="214"/>
      <c r="H30" s="214"/>
      <c r="I30" s="214"/>
      <c r="J30" s="139">
        <v>44109</v>
      </c>
      <c r="K30" s="140"/>
      <c r="L30" s="141"/>
      <c r="M30" s="60"/>
      <c r="N30" s="60"/>
      <c r="O30" s="61"/>
      <c r="P30" s="60"/>
      <c r="Q30" s="60"/>
      <c r="R30" s="60"/>
      <c r="S30" s="60"/>
      <c r="T30" s="62"/>
      <c r="V30" s="213"/>
      <c r="W30" s="213"/>
      <c r="X30" s="213"/>
    </row>
    <row r="31" spans="1:24" s="3" customFormat="1" ht="15" customHeight="1" x14ac:dyDescent="0.2">
      <c r="A31" s="173"/>
      <c r="B31" s="43"/>
      <c r="C31" s="63" t="s">
        <v>47</v>
      </c>
      <c r="D31" s="64"/>
      <c r="E31" s="65"/>
      <c r="F31" s="43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7"/>
      <c r="V31" s="213"/>
      <c r="W31" s="213"/>
      <c r="X31" s="213"/>
    </row>
    <row r="32" spans="1:24" s="3" customFormat="1" ht="14.25" customHeight="1" x14ac:dyDescent="0.2">
      <c r="A32" s="172" t="s">
        <v>18</v>
      </c>
      <c r="B32" s="58"/>
      <c r="C32" s="288" t="s">
        <v>30</v>
      </c>
      <c r="D32" s="288"/>
      <c r="E32" s="288"/>
      <c r="F32" s="290" t="s">
        <v>133</v>
      </c>
      <c r="G32" s="290"/>
      <c r="H32" s="290"/>
      <c r="I32" s="107"/>
      <c r="J32" s="290" t="s">
        <v>134</v>
      </c>
      <c r="K32" s="290"/>
      <c r="L32" s="290"/>
      <c r="M32" s="301" t="s">
        <v>137</v>
      </c>
      <c r="N32" s="302"/>
      <c r="O32" s="302"/>
      <c r="P32" s="293" t="s">
        <v>55</v>
      </c>
      <c r="Q32" s="293"/>
      <c r="R32" s="293"/>
      <c r="S32" s="293"/>
      <c r="T32" s="294"/>
    </row>
    <row r="33" spans="1:20" s="3" customFormat="1" ht="13.5" customHeight="1" x14ac:dyDescent="0.2">
      <c r="A33" s="173"/>
      <c r="B33" s="108"/>
      <c r="C33" s="289"/>
      <c r="D33" s="289"/>
      <c r="E33" s="289"/>
      <c r="F33" s="291"/>
      <c r="G33" s="291"/>
      <c r="H33" s="291"/>
      <c r="I33" s="109"/>
      <c r="J33" s="291"/>
      <c r="K33" s="291"/>
      <c r="L33" s="291"/>
      <c r="M33" s="110" t="s">
        <v>139</v>
      </c>
      <c r="N33" s="292" t="s">
        <v>138</v>
      </c>
      <c r="O33" s="292"/>
      <c r="P33" s="295"/>
      <c r="Q33" s="295"/>
      <c r="R33" s="295"/>
      <c r="S33" s="295"/>
      <c r="T33" s="296"/>
    </row>
    <row r="34" spans="1:20" s="3" customFormat="1" ht="15" customHeight="1" x14ac:dyDescent="0.2">
      <c r="A34" s="173"/>
      <c r="B34" s="175" t="s">
        <v>56</v>
      </c>
      <c r="C34" s="176"/>
      <c r="D34" s="177"/>
      <c r="E34" s="177"/>
      <c r="F34" s="178" t="s">
        <v>58</v>
      </c>
      <c r="G34" s="179"/>
      <c r="H34" s="179"/>
      <c r="I34" s="179"/>
      <c r="J34" s="179"/>
      <c r="K34" s="89"/>
      <c r="L34" s="303" t="s">
        <v>60</v>
      </c>
      <c r="M34" s="303"/>
      <c r="N34" s="303"/>
      <c r="O34" s="303"/>
      <c r="P34" s="90"/>
      <c r="Q34" s="180" t="s">
        <v>62</v>
      </c>
      <c r="R34" s="181"/>
      <c r="S34" s="181"/>
      <c r="T34" s="182"/>
    </row>
    <row r="35" spans="1:20" s="3" customFormat="1" ht="14.25" customHeight="1" x14ac:dyDescent="0.2">
      <c r="A35" s="174"/>
      <c r="B35" s="183" t="s">
        <v>57</v>
      </c>
      <c r="C35" s="184"/>
      <c r="D35" s="185"/>
      <c r="E35" s="185"/>
      <c r="F35" s="299" t="s">
        <v>59</v>
      </c>
      <c r="G35" s="300"/>
      <c r="H35" s="300"/>
      <c r="I35" s="300"/>
      <c r="J35" s="300"/>
      <c r="K35" s="111"/>
      <c r="L35" s="304" t="s">
        <v>61</v>
      </c>
      <c r="M35" s="304"/>
      <c r="N35" s="304"/>
      <c r="O35" s="304"/>
      <c r="P35" s="91"/>
      <c r="Q35" s="297"/>
      <c r="R35" s="297"/>
      <c r="S35" s="297"/>
      <c r="T35" s="298"/>
    </row>
    <row r="36" spans="1:20" s="3" customFormat="1" ht="30" customHeight="1" x14ac:dyDescent="0.2">
      <c r="A36" s="67" t="s">
        <v>135</v>
      </c>
      <c r="B36" s="280">
        <v>1950</v>
      </c>
      <c r="C36" s="281"/>
      <c r="D36" s="281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1"/>
      <c r="R36" s="281"/>
      <c r="S36" s="281"/>
      <c r="T36" s="282"/>
    </row>
    <row r="37" spans="1:20" s="3" customFormat="1" ht="30" customHeight="1" x14ac:dyDescent="0.2">
      <c r="A37" s="66" t="s">
        <v>132</v>
      </c>
      <c r="B37" s="244" t="s">
        <v>151</v>
      </c>
      <c r="C37" s="272"/>
      <c r="D37" s="272"/>
      <c r="E37" s="272"/>
      <c r="F37" s="272"/>
      <c r="G37" s="272"/>
      <c r="H37" s="149"/>
      <c r="I37" s="149"/>
      <c r="J37" s="145" t="s">
        <v>129</v>
      </c>
      <c r="K37" s="146"/>
      <c r="L37" s="147"/>
      <c r="M37" s="148" t="s">
        <v>152</v>
      </c>
      <c r="N37" s="149"/>
      <c r="O37" s="149"/>
      <c r="P37" s="149"/>
      <c r="Q37" s="149"/>
      <c r="R37" s="149"/>
      <c r="S37" s="149"/>
      <c r="T37" s="150"/>
    </row>
    <row r="38" spans="1:20" s="3" customFormat="1" ht="30" customHeight="1" x14ac:dyDescent="0.2">
      <c r="A38" s="67" t="s">
        <v>19</v>
      </c>
      <c r="B38" s="241" t="s">
        <v>131</v>
      </c>
      <c r="C38" s="242"/>
      <c r="D38" s="242"/>
      <c r="E38" s="243"/>
      <c r="F38" s="244" t="s">
        <v>153</v>
      </c>
      <c r="G38" s="245"/>
      <c r="H38" s="245"/>
      <c r="I38" s="245"/>
      <c r="J38" s="245"/>
      <c r="K38" s="245"/>
      <c r="L38" s="245"/>
      <c r="M38" s="245"/>
      <c r="N38" s="245"/>
      <c r="O38" s="245"/>
      <c r="P38" s="245"/>
      <c r="Q38" s="245"/>
      <c r="R38" s="245"/>
      <c r="S38" s="245"/>
      <c r="T38" s="246"/>
    </row>
    <row r="39" spans="1:20" s="3" customFormat="1" ht="30" customHeight="1" x14ac:dyDescent="0.2">
      <c r="A39" s="67" t="s">
        <v>27</v>
      </c>
      <c r="B39" s="241" t="s">
        <v>131</v>
      </c>
      <c r="C39" s="242"/>
      <c r="D39" s="242"/>
      <c r="E39" s="243"/>
      <c r="F39" s="244" t="s">
        <v>153</v>
      </c>
      <c r="G39" s="245"/>
      <c r="H39" s="245"/>
      <c r="I39" s="245"/>
      <c r="J39" s="245"/>
      <c r="K39" s="245"/>
      <c r="L39" s="245"/>
      <c r="M39" s="245"/>
      <c r="N39" s="245"/>
      <c r="O39" s="245"/>
      <c r="P39" s="245"/>
      <c r="Q39" s="245"/>
      <c r="R39" s="245"/>
      <c r="S39" s="245"/>
      <c r="T39" s="246"/>
    </row>
    <row r="40" spans="1:20" s="3" customFormat="1" ht="30" customHeight="1" x14ac:dyDescent="0.2">
      <c r="A40" s="67" t="s">
        <v>44</v>
      </c>
      <c r="B40" s="244" t="s">
        <v>154</v>
      </c>
      <c r="C40" s="245"/>
      <c r="D40" s="245"/>
      <c r="E40" s="245"/>
      <c r="F40" s="245"/>
      <c r="G40" s="245"/>
      <c r="H40" s="245"/>
      <c r="I40" s="245"/>
      <c r="J40" s="245"/>
      <c r="K40" s="245"/>
      <c r="L40" s="245"/>
      <c r="M40" s="245"/>
      <c r="N40" s="245"/>
      <c r="O40" s="245"/>
      <c r="P40" s="245"/>
      <c r="Q40" s="245"/>
      <c r="R40" s="245"/>
      <c r="S40" s="245"/>
      <c r="T40" s="246"/>
    </row>
    <row r="41" spans="1:20" s="2" customFormat="1" ht="30" customHeight="1" x14ac:dyDescent="0.2">
      <c r="A41" s="28" t="s">
        <v>20</v>
      </c>
      <c r="B41" s="68"/>
      <c r="C41" s="247"/>
      <c r="D41" s="247"/>
      <c r="E41" s="287" t="s">
        <v>22</v>
      </c>
      <c r="F41" s="287"/>
      <c r="G41" s="69"/>
      <c r="H41" s="3"/>
      <c r="I41" s="69"/>
      <c r="J41" s="104"/>
      <c r="K41" s="104"/>
      <c r="L41" s="113" t="s">
        <v>21</v>
      </c>
      <c r="M41" s="69"/>
      <c r="N41" s="247"/>
      <c r="O41" s="247"/>
      <c r="P41" s="69"/>
      <c r="Q41" s="69"/>
      <c r="R41" s="69"/>
      <c r="S41" s="69"/>
      <c r="T41" s="70"/>
    </row>
    <row r="42" spans="1:20" s="3" customFormat="1" ht="30" customHeight="1" thickBot="1" x14ac:dyDescent="0.25">
      <c r="A42" s="71" t="s">
        <v>23</v>
      </c>
      <c r="B42" s="72"/>
      <c r="C42" s="73"/>
      <c r="D42" s="73"/>
      <c r="E42" s="105" t="s">
        <v>25</v>
      </c>
      <c r="F42" s="73"/>
      <c r="G42" s="73"/>
      <c r="H42" s="73"/>
      <c r="I42" s="73"/>
      <c r="J42" s="73"/>
      <c r="K42" s="73"/>
      <c r="L42" s="106" t="s">
        <v>24</v>
      </c>
      <c r="M42" s="73"/>
      <c r="N42" s="73"/>
      <c r="O42" s="73"/>
      <c r="P42" s="73"/>
      <c r="Q42" s="250"/>
      <c r="R42" s="250"/>
      <c r="S42" s="73"/>
      <c r="T42" s="74"/>
    </row>
    <row r="43" spans="1:20" s="3" customFormat="1" ht="26.25" customHeight="1" thickBot="1" x14ac:dyDescent="0.25">
      <c r="A43" s="115" t="s">
        <v>144</v>
      </c>
      <c r="B43" s="116"/>
      <c r="C43" s="116"/>
      <c r="D43" s="116"/>
      <c r="E43" s="117" t="s">
        <v>143</v>
      </c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8"/>
    </row>
    <row r="44" spans="1:20" s="2" customFormat="1" ht="20.25" customHeight="1" x14ac:dyDescent="0.2">
      <c r="A44" s="251" t="s">
        <v>26</v>
      </c>
      <c r="B44" s="252"/>
      <c r="C44" s="252"/>
      <c r="D44" s="252"/>
      <c r="E44" s="252"/>
      <c r="F44" s="252"/>
      <c r="G44" s="252"/>
      <c r="H44" s="252"/>
      <c r="I44" s="252"/>
      <c r="J44" s="252"/>
      <c r="K44" s="252"/>
      <c r="L44" s="252"/>
      <c r="M44" s="252"/>
      <c r="N44" s="252"/>
      <c r="O44" s="252"/>
      <c r="P44" s="252"/>
      <c r="Q44" s="252"/>
      <c r="R44" s="252"/>
      <c r="S44" s="252"/>
      <c r="T44" s="253"/>
    </row>
    <row r="45" spans="1:20" s="3" customFormat="1" ht="33.75" customHeight="1" x14ac:dyDescent="0.2">
      <c r="A45" s="161" t="s">
        <v>99</v>
      </c>
      <c r="B45" s="162"/>
      <c r="C45" s="163"/>
      <c r="D45" s="164" t="s">
        <v>117</v>
      </c>
      <c r="E45" s="162"/>
      <c r="F45" s="162"/>
      <c r="G45" s="162"/>
      <c r="H45" s="162"/>
      <c r="I45" s="163"/>
      <c r="J45" s="164" t="s">
        <v>100</v>
      </c>
      <c r="K45" s="162"/>
      <c r="L45" s="162"/>
      <c r="M45" s="162"/>
      <c r="N45" s="162"/>
      <c r="O45" s="163"/>
      <c r="P45" s="165" t="s">
        <v>101</v>
      </c>
      <c r="Q45" s="166"/>
      <c r="R45" s="166"/>
      <c r="S45" s="166"/>
      <c r="T45" s="167"/>
    </row>
    <row r="46" spans="1:20" s="3" customFormat="1" ht="17.25" customHeight="1" x14ac:dyDescent="0.2">
      <c r="A46" s="151" t="s">
        <v>102</v>
      </c>
      <c r="B46" s="152"/>
      <c r="C46" s="153"/>
      <c r="D46" s="154" t="s">
        <v>102</v>
      </c>
      <c r="E46" s="152"/>
      <c r="F46" s="152"/>
      <c r="G46" s="152"/>
      <c r="H46" s="152"/>
      <c r="I46" s="153"/>
      <c r="J46" s="154" t="s">
        <v>103</v>
      </c>
      <c r="K46" s="152"/>
      <c r="L46" s="152"/>
      <c r="M46" s="152"/>
      <c r="N46" s="152"/>
      <c r="O46" s="153"/>
      <c r="P46" s="154" t="s">
        <v>145</v>
      </c>
      <c r="Q46" s="152"/>
      <c r="R46" s="152"/>
      <c r="S46" s="152"/>
      <c r="T46" s="306"/>
    </row>
    <row r="47" spans="1:20" s="3" customFormat="1" ht="28.5" customHeight="1" x14ac:dyDescent="0.2">
      <c r="A47" s="270" t="s">
        <v>155</v>
      </c>
      <c r="B47" s="230"/>
      <c r="C47" s="231"/>
      <c r="D47" s="229"/>
      <c r="E47" s="230"/>
      <c r="F47" s="230"/>
      <c r="G47" s="230"/>
      <c r="H47" s="230"/>
      <c r="I47" s="231"/>
      <c r="J47" s="229"/>
      <c r="K47" s="230"/>
      <c r="L47" s="230"/>
      <c r="M47" s="230"/>
      <c r="N47" s="230"/>
      <c r="O47" s="231"/>
      <c r="P47" s="248"/>
      <c r="Q47" s="249"/>
      <c r="R47" s="249"/>
      <c r="S47" s="249"/>
      <c r="T47" s="307"/>
    </row>
    <row r="48" spans="1:20" s="3" customFormat="1" ht="28.5" customHeight="1" x14ac:dyDescent="0.2">
      <c r="A48" s="92" t="s">
        <v>103</v>
      </c>
      <c r="B48" s="93"/>
      <c r="C48" s="93"/>
      <c r="D48" s="248" t="s">
        <v>103</v>
      </c>
      <c r="E48" s="249"/>
      <c r="F48" s="249"/>
      <c r="G48" s="94"/>
      <c r="H48" s="94"/>
      <c r="I48" s="95"/>
      <c r="J48" s="229"/>
      <c r="K48" s="230"/>
      <c r="L48" s="230"/>
      <c r="M48" s="230"/>
      <c r="N48" s="230"/>
      <c r="O48" s="231"/>
      <c r="P48" s="235"/>
      <c r="Q48" s="236"/>
      <c r="R48" s="236"/>
      <c r="S48" s="236"/>
      <c r="T48" s="237"/>
    </row>
    <row r="49" spans="1:21" s="3" customFormat="1" ht="62.25" customHeight="1" thickBot="1" x14ac:dyDescent="0.25">
      <c r="A49" s="225">
        <v>44176</v>
      </c>
      <c r="B49" s="226"/>
      <c r="C49" s="227"/>
      <c r="D49" s="228"/>
      <c r="E49" s="226"/>
      <c r="F49" s="226"/>
      <c r="G49" s="226"/>
      <c r="H49" s="226"/>
      <c r="I49" s="227"/>
      <c r="J49" s="232"/>
      <c r="K49" s="233"/>
      <c r="L49" s="233"/>
      <c r="M49" s="233"/>
      <c r="N49" s="233"/>
      <c r="O49" s="234"/>
      <c r="P49" s="238"/>
      <c r="Q49" s="239"/>
      <c r="R49" s="239"/>
      <c r="S49" s="239"/>
      <c r="T49" s="240"/>
      <c r="U49" s="96"/>
    </row>
    <row r="50" spans="1:21" s="3" customFormat="1" ht="62.25" customHeight="1" x14ac:dyDescent="0.2">
      <c r="A50" s="6"/>
      <c r="B50" s="6"/>
      <c r="C50" s="6"/>
      <c r="D50" s="9"/>
      <c r="E50" s="6"/>
      <c r="F50" s="6"/>
      <c r="G50" s="6"/>
      <c r="H50" s="6"/>
      <c r="I50" s="6"/>
      <c r="J50" s="6"/>
      <c r="K50" s="9"/>
      <c r="L50" s="6"/>
      <c r="M50" s="6"/>
      <c r="N50" s="6"/>
      <c r="O50" s="6"/>
      <c r="P50" s="9"/>
      <c r="Q50" s="6"/>
      <c r="R50" s="6"/>
      <c r="S50" s="6"/>
      <c r="T50" s="6"/>
    </row>
    <row r="51" spans="1:21" s="3" customFormat="1" ht="27" customHeight="1" x14ac:dyDescent="0.2">
      <c r="A51" s="6"/>
      <c r="B51" s="6"/>
      <c r="C51" s="6"/>
      <c r="D51" s="9"/>
      <c r="E51" s="6"/>
      <c r="F51" s="6"/>
      <c r="G51" s="6"/>
      <c r="H51" s="6"/>
      <c r="I51" s="6"/>
      <c r="J51" s="6"/>
      <c r="K51" s="9"/>
      <c r="L51" s="6"/>
      <c r="M51" s="6"/>
      <c r="N51" s="6"/>
      <c r="O51" s="6"/>
      <c r="P51" s="9"/>
      <c r="Q51" s="6"/>
      <c r="R51" s="6"/>
      <c r="S51" s="6"/>
      <c r="T51" s="6"/>
    </row>
    <row r="52" spans="1:21" s="4" customFormat="1" ht="48.75" customHeight="1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2"/>
      <c r="Q52" s="11"/>
      <c r="R52" s="11"/>
      <c r="S52" s="11"/>
      <c r="T52" s="11"/>
    </row>
    <row r="53" spans="1:21" s="2" customFormat="1" ht="36" customHeight="1" x14ac:dyDescent="0.2">
      <c r="A53" s="5"/>
      <c r="B53" s="5"/>
      <c r="C53" s="4"/>
      <c r="D53" s="5"/>
      <c r="E53" s="5"/>
      <c r="F53" s="5"/>
      <c r="G53" s="5"/>
      <c r="H53" s="5"/>
      <c r="I53" s="5"/>
      <c r="J53" s="5"/>
      <c r="K53" s="5"/>
      <c r="L53" s="5"/>
      <c r="M53" s="4"/>
      <c r="N53" s="5"/>
      <c r="O53" s="5"/>
      <c r="P53" s="5"/>
      <c r="Q53" s="5"/>
      <c r="R53" s="5"/>
      <c r="S53" s="5"/>
      <c r="T53" s="4"/>
    </row>
    <row r="54" spans="1:21" s="2" customFormat="1" ht="16.5" customHeight="1" x14ac:dyDescent="0.2">
      <c r="A54" s="5"/>
      <c r="B54" s="5"/>
      <c r="C54" s="4"/>
      <c r="D54" s="5"/>
      <c r="E54" s="5"/>
      <c r="F54" s="5"/>
      <c r="G54" s="5"/>
      <c r="H54" s="5"/>
      <c r="I54" s="5"/>
      <c r="J54" s="5"/>
      <c r="K54" s="5"/>
      <c r="L54" s="5"/>
      <c r="M54" s="4"/>
      <c r="N54" s="5"/>
      <c r="O54" s="5"/>
      <c r="P54" s="5"/>
      <c r="Q54" s="5"/>
      <c r="R54" s="5"/>
      <c r="S54" s="5"/>
      <c r="T54" s="4"/>
    </row>
  </sheetData>
  <sheetProtection password="F6EE" sheet="1" objects="1" scenarios="1" selectLockedCells="1"/>
  <mergeCells count="102">
    <mergeCell ref="Q35:T35"/>
    <mergeCell ref="F20:I20"/>
    <mergeCell ref="J20:T20"/>
    <mergeCell ref="F35:J35"/>
    <mergeCell ref="M32:O32"/>
    <mergeCell ref="L34:O34"/>
    <mergeCell ref="L35:O35"/>
    <mergeCell ref="O18:T18"/>
    <mergeCell ref="P46:T47"/>
    <mergeCell ref="B14:I14"/>
    <mergeCell ref="J14:T14"/>
    <mergeCell ref="B20:E20"/>
    <mergeCell ref="B16:I16"/>
    <mergeCell ref="J16:L16"/>
    <mergeCell ref="M16:T16"/>
    <mergeCell ref="C21:E21"/>
    <mergeCell ref="G21:H21"/>
    <mergeCell ref="A47:C47"/>
    <mergeCell ref="L21:N21"/>
    <mergeCell ref="Q21:R21"/>
    <mergeCell ref="B37:I37"/>
    <mergeCell ref="A19:A20"/>
    <mergeCell ref="B19:E19"/>
    <mergeCell ref="F19:I19"/>
    <mergeCell ref="B36:T36"/>
    <mergeCell ref="I15:L15"/>
    <mergeCell ref="N15:P15"/>
    <mergeCell ref="E41:F41"/>
    <mergeCell ref="C32:E33"/>
    <mergeCell ref="F32:H33"/>
    <mergeCell ref="J32:L33"/>
    <mergeCell ref="N33:O33"/>
    <mergeCell ref="P32:T33"/>
    <mergeCell ref="A49:C49"/>
    <mergeCell ref="D49:I49"/>
    <mergeCell ref="J47:O47"/>
    <mergeCell ref="J48:O49"/>
    <mergeCell ref="P48:T49"/>
    <mergeCell ref="D47:I47"/>
    <mergeCell ref="B38:E38"/>
    <mergeCell ref="B40:T40"/>
    <mergeCell ref="B39:E39"/>
    <mergeCell ref="C41:D41"/>
    <mergeCell ref="J46:O46"/>
    <mergeCell ref="D48:F48"/>
    <mergeCell ref="Q42:R42"/>
    <mergeCell ref="A44:T44"/>
    <mergeCell ref="N41:O41"/>
    <mergeCell ref="F38:T38"/>
    <mergeCell ref="F39:T39"/>
    <mergeCell ref="V27:X29"/>
    <mergeCell ref="V30:X31"/>
    <mergeCell ref="A30:A31"/>
    <mergeCell ref="F30:I30"/>
    <mergeCell ref="J30:L30"/>
    <mergeCell ref="A23:A29"/>
    <mergeCell ref="R25:T25"/>
    <mergeCell ref="B25:F25"/>
    <mergeCell ref="G25:L25"/>
    <mergeCell ref="B26:F26"/>
    <mergeCell ref="B27:F27"/>
    <mergeCell ref="B28:F28"/>
    <mergeCell ref="G26:L26"/>
    <mergeCell ref="G27:L27"/>
    <mergeCell ref="G28:L28"/>
    <mergeCell ref="M27:P28"/>
    <mergeCell ref="B5:J5"/>
    <mergeCell ref="L5:M5"/>
    <mergeCell ref="N5:T5"/>
    <mergeCell ref="B7:K7"/>
    <mergeCell ref="B8:K8"/>
    <mergeCell ref="L8:N8"/>
    <mergeCell ref="O8:T8"/>
    <mergeCell ref="B9:T9"/>
    <mergeCell ref="B10:C10"/>
    <mergeCell ref="E10:K10"/>
    <mergeCell ref="L10:N10"/>
    <mergeCell ref="O10:T10"/>
    <mergeCell ref="A13:T13"/>
    <mergeCell ref="B18:F18"/>
    <mergeCell ref="G18:I18"/>
    <mergeCell ref="J18:N18"/>
    <mergeCell ref="J37:L37"/>
    <mergeCell ref="M37:T37"/>
    <mergeCell ref="A46:C46"/>
    <mergeCell ref="D46:I46"/>
    <mergeCell ref="O17:Q17"/>
    <mergeCell ref="M17:N17"/>
    <mergeCell ref="G22:N22"/>
    <mergeCell ref="A45:C45"/>
    <mergeCell ref="D45:I45"/>
    <mergeCell ref="J45:O45"/>
    <mergeCell ref="P45:T45"/>
    <mergeCell ref="R27:T28"/>
    <mergeCell ref="A21:A22"/>
    <mergeCell ref="A32:A35"/>
    <mergeCell ref="B34:E34"/>
    <mergeCell ref="F34:J34"/>
    <mergeCell ref="Q34:T34"/>
    <mergeCell ref="B35:E35"/>
    <mergeCell ref="B17:I17"/>
    <mergeCell ref="J17:L17"/>
  </mergeCells>
  <conditionalFormatting sqref="Q45:T45 P45:P46 P48">
    <cfRule type="expression" dxfId="6" priority="19">
      <formula>$B$17="ETAM"</formula>
    </cfRule>
  </conditionalFormatting>
  <conditionalFormatting sqref="O17:S17">
    <cfRule type="expression" dxfId="5" priority="20">
      <formula>$J$14="CCNAMI"</formula>
    </cfRule>
    <cfRule type="expression" dxfId="4" priority="21">
      <formula>$J$14="CCNAD"</formula>
    </cfRule>
  </conditionalFormatting>
  <conditionalFormatting sqref="J17:N17">
    <cfRule type="expression" dxfId="3" priority="22">
      <formula>$J$14="CCNICR"</formula>
    </cfRule>
  </conditionalFormatting>
  <dataValidations count="7">
    <dataValidation type="list" allowBlank="1" showInputMessage="1" showErrorMessage="1" sqref="R29">
      <formula1>interim</formula1>
    </dataValidation>
    <dataValidation type="list" allowBlank="1" showInputMessage="1" showErrorMessage="1" sqref="B14">
      <formula1>CCN</formula1>
    </dataValidation>
    <dataValidation type="list" allowBlank="1" showInputMessage="1" showErrorMessage="1" sqref="B5:J5">
      <formula1>DIREX</formula1>
    </dataValidation>
    <dataValidation type="list" allowBlank="1" showInputMessage="1" showErrorMessage="1" sqref="B17">
      <formula1>STATUT</formula1>
    </dataValidation>
    <dataValidation type="list" allowBlank="1" showInputMessage="1" showErrorMessage="1" sqref="R17">
      <formula1>ECHELON</formula1>
    </dataValidation>
    <dataValidation type="list" allowBlank="1" showInputMessage="1" showErrorMessage="1" sqref="T17">
      <formula1>NIVEAU</formula1>
    </dataValidation>
    <dataValidation type="list" allowBlank="1" showInputMessage="1" sqref="N5:T5">
      <formula1>SERVICE</formula1>
    </dataValidation>
  </dataValidations>
  <printOptions horizontalCentered="1" verticalCentered="1"/>
  <pageMargins left="0" right="0" top="0" bottom="0.31496062992125984" header="0.35433070866141736" footer="0.11811023622047245"/>
  <pageSetup paperSize="9" scale="74" orientation="portrait" r:id="rId1"/>
  <headerFooter>
    <oddFooter>&amp;L&amp;"Arial,Gras"&amp;8IS 33 04 01_02 COVED V05 (Mai 2016) - Fiche Contrat de Travail_ETAM / Cadre&amp;R&amp;"-,Italique"&amp;8&amp;P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Check Box 1">
              <controlPr defaultSize="0" autoFill="0" autoLine="0" autoPict="0">
                <anchor moveWithCells="1">
                  <from>
                    <xdr:col>9</xdr:col>
                    <xdr:colOff>114300</xdr:colOff>
                    <xdr:row>41</xdr:row>
                    <xdr:rowOff>85725</xdr:rowOff>
                  </from>
                  <to>
                    <xdr:col>11</xdr:col>
                    <xdr:colOff>114300</xdr:colOff>
                    <xdr:row>41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5" name="Check Box 3">
              <controlPr defaultSize="0" autoFill="0" autoLine="0" autoPict="0">
                <anchor moveWithCells="1">
                  <from>
                    <xdr:col>2</xdr:col>
                    <xdr:colOff>247650</xdr:colOff>
                    <xdr:row>14</xdr:row>
                    <xdr:rowOff>19050</xdr:rowOff>
                  </from>
                  <to>
                    <xdr:col>4</xdr:col>
                    <xdr:colOff>76200</xdr:colOff>
                    <xdr:row>14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6" name="Check Box 5">
              <controlPr defaultSize="0" autoFill="0" autoLine="0" autoPict="0">
                <anchor moveWithCells="1">
                  <from>
                    <xdr:col>4</xdr:col>
                    <xdr:colOff>457200</xdr:colOff>
                    <xdr:row>18</xdr:row>
                    <xdr:rowOff>85725</xdr:rowOff>
                  </from>
                  <to>
                    <xdr:col>4</xdr:col>
                    <xdr:colOff>771525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7" name="Check Box 6">
              <controlPr defaultSize="0" autoFill="0" autoLine="0" autoPict="0">
                <anchor moveWithCells="1">
                  <from>
                    <xdr:col>4</xdr:col>
                    <xdr:colOff>466725</xdr:colOff>
                    <xdr:row>19</xdr:row>
                    <xdr:rowOff>66675</xdr:rowOff>
                  </from>
                  <to>
                    <xdr:col>4</xdr:col>
                    <xdr:colOff>781050</xdr:colOff>
                    <xdr:row>19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8" name="Check Box 9">
              <controlPr defaultSize="0" autoFill="0" autoLine="0" autoPict="0">
                <anchor moveWithCells="1">
                  <from>
                    <xdr:col>4</xdr:col>
                    <xdr:colOff>466725</xdr:colOff>
                    <xdr:row>22</xdr:row>
                    <xdr:rowOff>0</xdr:rowOff>
                  </from>
                  <to>
                    <xdr:col>4</xdr:col>
                    <xdr:colOff>771525</xdr:colOff>
                    <xdr:row>23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9" name="Check Box 10">
              <controlPr defaultSize="0" autoFill="0" autoLine="0" autoPict="0">
                <anchor moveWithCells="1">
                  <from>
                    <xdr:col>11</xdr:col>
                    <xdr:colOff>933450</xdr:colOff>
                    <xdr:row>22</xdr:row>
                    <xdr:rowOff>0</xdr:rowOff>
                  </from>
                  <to>
                    <xdr:col>13</xdr:col>
                    <xdr:colOff>28575</xdr:colOff>
                    <xdr:row>23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0" name="Check Box 11">
              <controlPr defaultSize="0" autoFill="0" autoLine="0" autoPict="0">
                <anchor moveWithCells="1">
                  <from>
                    <xdr:col>1</xdr:col>
                    <xdr:colOff>133350</xdr:colOff>
                    <xdr:row>31</xdr:row>
                    <xdr:rowOff>9525</xdr:rowOff>
                  </from>
                  <to>
                    <xdr:col>2</xdr:col>
                    <xdr:colOff>95250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1" name="Check Box 13">
              <controlPr defaultSize="0" autoFill="0" autoLine="0" autoPict="0">
                <anchor moveWithCells="1">
                  <from>
                    <xdr:col>9</xdr:col>
                    <xdr:colOff>123825</xdr:colOff>
                    <xdr:row>40</xdr:row>
                    <xdr:rowOff>0</xdr:rowOff>
                  </from>
                  <to>
                    <xdr:col>11</xdr:col>
                    <xdr:colOff>123825</xdr:colOff>
                    <xdr:row>40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12" name="Check Box 16">
              <controlPr defaultSize="0" autoFill="0" autoLine="0" autoPict="0">
                <anchor moveWithCells="1">
                  <from>
                    <xdr:col>2</xdr:col>
                    <xdr:colOff>228600</xdr:colOff>
                    <xdr:row>41</xdr:row>
                    <xdr:rowOff>76200</xdr:rowOff>
                  </from>
                  <to>
                    <xdr:col>4</xdr:col>
                    <xdr:colOff>38100</xdr:colOff>
                    <xdr:row>41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4" r:id="rId13" name="Check Box 18">
              <controlPr defaultSize="0" autoFill="0" autoLine="0" autoPict="0">
                <anchor moveWithCells="1">
                  <from>
                    <xdr:col>16</xdr:col>
                    <xdr:colOff>76200</xdr:colOff>
                    <xdr:row>26</xdr:row>
                    <xdr:rowOff>66675</xdr:rowOff>
                  </from>
                  <to>
                    <xdr:col>16</xdr:col>
                    <xdr:colOff>381000</xdr:colOff>
                    <xdr:row>27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5" r:id="rId14" name="Check Box 19">
              <controlPr defaultSize="0" autoFill="0" autoLine="0" autoPict="0">
                <anchor moveWithCells="1">
                  <from>
                    <xdr:col>16</xdr:col>
                    <xdr:colOff>76200</xdr:colOff>
                    <xdr:row>23</xdr:row>
                    <xdr:rowOff>95250</xdr:rowOff>
                  </from>
                  <to>
                    <xdr:col>16</xdr:col>
                    <xdr:colOff>390525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6" r:id="rId15" name="Check Box 20">
              <controlPr defaultSize="0" autoFill="0" autoLine="0" autoPict="0">
                <anchor moveWithCells="1">
                  <from>
                    <xdr:col>16</xdr:col>
                    <xdr:colOff>76200</xdr:colOff>
                    <xdr:row>24</xdr:row>
                    <xdr:rowOff>114300</xdr:rowOff>
                  </from>
                  <to>
                    <xdr:col>16</xdr:col>
                    <xdr:colOff>390525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0" r:id="rId16" name="Check Box 24">
              <controlPr defaultSize="0" autoFill="0" autoLine="0" autoPict="0">
                <anchor moveWithCells="1">
                  <from>
                    <xdr:col>8</xdr:col>
                    <xdr:colOff>0</xdr:colOff>
                    <xdr:row>31</xdr:row>
                    <xdr:rowOff>9525</xdr:rowOff>
                  </from>
                  <to>
                    <xdr:col>9</xdr:col>
                    <xdr:colOff>95250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1" r:id="rId17" name="Check Box 25">
              <controlPr defaultSize="0" autoFill="0" autoLine="0" autoPict="0">
                <anchor moveWithCells="1">
                  <from>
                    <xdr:col>11</xdr:col>
                    <xdr:colOff>762000</xdr:colOff>
                    <xdr:row>31</xdr:row>
                    <xdr:rowOff>9525</xdr:rowOff>
                  </from>
                  <to>
                    <xdr:col>12</xdr:col>
                    <xdr:colOff>66675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2" r:id="rId18" name="Check Box 26">
              <controlPr defaultSize="0" autoFill="0" autoLine="0" autoPict="0">
                <anchor moveWithCells="1">
                  <from>
                    <xdr:col>4</xdr:col>
                    <xdr:colOff>628650</xdr:colOff>
                    <xdr:row>30</xdr:row>
                    <xdr:rowOff>180975</xdr:rowOff>
                  </from>
                  <to>
                    <xdr:col>5</xdr:col>
                    <xdr:colOff>28575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3" r:id="rId19" name="Check Box 27">
              <controlPr defaultSize="0" autoFill="0" autoLine="0" autoPict="0">
                <anchor moveWithCells="1">
                  <from>
                    <xdr:col>2</xdr:col>
                    <xdr:colOff>266700</xdr:colOff>
                    <xdr:row>19</xdr:row>
                    <xdr:rowOff>342900</xdr:rowOff>
                  </from>
                  <to>
                    <xdr:col>4</xdr:col>
                    <xdr:colOff>95250</xdr:colOff>
                    <xdr:row>21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4" r:id="rId20" name="Check Box 28">
              <controlPr defaultSize="0" autoFill="0" autoLine="0" autoPict="0">
                <anchor moveWithCells="1">
                  <from>
                    <xdr:col>5</xdr:col>
                    <xdr:colOff>76200</xdr:colOff>
                    <xdr:row>19</xdr:row>
                    <xdr:rowOff>333375</xdr:rowOff>
                  </from>
                  <to>
                    <xdr:col>6</xdr:col>
                    <xdr:colOff>114300</xdr:colOff>
                    <xdr:row>21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5" r:id="rId21" name="Check Box 29">
              <controlPr defaultSize="0" autoFill="0" autoLine="0" autoPict="0">
                <anchor moveWithCells="1">
                  <from>
                    <xdr:col>9</xdr:col>
                    <xdr:colOff>0</xdr:colOff>
                    <xdr:row>19</xdr:row>
                    <xdr:rowOff>342900</xdr:rowOff>
                  </from>
                  <to>
                    <xdr:col>11</xdr:col>
                    <xdr:colOff>9525</xdr:colOff>
                    <xdr:row>21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6" r:id="rId22" name="Check Box 30">
              <controlPr defaultSize="0" autoFill="0" autoLine="0" autoPict="0">
                <anchor moveWithCells="1">
                  <from>
                    <xdr:col>16</xdr:col>
                    <xdr:colOff>28575</xdr:colOff>
                    <xdr:row>19</xdr:row>
                    <xdr:rowOff>342900</xdr:rowOff>
                  </from>
                  <to>
                    <xdr:col>16</xdr:col>
                    <xdr:colOff>342900</xdr:colOff>
                    <xdr:row>21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7" r:id="rId23" name="Check Box 31">
              <controlPr defaultSize="0" autoFill="0" autoLine="0" autoPict="0">
                <anchor moveWithCells="1">
                  <from>
                    <xdr:col>2</xdr:col>
                    <xdr:colOff>266700</xdr:colOff>
                    <xdr:row>21</xdr:row>
                    <xdr:rowOff>19050</xdr:rowOff>
                  </from>
                  <to>
                    <xdr:col>4</xdr:col>
                    <xdr:colOff>95250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8" r:id="rId24" name="Check Box 32">
              <controlPr defaultSize="0" autoFill="0" autoLine="0" autoPict="0">
                <anchor moveWithCells="1">
                  <from>
                    <xdr:col>5</xdr:col>
                    <xdr:colOff>76200</xdr:colOff>
                    <xdr:row>21</xdr:row>
                    <xdr:rowOff>19050</xdr:rowOff>
                  </from>
                  <to>
                    <xdr:col>6</xdr:col>
                    <xdr:colOff>114300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0" r:id="rId25" name="Check Box 34">
              <controlPr defaultSize="0" autoFill="0" autoLine="0" autoPict="0">
                <anchor moveWithCells="1">
                  <from>
                    <xdr:col>11</xdr:col>
                    <xdr:colOff>409575</xdr:colOff>
                    <xdr:row>23</xdr:row>
                    <xdr:rowOff>114300</xdr:rowOff>
                  </from>
                  <to>
                    <xdr:col>11</xdr:col>
                    <xdr:colOff>723900</xdr:colOff>
                    <xdr:row>25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1" r:id="rId26" name="Check Box 35">
              <controlPr defaultSize="0" autoFill="0" autoLine="0" autoPict="0">
                <anchor moveWithCells="1">
                  <from>
                    <xdr:col>11</xdr:col>
                    <xdr:colOff>409575</xdr:colOff>
                    <xdr:row>24</xdr:row>
                    <xdr:rowOff>114300</xdr:rowOff>
                  </from>
                  <to>
                    <xdr:col>11</xdr:col>
                    <xdr:colOff>723900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2" r:id="rId27" name="Check Box 36">
              <controlPr defaultSize="0" autoFill="0" autoLine="0" autoPict="0">
                <anchor moveWithCells="1">
                  <from>
                    <xdr:col>11</xdr:col>
                    <xdr:colOff>409575</xdr:colOff>
                    <xdr:row>25</xdr:row>
                    <xdr:rowOff>104775</xdr:rowOff>
                  </from>
                  <to>
                    <xdr:col>11</xdr:col>
                    <xdr:colOff>723900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3" r:id="rId28" name="Check Box 37">
              <controlPr defaultSize="0" autoFill="0" autoLine="0" autoPict="0">
                <anchor moveWithCells="1">
                  <from>
                    <xdr:col>11</xdr:col>
                    <xdr:colOff>409575</xdr:colOff>
                    <xdr:row>26</xdr:row>
                    <xdr:rowOff>104775</xdr:rowOff>
                  </from>
                  <to>
                    <xdr:col>11</xdr:col>
                    <xdr:colOff>723900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5" r:id="rId29" name="Check Box 39">
              <controlPr defaultSize="0" autoFill="0" autoLine="0" autoPict="0">
                <anchor moveWithCells="1">
                  <from>
                    <xdr:col>13</xdr:col>
                    <xdr:colOff>209550</xdr:colOff>
                    <xdr:row>14</xdr:row>
                    <xdr:rowOff>9525</xdr:rowOff>
                  </from>
                  <to>
                    <xdr:col>14</xdr:col>
                    <xdr:colOff>19050</xdr:colOff>
                    <xdr:row>14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6" r:id="rId30" name="Check Box 40">
              <controlPr defaultSize="0" autoFill="0" autoLine="0" autoPict="0">
                <anchor moveWithCells="1">
                  <from>
                    <xdr:col>17</xdr:col>
                    <xdr:colOff>123825</xdr:colOff>
                    <xdr:row>14</xdr:row>
                    <xdr:rowOff>9525</xdr:rowOff>
                  </from>
                  <to>
                    <xdr:col>18</xdr:col>
                    <xdr:colOff>47625</xdr:colOff>
                    <xdr:row>14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7" r:id="rId31" name="Check Box 41">
              <controlPr defaultSize="0" autoFill="0" autoLine="0" autoPict="0">
                <anchor moveWithCells="1">
                  <from>
                    <xdr:col>5</xdr:col>
                    <xdr:colOff>9525</xdr:colOff>
                    <xdr:row>14</xdr:row>
                    <xdr:rowOff>19050</xdr:rowOff>
                  </from>
                  <to>
                    <xdr:col>6</xdr:col>
                    <xdr:colOff>47625</xdr:colOff>
                    <xdr:row>14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8" r:id="rId32" name="Check Box 42">
              <controlPr defaultSize="0" autoFill="0" autoLine="0" autoPict="0">
                <anchor moveWithCells="1">
                  <from>
                    <xdr:col>2</xdr:col>
                    <xdr:colOff>228600</xdr:colOff>
                    <xdr:row>40</xdr:row>
                    <xdr:rowOff>0</xdr:rowOff>
                  </from>
                  <to>
                    <xdr:col>4</xdr:col>
                    <xdr:colOff>47625</xdr:colOff>
                    <xdr:row>40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0" r:id="rId33" name="Check Box 44">
              <controlPr defaultSize="0" autoFill="0" autoLine="0" autoPict="0">
                <anchor moveWithCells="1">
                  <from>
                    <xdr:col>1</xdr:col>
                    <xdr:colOff>114300</xdr:colOff>
                    <xdr:row>42</xdr:row>
                    <xdr:rowOff>76200</xdr:rowOff>
                  </from>
                  <to>
                    <xdr:col>2</xdr:col>
                    <xdr:colOff>66675</xdr:colOff>
                    <xdr:row>42</xdr:row>
                    <xdr:rowOff>304800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91"/>
  <sheetViews>
    <sheetView topLeftCell="B1" workbookViewId="0">
      <selection activeCell="E24" sqref="E24"/>
    </sheetView>
  </sheetViews>
  <sheetFormatPr baseColWidth="10" defaultRowHeight="12.75" x14ac:dyDescent="0.2"/>
  <cols>
    <col min="1" max="1" width="37.7109375" bestFit="1" customWidth="1"/>
    <col min="3" max="3" width="18.85546875" bestFit="1" customWidth="1"/>
    <col min="5" max="5" width="30.28515625" bestFit="1" customWidth="1"/>
    <col min="6" max="6" width="3" customWidth="1"/>
  </cols>
  <sheetData>
    <row r="2" spans="1:14" x14ac:dyDescent="0.2">
      <c r="A2" t="s">
        <v>49</v>
      </c>
      <c r="B2">
        <v>1</v>
      </c>
      <c r="C2" s="21" t="s">
        <v>141</v>
      </c>
      <c r="D2" t="s">
        <v>97</v>
      </c>
      <c r="E2" s="22" t="s">
        <v>64</v>
      </c>
      <c r="F2" s="23" t="s">
        <v>12</v>
      </c>
      <c r="G2" s="24" t="s">
        <v>31</v>
      </c>
      <c r="H2" s="24"/>
      <c r="I2" s="21" t="s">
        <v>104</v>
      </c>
      <c r="J2" s="21" t="s">
        <v>105</v>
      </c>
      <c r="K2" s="21" t="s">
        <v>119</v>
      </c>
      <c r="L2" s="24"/>
    </row>
    <row r="3" spans="1:14" x14ac:dyDescent="0.2">
      <c r="A3" s="21" t="s">
        <v>50</v>
      </c>
      <c r="B3">
        <v>2</v>
      </c>
      <c r="C3" s="21" t="s">
        <v>82</v>
      </c>
      <c r="D3" t="s">
        <v>98</v>
      </c>
      <c r="E3" s="25" t="s">
        <v>73</v>
      </c>
      <c r="F3" s="23" t="s">
        <v>12</v>
      </c>
      <c r="G3" s="24" t="s">
        <v>65</v>
      </c>
      <c r="H3" s="24"/>
      <c r="I3" s="21" t="s">
        <v>106</v>
      </c>
      <c r="J3" s="21" t="s">
        <v>107</v>
      </c>
      <c r="K3" s="21" t="s">
        <v>120</v>
      </c>
      <c r="L3" s="24"/>
    </row>
    <row r="4" spans="1:14" x14ac:dyDescent="0.2">
      <c r="A4" t="s">
        <v>51</v>
      </c>
      <c r="B4">
        <v>3</v>
      </c>
      <c r="C4" s="21" t="s">
        <v>83</v>
      </c>
      <c r="E4" s="25" t="s">
        <v>32</v>
      </c>
      <c r="F4" s="23" t="s">
        <v>12</v>
      </c>
      <c r="G4" s="24" t="s">
        <v>33</v>
      </c>
      <c r="H4" s="24"/>
      <c r="I4" s="21" t="s">
        <v>108</v>
      </c>
      <c r="J4" s="21" t="s">
        <v>109</v>
      </c>
      <c r="K4" s="21" t="s">
        <v>121</v>
      </c>
      <c r="L4" s="24"/>
    </row>
    <row r="5" spans="1:14" x14ac:dyDescent="0.2">
      <c r="B5">
        <v>4</v>
      </c>
      <c r="C5" s="21" t="s">
        <v>84</v>
      </c>
      <c r="E5" s="25" t="s">
        <v>74</v>
      </c>
      <c r="F5" s="23" t="s">
        <v>12</v>
      </c>
      <c r="G5" s="24" t="s">
        <v>77</v>
      </c>
      <c r="H5" s="24"/>
      <c r="I5" s="21" t="s">
        <v>110</v>
      </c>
      <c r="J5" s="21" t="s">
        <v>111</v>
      </c>
      <c r="K5" t="s">
        <v>122</v>
      </c>
      <c r="L5" s="24"/>
    </row>
    <row r="6" spans="1:14" x14ac:dyDescent="0.2">
      <c r="B6">
        <v>5</v>
      </c>
      <c r="C6" s="21" t="s">
        <v>85</v>
      </c>
      <c r="E6" s="25" t="s">
        <v>34</v>
      </c>
      <c r="F6" s="23" t="s">
        <v>12</v>
      </c>
      <c r="G6" s="24" t="s">
        <v>35</v>
      </c>
      <c r="H6" s="24"/>
      <c r="I6" s="21" t="s">
        <v>112</v>
      </c>
      <c r="K6" t="s">
        <v>123</v>
      </c>
      <c r="L6" s="24"/>
    </row>
    <row r="7" spans="1:14" x14ac:dyDescent="0.2">
      <c r="B7">
        <v>6</v>
      </c>
      <c r="C7" s="21" t="s">
        <v>86</v>
      </c>
      <c r="E7" s="25" t="s">
        <v>75</v>
      </c>
      <c r="F7" s="23" t="s">
        <v>12</v>
      </c>
      <c r="G7" s="24" t="s">
        <v>76</v>
      </c>
      <c r="H7" s="24"/>
      <c r="I7" s="21" t="s">
        <v>113</v>
      </c>
      <c r="K7" t="s">
        <v>124</v>
      </c>
      <c r="L7" s="24"/>
    </row>
    <row r="8" spans="1:14" x14ac:dyDescent="0.2">
      <c r="B8">
        <v>7</v>
      </c>
      <c r="C8" s="21" t="s">
        <v>87</v>
      </c>
      <c r="E8" s="25" t="s">
        <v>79</v>
      </c>
      <c r="F8" s="23" t="s">
        <v>12</v>
      </c>
      <c r="G8" s="24" t="s">
        <v>78</v>
      </c>
      <c r="H8" s="24"/>
      <c r="I8" s="21" t="s">
        <v>114</v>
      </c>
      <c r="K8" s="21" t="s">
        <v>125</v>
      </c>
      <c r="L8" s="24"/>
    </row>
    <row r="9" spans="1:14" x14ac:dyDescent="0.2">
      <c r="B9">
        <v>8</v>
      </c>
      <c r="C9" s="21" t="s">
        <v>88</v>
      </c>
      <c r="E9" s="25" t="s">
        <v>36</v>
      </c>
      <c r="F9" s="23" t="s">
        <v>12</v>
      </c>
      <c r="G9" s="24" t="s">
        <v>37</v>
      </c>
      <c r="H9" s="24"/>
      <c r="K9" s="21" t="s">
        <v>126</v>
      </c>
      <c r="L9" s="24"/>
      <c r="M9" s="26"/>
      <c r="N9" s="26"/>
    </row>
    <row r="10" spans="1:14" x14ac:dyDescent="0.2">
      <c r="B10">
        <v>9</v>
      </c>
      <c r="C10" s="21" t="s">
        <v>89</v>
      </c>
      <c r="E10" s="25" t="s">
        <v>36</v>
      </c>
      <c r="F10" s="23" t="s">
        <v>12</v>
      </c>
      <c r="G10" s="24" t="s">
        <v>80</v>
      </c>
      <c r="H10" s="24"/>
      <c r="J10" s="24"/>
      <c r="K10" s="24"/>
      <c r="L10" s="24"/>
      <c r="M10" s="26"/>
      <c r="N10" s="26"/>
    </row>
    <row r="11" spans="1:14" x14ac:dyDescent="0.2">
      <c r="B11">
        <v>10</v>
      </c>
      <c r="C11" s="21" t="s">
        <v>90</v>
      </c>
    </row>
    <row r="12" spans="1:14" x14ac:dyDescent="0.2">
      <c r="B12">
        <v>11</v>
      </c>
      <c r="C12" s="21" t="s">
        <v>91</v>
      </c>
    </row>
    <row r="13" spans="1:14" x14ac:dyDescent="0.2">
      <c r="B13">
        <v>12</v>
      </c>
      <c r="C13" s="21" t="s">
        <v>92</v>
      </c>
    </row>
    <row r="14" spans="1:14" x14ac:dyDescent="0.2">
      <c r="B14">
        <v>13</v>
      </c>
      <c r="C14" s="21" t="s">
        <v>93</v>
      </c>
    </row>
    <row r="15" spans="1:14" x14ac:dyDescent="0.2">
      <c r="B15">
        <v>14</v>
      </c>
      <c r="C15" s="21" t="s">
        <v>95</v>
      </c>
    </row>
    <row r="16" spans="1:14" x14ac:dyDescent="0.2">
      <c r="B16">
        <v>15</v>
      </c>
    </row>
    <row r="17" spans="2:2" x14ac:dyDescent="0.2">
      <c r="B17">
        <v>16</v>
      </c>
    </row>
    <row r="18" spans="2:2" x14ac:dyDescent="0.2">
      <c r="B18">
        <v>17</v>
      </c>
    </row>
    <row r="19" spans="2:2" x14ac:dyDescent="0.2">
      <c r="B19">
        <v>18</v>
      </c>
    </row>
    <row r="20" spans="2:2" x14ac:dyDescent="0.2">
      <c r="B20">
        <v>19</v>
      </c>
    </row>
    <row r="21" spans="2:2" x14ac:dyDescent="0.2">
      <c r="B21">
        <v>20</v>
      </c>
    </row>
    <row r="22" spans="2:2" x14ac:dyDescent="0.2">
      <c r="B22">
        <v>21</v>
      </c>
    </row>
    <row r="23" spans="2:2" x14ac:dyDescent="0.2">
      <c r="B23">
        <v>22</v>
      </c>
    </row>
    <row r="24" spans="2:2" x14ac:dyDescent="0.2">
      <c r="B24">
        <v>23</v>
      </c>
    </row>
    <row r="25" spans="2:2" x14ac:dyDescent="0.2">
      <c r="B25">
        <v>24</v>
      </c>
    </row>
    <row r="26" spans="2:2" x14ac:dyDescent="0.2">
      <c r="B26">
        <v>25</v>
      </c>
    </row>
    <row r="27" spans="2:2" x14ac:dyDescent="0.2">
      <c r="B27">
        <v>26</v>
      </c>
    </row>
    <row r="28" spans="2:2" x14ac:dyDescent="0.2">
      <c r="B28">
        <v>27</v>
      </c>
    </row>
    <row r="29" spans="2:2" x14ac:dyDescent="0.2">
      <c r="B29">
        <v>28</v>
      </c>
    </row>
    <row r="30" spans="2:2" x14ac:dyDescent="0.2">
      <c r="B30">
        <v>29</v>
      </c>
    </row>
    <row r="31" spans="2:2" x14ac:dyDescent="0.2">
      <c r="B31">
        <v>30</v>
      </c>
    </row>
    <row r="32" spans="2:2" x14ac:dyDescent="0.2">
      <c r="B32">
        <v>31</v>
      </c>
    </row>
    <row r="33" spans="2:2" x14ac:dyDescent="0.2">
      <c r="B33">
        <v>32</v>
      </c>
    </row>
    <row r="34" spans="2:2" x14ac:dyDescent="0.2">
      <c r="B34">
        <v>33</v>
      </c>
    </row>
    <row r="35" spans="2:2" x14ac:dyDescent="0.2">
      <c r="B35">
        <v>34</v>
      </c>
    </row>
    <row r="36" spans="2:2" x14ac:dyDescent="0.2">
      <c r="B36">
        <v>35</v>
      </c>
    </row>
    <row r="37" spans="2:2" x14ac:dyDescent="0.2">
      <c r="B37">
        <v>36</v>
      </c>
    </row>
    <row r="38" spans="2:2" x14ac:dyDescent="0.2">
      <c r="B38">
        <v>37</v>
      </c>
    </row>
    <row r="39" spans="2:2" x14ac:dyDescent="0.2">
      <c r="B39">
        <v>38</v>
      </c>
    </row>
    <row r="40" spans="2:2" x14ac:dyDescent="0.2">
      <c r="B40">
        <v>39</v>
      </c>
    </row>
    <row r="41" spans="2:2" x14ac:dyDescent="0.2">
      <c r="B41">
        <v>40</v>
      </c>
    </row>
    <row r="42" spans="2:2" x14ac:dyDescent="0.2">
      <c r="B42">
        <v>41</v>
      </c>
    </row>
    <row r="43" spans="2:2" x14ac:dyDescent="0.2">
      <c r="B43">
        <v>42</v>
      </c>
    </row>
    <row r="44" spans="2:2" x14ac:dyDescent="0.2">
      <c r="B44">
        <v>43</v>
      </c>
    </row>
    <row r="45" spans="2:2" x14ac:dyDescent="0.2">
      <c r="B45">
        <v>44</v>
      </c>
    </row>
    <row r="46" spans="2:2" x14ac:dyDescent="0.2">
      <c r="B46">
        <v>45</v>
      </c>
    </row>
    <row r="47" spans="2:2" x14ac:dyDescent="0.2">
      <c r="B47">
        <v>46</v>
      </c>
    </row>
    <row r="48" spans="2:2" x14ac:dyDescent="0.2">
      <c r="B48">
        <v>47</v>
      </c>
    </row>
    <row r="49" spans="2:2" x14ac:dyDescent="0.2">
      <c r="B49">
        <v>48</v>
      </c>
    </row>
    <row r="50" spans="2:2" x14ac:dyDescent="0.2">
      <c r="B50">
        <v>49</v>
      </c>
    </row>
    <row r="51" spans="2:2" x14ac:dyDescent="0.2">
      <c r="B51">
        <v>50</v>
      </c>
    </row>
    <row r="52" spans="2:2" x14ac:dyDescent="0.2">
      <c r="B52">
        <v>51</v>
      </c>
    </row>
    <row r="53" spans="2:2" x14ac:dyDescent="0.2">
      <c r="B53">
        <v>52</v>
      </c>
    </row>
    <row r="54" spans="2:2" x14ac:dyDescent="0.2">
      <c r="B54">
        <v>53</v>
      </c>
    </row>
    <row r="55" spans="2:2" x14ac:dyDescent="0.2">
      <c r="B55">
        <v>54</v>
      </c>
    </row>
    <row r="56" spans="2:2" x14ac:dyDescent="0.2">
      <c r="B56">
        <v>55</v>
      </c>
    </row>
    <row r="57" spans="2:2" x14ac:dyDescent="0.2">
      <c r="B57">
        <v>56</v>
      </c>
    </row>
    <row r="58" spans="2:2" x14ac:dyDescent="0.2">
      <c r="B58">
        <v>57</v>
      </c>
    </row>
    <row r="59" spans="2:2" x14ac:dyDescent="0.2">
      <c r="B59">
        <v>58</v>
      </c>
    </row>
    <row r="60" spans="2:2" x14ac:dyDescent="0.2">
      <c r="B60">
        <v>59</v>
      </c>
    </row>
    <row r="61" spans="2:2" x14ac:dyDescent="0.2">
      <c r="B61">
        <v>60</v>
      </c>
    </row>
    <row r="62" spans="2:2" x14ac:dyDescent="0.2">
      <c r="B62">
        <v>61</v>
      </c>
    </row>
    <row r="63" spans="2:2" x14ac:dyDescent="0.2">
      <c r="B63">
        <v>62</v>
      </c>
    </row>
    <row r="64" spans="2:2" x14ac:dyDescent="0.2">
      <c r="B64">
        <v>63</v>
      </c>
    </row>
    <row r="65" spans="2:2" x14ac:dyDescent="0.2">
      <c r="B65">
        <v>64</v>
      </c>
    </row>
    <row r="66" spans="2:2" x14ac:dyDescent="0.2">
      <c r="B66">
        <v>65</v>
      </c>
    </row>
    <row r="67" spans="2:2" x14ac:dyDescent="0.2">
      <c r="B67">
        <v>66</v>
      </c>
    </row>
    <row r="68" spans="2:2" x14ac:dyDescent="0.2">
      <c r="B68">
        <v>67</v>
      </c>
    </row>
    <row r="69" spans="2:2" x14ac:dyDescent="0.2">
      <c r="B69">
        <v>68</v>
      </c>
    </row>
    <row r="70" spans="2:2" x14ac:dyDescent="0.2">
      <c r="B70">
        <v>69</v>
      </c>
    </row>
    <row r="71" spans="2:2" x14ac:dyDescent="0.2">
      <c r="B71">
        <v>70</v>
      </c>
    </row>
    <row r="72" spans="2:2" x14ac:dyDescent="0.2">
      <c r="B72">
        <v>71</v>
      </c>
    </row>
    <row r="73" spans="2:2" x14ac:dyDescent="0.2">
      <c r="B73">
        <v>72</v>
      </c>
    </row>
    <row r="74" spans="2:2" x14ac:dyDescent="0.2">
      <c r="B74">
        <v>73</v>
      </c>
    </row>
    <row r="75" spans="2:2" x14ac:dyDescent="0.2">
      <c r="B75">
        <v>74</v>
      </c>
    </row>
    <row r="76" spans="2:2" x14ac:dyDescent="0.2">
      <c r="B76">
        <v>75</v>
      </c>
    </row>
    <row r="77" spans="2:2" x14ac:dyDescent="0.2">
      <c r="B77">
        <v>76</v>
      </c>
    </row>
    <row r="78" spans="2:2" x14ac:dyDescent="0.2">
      <c r="B78">
        <v>77</v>
      </c>
    </row>
    <row r="79" spans="2:2" x14ac:dyDescent="0.2">
      <c r="B79">
        <v>78</v>
      </c>
    </row>
    <row r="80" spans="2:2" x14ac:dyDescent="0.2">
      <c r="B80">
        <v>79</v>
      </c>
    </row>
    <row r="81" spans="2:2" x14ac:dyDescent="0.2">
      <c r="B81">
        <v>80</v>
      </c>
    </row>
    <row r="82" spans="2:2" x14ac:dyDescent="0.2">
      <c r="B82">
        <v>81</v>
      </c>
    </row>
    <row r="83" spans="2:2" x14ac:dyDescent="0.2">
      <c r="B83">
        <v>82</v>
      </c>
    </row>
    <row r="84" spans="2:2" x14ac:dyDescent="0.2">
      <c r="B84">
        <v>83</v>
      </c>
    </row>
    <row r="85" spans="2:2" x14ac:dyDescent="0.2">
      <c r="B85">
        <v>84</v>
      </c>
    </row>
    <row r="86" spans="2:2" x14ac:dyDescent="0.2">
      <c r="B86">
        <v>85</v>
      </c>
    </row>
    <row r="87" spans="2:2" x14ac:dyDescent="0.2">
      <c r="B87">
        <v>86</v>
      </c>
    </row>
    <row r="88" spans="2:2" x14ac:dyDescent="0.2">
      <c r="B88">
        <v>87</v>
      </c>
    </row>
    <row r="89" spans="2:2" x14ac:dyDescent="0.2">
      <c r="B89">
        <v>88</v>
      </c>
    </row>
    <row r="90" spans="2:2" x14ac:dyDescent="0.2">
      <c r="B90">
        <v>89</v>
      </c>
    </row>
    <row r="91" spans="2:2" x14ac:dyDescent="0.2">
      <c r="B91">
        <v>90</v>
      </c>
    </row>
  </sheetData>
  <conditionalFormatting sqref="J4:L6 J8:L9 E8:H9 E4:H6 E2:H2 J2:L2">
    <cfRule type="expression" dxfId="2" priority="4">
      <formula>$B$15="Industries et Commerces de la Récupération"</formula>
    </cfRule>
  </conditionalFormatting>
  <conditionalFormatting sqref="J4:L4 J6:L7 J9:L10 E9:H10 E6:H7 E4:H4 E2:H2 J2:L2">
    <cfRule type="expression" dxfId="1" priority="10">
      <formula>$B$15="Assainissement et Maintenance Industrielle"</formula>
    </cfRule>
  </conditionalFormatting>
  <conditionalFormatting sqref="J3:L3 J5:L5 J10:L10 E10:H10 E5:H5 E3:H3 J7:L8 E7:H8">
    <cfRule type="expression" dxfId="0" priority="18">
      <formula>$B$15="Activités du déchet"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BD9E283BFA1B458EEE29F65BCF9DDD" ma:contentTypeVersion="7" ma:contentTypeDescription="Crée un document." ma:contentTypeScope="" ma:versionID="8b54b6963fccbd51fec5a9d93a07a56b">
  <xsd:schema xmlns:xsd="http://www.w3.org/2001/XMLSchema" xmlns:xs="http://www.w3.org/2001/XMLSchema" xmlns:p="http://schemas.microsoft.com/office/2006/metadata/properties" xmlns:ns1="http://schemas.microsoft.com/sharepoint/v3" xmlns:ns2="30233f12-bbac-44d9-92c8-7bd1d5981d3c" targetNamespace="http://schemas.microsoft.com/office/2006/metadata/properties" ma:root="true" ma:fieldsID="0b3b505c33b16a0cba834e312d7adea6" ns1:_="" ns2:_="">
    <xsd:import namespace="http://schemas.microsoft.com/sharepoint/v3"/>
    <xsd:import namespace="30233f12-bbac-44d9-92c8-7bd1d5981d3c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 ma:readOnly="fals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 ma:readOnly="fals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233f12-bbac-44d9-92c8-7bd1d5981d3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Type de contenu"/>
        <xsd:element ref="dc:title" minOccurs="0" maxOccurs="1" ma:index="3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0BDA528-5164-4C7B-9B28-B5DCBDC5DE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006712-8A96-45A1-A868-753BB98618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0233f12-bbac-44d9-92c8-7bd1d5981d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BDA357-09AC-480F-A9C3-62C847646B42}">
  <ds:schemaRefs>
    <ds:schemaRef ds:uri="http://www.w3.org/XML/1998/namespace"/>
    <ds:schemaRef ds:uri="http://purl.org/dc/terms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30233f12-bbac-44d9-92c8-7bd1d5981d3c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8</vt:i4>
      </vt:variant>
    </vt:vector>
  </HeadingPairs>
  <TitlesOfParts>
    <vt:vector size="10" baseType="lpstr">
      <vt:lpstr>ETAM CADRE</vt:lpstr>
      <vt:lpstr>Feuil1</vt:lpstr>
      <vt:lpstr>CCN</vt:lpstr>
      <vt:lpstr>DIREX</vt:lpstr>
      <vt:lpstr>ECHELON</vt:lpstr>
      <vt:lpstr>interim</vt:lpstr>
      <vt:lpstr>NIVEAU</vt:lpstr>
      <vt:lpstr>SERVICE</vt:lpstr>
      <vt:lpstr>STATUT</vt:lpstr>
      <vt:lpstr>'ETAM CADRE'!Zone_d_impression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Microsoft Corporation</dc:creator>
  <cp:lastModifiedBy>Utilisateur Windows</cp:lastModifiedBy>
  <cp:lastPrinted>2019-04-19T06:50:44Z</cp:lastPrinted>
  <dcterms:created xsi:type="dcterms:W3CDTF">1996-10-21T11:03:58Z</dcterms:created>
  <dcterms:modified xsi:type="dcterms:W3CDTF">2020-12-11T12:41:25Z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0x0101008EBD9E283BFA1B458EEE29F65BCF9DDD</vt:lpwstr>
  </property>
</Properties>
</file>